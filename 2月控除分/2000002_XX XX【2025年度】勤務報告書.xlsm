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4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5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6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7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8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drawings/drawing9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10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11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drawings/drawing12.xml" ContentType="application/vnd.openxmlformats-officedocument.drawing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マクロ保管場所谷津用\2月控除分\"/>
    </mc:Choice>
  </mc:AlternateContent>
  <xr:revisionPtr revIDLastSave="0" documentId="13_ncr:1_{BB9D7E52-2101-431A-B0CD-2D32A89B04AC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3月" sheetId="121" r:id="rId1"/>
    <sheet name="2月" sheetId="120" r:id="rId2"/>
    <sheet name="1月" sheetId="119" r:id="rId3"/>
    <sheet name="12月" sheetId="118" r:id="rId4"/>
    <sheet name="11月" sheetId="117" r:id="rId5"/>
    <sheet name="10月" sheetId="116" r:id="rId6"/>
    <sheet name="9月" sheetId="115" r:id="rId7"/>
    <sheet name="8月" sheetId="114" r:id="rId8"/>
    <sheet name="7月" sheetId="113" r:id="rId9"/>
    <sheet name="6月" sheetId="111" r:id="rId10"/>
    <sheet name="5月" sheetId="60" r:id="rId11"/>
    <sheet name="4月" sheetId="59" r:id="rId12"/>
    <sheet name="祝日管理" sheetId="31" r:id="rId13"/>
    <sheet name="テーブル" sheetId="46" r:id="rId14"/>
    <sheet name="記入説明" sheetId="17" r:id="rId15"/>
    <sheet name="Ver管理" sheetId="30" r:id="rId16"/>
    <sheet name="計算用" sheetId="58" r:id="rId17"/>
  </sheets>
  <definedNames>
    <definedName name="_xlnm.Print_Area" localSheetId="5">'10月'!$A$1:$AA$70</definedName>
    <definedName name="_xlnm.Print_Area" localSheetId="4">'11月'!$A$1:$AA$70</definedName>
    <definedName name="_xlnm.Print_Area" localSheetId="3">'12月'!$A$1:$AA$70</definedName>
    <definedName name="_xlnm.Print_Area" localSheetId="2">'1月'!$A$1:$AA$70</definedName>
    <definedName name="_xlnm.Print_Area" localSheetId="1">'2月'!$A$1:$AA$70</definedName>
    <definedName name="_xlnm.Print_Area" localSheetId="0">'3月'!$A$1:$AA$70</definedName>
    <definedName name="_xlnm.Print_Area" localSheetId="11">'4月'!$A$1:$AA$70</definedName>
    <definedName name="_xlnm.Print_Area" localSheetId="10">'5月'!$A$1:$AA$70</definedName>
    <definedName name="_xlnm.Print_Area" localSheetId="9">'6月'!$A$1:$AA$70</definedName>
    <definedName name="_xlnm.Print_Area" localSheetId="8">'7月'!$A$1:$AA$70</definedName>
    <definedName name="_xlnm.Print_Area" localSheetId="7">'8月'!$A$1:$AA$70</definedName>
    <definedName name="_xlnm.Print_Area" localSheetId="6">'9月'!$A$1:$AA$70</definedName>
    <definedName name="テーブル_みなし時間">テーブル!$D:$D</definedName>
    <definedName name="テーブル_勤務時間">テーブル!$B:$B</definedName>
    <definedName name="テレワーク日数" localSheetId="5">'10月'!$AA$56</definedName>
    <definedName name="テレワーク日数" localSheetId="4">'11月'!$AA$56</definedName>
    <definedName name="テレワーク日数" localSheetId="3">'12月'!$AA$56</definedName>
    <definedName name="テレワーク日数" localSheetId="2">'1月'!$AA$56</definedName>
    <definedName name="テレワーク日数" localSheetId="1">'2月'!$AA$56</definedName>
    <definedName name="テレワーク日数" localSheetId="0">'3月'!$AA$56</definedName>
    <definedName name="テレワーク日数" localSheetId="11">'4月'!$AA$56</definedName>
    <definedName name="テレワーク日数" localSheetId="10">'5月'!$AA$56</definedName>
    <definedName name="テレワーク日数" localSheetId="9">'6月'!$AA$56</definedName>
    <definedName name="テレワーク日数" localSheetId="8">'7月'!$AA$56</definedName>
    <definedName name="テレワーク日数" localSheetId="7">'8月'!$AA$56</definedName>
    <definedName name="テレワーク日数" localSheetId="6">'9月'!$AA$56</definedName>
    <definedName name="みなし給" localSheetId="5">'10月'!$J$55</definedName>
    <definedName name="みなし給" localSheetId="4">'11月'!$J$55</definedName>
    <definedName name="みなし給" localSheetId="3">'12月'!$J$55</definedName>
    <definedName name="みなし給" localSheetId="2">'1月'!$J$55</definedName>
    <definedName name="みなし給" localSheetId="1">'2月'!$J$55</definedName>
    <definedName name="みなし給" localSheetId="0">'3月'!$J$55</definedName>
    <definedName name="みなし給" localSheetId="11">'4月'!$J$55</definedName>
    <definedName name="みなし給" localSheetId="10">'5月'!$J$55</definedName>
    <definedName name="みなし給" localSheetId="9">'6月'!$J$55</definedName>
    <definedName name="みなし給" localSheetId="8">'7月'!$J$55</definedName>
    <definedName name="みなし給" localSheetId="7">'8月'!$J$55</definedName>
    <definedName name="みなし給" localSheetId="6">'9月'!$J$55</definedName>
    <definedName name="みなし給時間" localSheetId="5">'10月'!$G$55</definedName>
    <definedName name="みなし給時間" localSheetId="4">'11月'!$G$55</definedName>
    <definedName name="みなし給時間" localSheetId="3">'12月'!$G$55</definedName>
    <definedName name="みなし給時間" localSheetId="2">'1月'!$G$55</definedName>
    <definedName name="みなし給時間" localSheetId="1">'2月'!$G$55</definedName>
    <definedName name="みなし給時間" localSheetId="0">'3月'!$G$55</definedName>
    <definedName name="みなし給時間" localSheetId="11">'4月'!$G$55</definedName>
    <definedName name="みなし給時間" localSheetId="10">'5月'!$G$55</definedName>
    <definedName name="みなし給時間" localSheetId="9">'6月'!$G$55</definedName>
    <definedName name="みなし給時間" localSheetId="8">'7月'!$G$55</definedName>
    <definedName name="みなし給時間" localSheetId="7">'8月'!$G$55</definedName>
    <definedName name="みなし給時間" localSheetId="6">'9月'!$G$55</definedName>
    <definedName name="みなし給単価" localSheetId="5">'10月'!$D$55</definedName>
    <definedName name="みなし給単価" localSheetId="4">'11月'!$D$55</definedName>
    <definedName name="みなし給単価" localSheetId="3">'12月'!$D$55</definedName>
    <definedName name="みなし給単価" localSheetId="2">'1月'!$D$55</definedName>
    <definedName name="みなし給単価" localSheetId="1">'2月'!$D$55</definedName>
    <definedName name="みなし給単価" localSheetId="0">'3月'!$D$55</definedName>
    <definedName name="みなし給単価" localSheetId="11">'4月'!$D$55</definedName>
    <definedName name="みなし給単価" localSheetId="10">'5月'!$D$55</definedName>
    <definedName name="みなし給単価" localSheetId="9">'6月'!$D$55</definedName>
    <definedName name="みなし給単価" localSheetId="8">'7月'!$D$55</definedName>
    <definedName name="みなし給単価" localSheetId="7">'8月'!$D$55</definedName>
    <definedName name="みなし給単価" localSheetId="6">'9月'!$D$55</definedName>
    <definedName name="過不足調整時間" localSheetId="5">'10月'!$G$59</definedName>
    <definedName name="過不足調整時間" localSheetId="4">'11月'!$G$59</definedName>
    <definedName name="過不足調整時間" localSheetId="3">'12月'!$G$59</definedName>
    <definedName name="過不足調整時間" localSheetId="2">'1月'!$G$59</definedName>
    <definedName name="過不足調整時間" localSheetId="1">'2月'!$G$59</definedName>
    <definedName name="過不足調整時間" localSheetId="0">'3月'!$G$59</definedName>
    <definedName name="過不足調整時間" localSheetId="11">'4月'!$G$59</definedName>
    <definedName name="過不足調整時間" localSheetId="10">'5月'!$G$59</definedName>
    <definedName name="過不足調整時間" localSheetId="9">'6月'!$G$59</definedName>
    <definedName name="過不足調整時間" localSheetId="8">'7月'!$G$59</definedName>
    <definedName name="過不足調整時間" localSheetId="7">'8月'!$G$59</definedName>
    <definedName name="過不足調整時間" localSheetId="6">'9月'!$G$59</definedName>
    <definedName name="過不足調整単価" localSheetId="5">'10月'!$D$59</definedName>
    <definedName name="過不足調整単価" localSheetId="4">'11月'!$D$59</definedName>
    <definedName name="過不足調整単価" localSheetId="3">'12月'!$D$59</definedName>
    <definedName name="過不足調整単価" localSheetId="2">'1月'!$D$59</definedName>
    <definedName name="過不足調整単価" localSheetId="1">'2月'!$D$59</definedName>
    <definedName name="過不足調整単価" localSheetId="0">'3月'!$D$59</definedName>
    <definedName name="過不足調整単価" localSheetId="11">'4月'!$D$59</definedName>
    <definedName name="過不足調整単価" localSheetId="10">'5月'!$D$59</definedName>
    <definedName name="過不足調整単価" localSheetId="9">'6月'!$D$59</definedName>
    <definedName name="過不足調整単価" localSheetId="8">'7月'!$D$59</definedName>
    <definedName name="過不足調整単価" localSheetId="7">'8月'!$D$59</definedName>
    <definedName name="過不足調整単価" localSheetId="6">'9月'!$D$59</definedName>
    <definedName name="基本給" localSheetId="5">'10月'!$J$54</definedName>
    <definedName name="基本給" localSheetId="4">'11月'!$J$54</definedName>
    <definedName name="基本給" localSheetId="3">'12月'!$J$54</definedName>
    <definedName name="基本給" localSheetId="2">'1月'!$J$54</definedName>
    <definedName name="基本給" localSheetId="1">'2月'!$J$54</definedName>
    <definedName name="基本給" localSheetId="0">'3月'!$J$54</definedName>
    <definedName name="基本給" localSheetId="11">'4月'!$J$54</definedName>
    <definedName name="基本給" localSheetId="10">'5月'!$J$54</definedName>
    <definedName name="基本給" localSheetId="9">'6月'!$J$54</definedName>
    <definedName name="基本給" localSheetId="8">'7月'!$J$54</definedName>
    <definedName name="基本給" localSheetId="7">'8月'!$J$54</definedName>
    <definedName name="基本給" localSheetId="6">'9月'!$J$54</definedName>
    <definedName name="基本給時間" localSheetId="5">'10月'!$G$54</definedName>
    <definedName name="基本給時間" localSheetId="4">'11月'!$G$54</definedName>
    <definedName name="基本給時間" localSheetId="3">'12月'!$G$54</definedName>
    <definedName name="基本給時間" localSheetId="2">'1月'!$G$54</definedName>
    <definedName name="基本給時間" localSheetId="1">'2月'!$G$54</definedName>
    <definedName name="基本給時間" localSheetId="0">'3月'!$G$54</definedName>
    <definedName name="基本給時間" localSheetId="11">'4月'!$G$54</definedName>
    <definedName name="基本給時間" localSheetId="10">'5月'!$G$54</definedName>
    <definedName name="基本給時間" localSheetId="9">'6月'!$G$54</definedName>
    <definedName name="基本給時間" localSheetId="8">'7月'!$G$54</definedName>
    <definedName name="基本給時間" localSheetId="7">'8月'!$G$54</definedName>
    <definedName name="基本給時間" localSheetId="6">'9月'!$G$54</definedName>
    <definedName name="基本給単価" localSheetId="5">'10月'!$D$54</definedName>
    <definedName name="基本給単価" localSheetId="4">'11月'!$D$54</definedName>
    <definedName name="基本給単価" localSheetId="3">'12月'!$D$54</definedName>
    <definedName name="基本給単価" localSheetId="2">'1月'!$D$54</definedName>
    <definedName name="基本給単価" localSheetId="1">'2月'!$D$54</definedName>
    <definedName name="基本給単価" localSheetId="0">'3月'!$D$54</definedName>
    <definedName name="基本給単価" localSheetId="11">'4月'!$D$54</definedName>
    <definedName name="基本給単価" localSheetId="10">'5月'!$D$54</definedName>
    <definedName name="基本給単価" localSheetId="9">'6月'!$D$54</definedName>
    <definedName name="基本給単価" localSheetId="8">'7月'!$D$54</definedName>
    <definedName name="基本給単価" localSheetId="7">'8月'!$D$54</definedName>
    <definedName name="基本給単価" localSheetId="6">'9月'!$D$54</definedName>
    <definedName name="休日出勤時間計" localSheetId="5">'10月'!$T$49</definedName>
    <definedName name="休日出勤時間計" localSheetId="4">'11月'!$T$49</definedName>
    <definedName name="休日出勤時間計" localSheetId="3">'12月'!$T$49</definedName>
    <definedName name="休日出勤時間計" localSheetId="2">'1月'!$T$49</definedName>
    <definedName name="休日出勤時間計" localSheetId="1">'2月'!$T$49</definedName>
    <definedName name="休日出勤時間計" localSheetId="0">'3月'!$T$49</definedName>
    <definedName name="休日出勤時間計" localSheetId="11">'4月'!$T$49</definedName>
    <definedName name="休日出勤時間計" localSheetId="10">'5月'!$T$49</definedName>
    <definedName name="休日出勤時間計" localSheetId="9">'6月'!$T$49</definedName>
    <definedName name="休日出勤時間計" localSheetId="8">'7月'!$T$49</definedName>
    <definedName name="休日出勤時間計" localSheetId="7">'8月'!$T$49</definedName>
    <definedName name="休日出勤時間計" localSheetId="6">'9月'!$T$49</definedName>
    <definedName name="休日深夜時間計" localSheetId="5">'10月'!$V$49</definedName>
    <definedName name="休日深夜時間計" localSheetId="4">'11月'!$V$49</definedName>
    <definedName name="休日深夜時間計" localSheetId="3">'12月'!$V$49</definedName>
    <definedName name="休日深夜時間計" localSheetId="2">'1月'!$V$49</definedName>
    <definedName name="休日深夜時間計" localSheetId="1">'2月'!$V$49</definedName>
    <definedName name="休日深夜時間計" localSheetId="0">'3月'!$V$49</definedName>
    <definedName name="休日深夜時間計" localSheetId="11">'4月'!$V$49</definedName>
    <definedName name="休日深夜時間計" localSheetId="10">'5月'!$V$49</definedName>
    <definedName name="休日深夜時間計" localSheetId="9">'6月'!$V$49</definedName>
    <definedName name="休日深夜時間計" localSheetId="8">'7月'!$V$49</definedName>
    <definedName name="休日深夜時間計" localSheetId="7">'8月'!$V$49</definedName>
    <definedName name="休日深夜時間計" localSheetId="6">'9月'!$V$49</definedName>
    <definedName name="給与種別" localSheetId="5">'10月'!$AB$8</definedName>
    <definedName name="給与種別" localSheetId="4">'11月'!$AB$8</definedName>
    <definedName name="給与種別" localSheetId="3">'12月'!$AB$8</definedName>
    <definedName name="給与種別" localSheetId="2">'1月'!$AB$8</definedName>
    <definedName name="給与種別" localSheetId="1">'2月'!$AB$8</definedName>
    <definedName name="給与種別" localSheetId="0">'3月'!$AB$8</definedName>
    <definedName name="給与種別" localSheetId="11">'4月'!$AB$8</definedName>
    <definedName name="給与種別" localSheetId="10">'5月'!$AB$8</definedName>
    <definedName name="給与種別" localSheetId="9">'6月'!$AB$8</definedName>
    <definedName name="給与種別" localSheetId="8">'7月'!$AB$8</definedName>
    <definedName name="給与種別" localSheetId="7">'8月'!$AB$8</definedName>
    <definedName name="給与種別" localSheetId="6">'9月'!$AB$8</definedName>
    <definedName name="給与体系" localSheetId="5">'10月'!$P$57</definedName>
    <definedName name="給与体系" localSheetId="4">'11月'!$P$57</definedName>
    <definedName name="給与体系" localSheetId="3">'12月'!$P$57</definedName>
    <definedName name="給与体系" localSheetId="2">'1月'!$P$57</definedName>
    <definedName name="給与体系" localSheetId="1">'2月'!$P$57</definedName>
    <definedName name="給与体系" localSheetId="0">'3月'!$P$57</definedName>
    <definedName name="給与体系" localSheetId="11">'4月'!$P$57</definedName>
    <definedName name="給与体系" localSheetId="10">'5月'!$P$57</definedName>
    <definedName name="給与体系" localSheetId="9">'6月'!$P$57</definedName>
    <definedName name="給与体系" localSheetId="8">'7月'!$P$57</definedName>
    <definedName name="給与体系" localSheetId="7">'8月'!$P$57</definedName>
    <definedName name="給与体系" localSheetId="6">'9月'!$P$57</definedName>
    <definedName name="欠勤時間計" localSheetId="5">'10月'!$AA$59</definedName>
    <definedName name="欠勤時間計" localSheetId="4">'11月'!$AA$59</definedName>
    <definedName name="欠勤時間計" localSheetId="3">'12月'!$AA$59</definedName>
    <definedName name="欠勤時間計" localSheetId="2">'1月'!$AA$59</definedName>
    <definedName name="欠勤時間計" localSheetId="1">'2月'!$AA$59</definedName>
    <definedName name="欠勤時間計" localSheetId="0">'3月'!$AA$59</definedName>
    <definedName name="欠勤時間計" localSheetId="11">'4月'!$AA$59</definedName>
    <definedName name="欠勤時間計" localSheetId="10">'5月'!$AA$59</definedName>
    <definedName name="欠勤時間計" localSheetId="9">'6月'!$AA$59</definedName>
    <definedName name="欠勤時間計" localSheetId="8">'7月'!$AA$59</definedName>
    <definedName name="欠勤時間計" localSheetId="7">'8月'!$AA$59</definedName>
    <definedName name="欠勤時間計" localSheetId="6">'9月'!$AA$59</definedName>
    <definedName name="欠勤日数" localSheetId="11">'4月'!$G$51</definedName>
    <definedName name="控除時間" localSheetId="5">'10月'!$G$57</definedName>
    <definedName name="控除時間" localSheetId="4">'11月'!$G$57</definedName>
    <definedName name="控除時間" localSheetId="3">'12月'!$G$57</definedName>
    <definedName name="控除時間" localSheetId="2">'1月'!$G$57</definedName>
    <definedName name="控除時間" localSheetId="1">'2月'!$G$57</definedName>
    <definedName name="控除時間" localSheetId="0">'3月'!$G$57</definedName>
    <definedName name="控除時間" localSheetId="11">'4月'!$G$57</definedName>
    <definedName name="控除時間" localSheetId="10">'5月'!$G$57</definedName>
    <definedName name="控除時間" localSheetId="9">'6月'!$G$57</definedName>
    <definedName name="控除時間" localSheetId="8">'7月'!$G$57</definedName>
    <definedName name="控除時間" localSheetId="7">'8月'!$G$57</definedName>
    <definedName name="控除時間" localSheetId="6">'9月'!$G$57</definedName>
    <definedName name="控除単価" localSheetId="5">'10月'!$D$57</definedName>
    <definedName name="控除単価" localSheetId="4">'11月'!$D$57</definedName>
    <definedName name="控除単価" localSheetId="3">'12月'!$D$57</definedName>
    <definedName name="控除単価" localSheetId="2">'1月'!$D$57</definedName>
    <definedName name="控除単価" localSheetId="1">'2月'!$D$57</definedName>
    <definedName name="控除単価" localSheetId="0">'3月'!$D$57</definedName>
    <definedName name="控除単価" localSheetId="11">'4月'!$D$57</definedName>
    <definedName name="控除単価" localSheetId="10">'5月'!$D$57</definedName>
    <definedName name="控除単価" localSheetId="9">'6月'!$D$57</definedName>
    <definedName name="控除単価" localSheetId="8">'7月'!$D$57</definedName>
    <definedName name="控除単価" localSheetId="7">'8月'!$D$57</definedName>
    <definedName name="控除単価" localSheetId="6">'9月'!$D$57</definedName>
    <definedName name="合計_15分未満切捨て" localSheetId="5">'10月'!$L$49</definedName>
    <definedName name="合計_15分未満切捨て" localSheetId="4">'11月'!$L$49</definedName>
    <definedName name="合計_15分未満切捨て" localSheetId="3">'12月'!$L$49</definedName>
    <definedName name="合計_15分未満切捨て" localSheetId="2">'1月'!$L$49</definedName>
    <definedName name="合計_15分未満切捨て" localSheetId="1">'2月'!$L$49</definedName>
    <definedName name="合計_15分未満切捨て" localSheetId="0">'3月'!$L$49</definedName>
    <definedName name="合計_15分未満切捨て" localSheetId="11">'4月'!$L$49</definedName>
    <definedName name="合計_15分未満切捨て" localSheetId="10">'5月'!$L$49</definedName>
    <definedName name="合計_15分未満切捨て" localSheetId="9">'6月'!$L$49</definedName>
    <definedName name="合計_15分未満切捨て" localSheetId="8">'7月'!$L$49</definedName>
    <definedName name="合計_15分未満切捨て" localSheetId="7">'8月'!$L$49</definedName>
    <definedName name="合計_15分未満切捨て" localSheetId="6">'9月'!$L$49</definedName>
    <definedName name="時間・月額" localSheetId="5">'10月'!$F$52</definedName>
    <definedName name="時間・月額" localSheetId="4">'11月'!$F$52</definedName>
    <definedName name="時間・月額" localSheetId="3">'12月'!$F$52</definedName>
    <definedName name="時間・月額" localSheetId="2">'1月'!$F$52</definedName>
    <definedName name="時間・月額" localSheetId="1">'2月'!$F$52</definedName>
    <definedName name="時間・月額" localSheetId="0">'3月'!$F$52</definedName>
    <definedName name="時間・月額" localSheetId="11">'4月'!$F$52</definedName>
    <definedName name="時間・月額" localSheetId="10">'5月'!$F$52</definedName>
    <definedName name="時間・月額" localSheetId="9">'6月'!$F$52</definedName>
    <definedName name="時間・月額" localSheetId="8">'7月'!$F$52</definedName>
    <definedName name="時間・月額" localSheetId="7">'8月'!$F$52</definedName>
    <definedName name="時間・月額" localSheetId="6">'9月'!$F$52</definedName>
    <definedName name="時間外係数" localSheetId="5">'10月'!$AB$50</definedName>
    <definedName name="時間外係数" localSheetId="4">'11月'!$AB$50</definedName>
    <definedName name="時間外係数" localSheetId="3">'12月'!$AB$50</definedName>
    <definedName name="時間外係数" localSheetId="2">'1月'!$AB$50</definedName>
    <definedName name="時間外係数" localSheetId="1">'2月'!$AB$50</definedName>
    <definedName name="時間外係数" localSheetId="0">'3月'!$AB$50</definedName>
    <definedName name="時間外係数" localSheetId="11">'4月'!$AB$50</definedName>
    <definedName name="時間外係数" localSheetId="10">'5月'!$AB$50</definedName>
    <definedName name="時間外係数" localSheetId="9">'6月'!$AB$50</definedName>
    <definedName name="時間外係数" localSheetId="8">'7月'!$AB$50</definedName>
    <definedName name="時間外係数" localSheetId="7">'8月'!$AB$50</definedName>
    <definedName name="時間外係数" localSheetId="6">'9月'!$AB$50</definedName>
    <definedName name="時間合計" localSheetId="5">'10月'!$X$49</definedName>
    <definedName name="時間合計" localSheetId="4">'11月'!$X$49</definedName>
    <definedName name="時間合計" localSheetId="3">'12月'!$X$49</definedName>
    <definedName name="時間合計" localSheetId="2">'1月'!$X$49</definedName>
    <definedName name="時間合計" localSheetId="1">'2月'!$X$49</definedName>
    <definedName name="時間合計" localSheetId="0">'3月'!$X$49</definedName>
    <definedName name="時間合計" localSheetId="11">'4月'!$X$49</definedName>
    <definedName name="時間合計" localSheetId="10">'5月'!$X$49</definedName>
    <definedName name="時間合計" localSheetId="9">'6月'!$X$49</definedName>
    <definedName name="時間合計" localSheetId="8">'7月'!$X$49</definedName>
    <definedName name="時間合計" localSheetId="7">'8月'!$X$49</definedName>
    <definedName name="時間合計" localSheetId="6">'9月'!$X$49</definedName>
    <definedName name="手当１金額" localSheetId="5">'10月'!$J$61</definedName>
    <definedName name="手当１金額" localSheetId="4">'11月'!$J$61</definedName>
    <definedName name="手当１金額" localSheetId="3">'12月'!$J$61</definedName>
    <definedName name="手当１金額" localSheetId="2">'1月'!$J$61</definedName>
    <definedName name="手当１金額" localSheetId="1">'2月'!$J$61</definedName>
    <definedName name="手当１金額" localSheetId="0">'3月'!$J$61</definedName>
    <definedName name="手当１金額" localSheetId="11">'4月'!$J$61</definedName>
    <definedName name="手当１金額" localSheetId="10">'5月'!$J$61</definedName>
    <definedName name="手当１金額" localSheetId="9">'6月'!$J$61</definedName>
    <definedName name="手当１金額" localSheetId="8">'7月'!$J$61</definedName>
    <definedName name="手当１金額" localSheetId="7">'8月'!$J$61</definedName>
    <definedName name="手当１金額" localSheetId="6">'9月'!$J$61</definedName>
    <definedName name="手当１金額">#REF!</definedName>
    <definedName name="出勤日数" localSheetId="11">'4月'!$C$51</definedName>
    <definedName name="深夜残業時間計" localSheetId="5">'10月'!$R$49</definedName>
    <definedName name="深夜残業時間計" localSheetId="4">'11月'!$R$49</definedName>
    <definedName name="深夜残業時間計" localSheetId="3">'12月'!$R$49</definedName>
    <definedName name="深夜残業時間計" localSheetId="2">'1月'!$R$49</definedName>
    <definedName name="深夜残業時間計" localSheetId="1">'2月'!$R$49</definedName>
    <definedName name="深夜残業時間計" localSheetId="0">'3月'!$R$49</definedName>
    <definedName name="深夜残業時間計" localSheetId="11">'4月'!$R$49</definedName>
    <definedName name="深夜残業時間計" localSheetId="10">'5月'!$R$49</definedName>
    <definedName name="深夜残業時間計" localSheetId="9">'6月'!$R$49</definedName>
    <definedName name="深夜残業時間計" localSheetId="8">'7月'!$R$49</definedName>
    <definedName name="深夜残業時間計" localSheetId="7">'8月'!$R$49</definedName>
    <definedName name="深夜残業時間計" localSheetId="6">'9月'!$R$49</definedName>
    <definedName name="超過額" localSheetId="5">'10月'!$J$58</definedName>
    <definedName name="超過額" localSheetId="4">'11月'!$J$58</definedName>
    <definedName name="超過額" localSheetId="3">'12月'!$J$58</definedName>
    <definedName name="超過額" localSheetId="2">'1月'!$J$58</definedName>
    <definedName name="超過額" localSheetId="1">'2月'!$J$58</definedName>
    <definedName name="超過額" localSheetId="0">'3月'!$J$58</definedName>
    <definedName name="超過額" localSheetId="11">'4月'!$J$58</definedName>
    <definedName name="超過額" localSheetId="10">'5月'!$J$58</definedName>
    <definedName name="超過額" localSheetId="9">'6月'!$J$58</definedName>
    <definedName name="超過額" localSheetId="8">'7月'!$J$58</definedName>
    <definedName name="超過額" localSheetId="7">'8月'!$J$58</definedName>
    <definedName name="超過額" localSheetId="6">'9月'!$J$58</definedName>
    <definedName name="超過勤務時間計" localSheetId="5">'10月'!$P$49</definedName>
    <definedName name="超過勤務時間計" localSheetId="4">'11月'!$P$49</definedName>
    <definedName name="超過勤務時間計" localSheetId="3">'12月'!$P$49</definedName>
    <definedName name="超過勤務時間計" localSheetId="2">'1月'!$P$49</definedName>
    <definedName name="超過勤務時間計" localSheetId="1">'2月'!$P$49</definedName>
    <definedName name="超過勤務時間計" localSheetId="0">'3月'!$P$49</definedName>
    <definedName name="超過勤務時間計" localSheetId="11">'4月'!$P$49</definedName>
    <definedName name="超過勤務時間計" localSheetId="10">'5月'!$P$49</definedName>
    <definedName name="超過勤務時間計" localSheetId="9">'6月'!$P$49</definedName>
    <definedName name="超過勤務時間計" localSheetId="8">'7月'!$P$49</definedName>
    <definedName name="超過勤務時間計" localSheetId="7">'8月'!$P$49</definedName>
    <definedName name="超過勤務時間計" localSheetId="6">'9月'!$P$49</definedName>
    <definedName name="超過時間" localSheetId="5">'10月'!$G$58</definedName>
    <definedName name="超過時間" localSheetId="4">'11月'!$G$58</definedName>
    <definedName name="超過時間" localSheetId="3">'12月'!$G$58</definedName>
    <definedName name="超過時間" localSheetId="2">'1月'!$G$58</definedName>
    <definedName name="超過時間" localSheetId="1">'2月'!$G$58</definedName>
    <definedName name="超過時間" localSheetId="0">'3月'!$G$58</definedName>
    <definedName name="超過時間" localSheetId="11">'4月'!$G$58</definedName>
    <definedName name="超過時間" localSheetId="10">'5月'!$G$58</definedName>
    <definedName name="超過時間" localSheetId="9">'6月'!$G$58</definedName>
    <definedName name="超過時間" localSheetId="8">'7月'!$G$58</definedName>
    <definedName name="超過時間" localSheetId="7">'8月'!$G$58</definedName>
    <definedName name="超過時間" localSheetId="6">'9月'!$G$58</definedName>
    <definedName name="超過単価" localSheetId="5">'10月'!$D$58</definedName>
    <definedName name="超過単価" localSheetId="4">'11月'!$D$58</definedName>
    <definedName name="超過単価" localSheetId="3">'12月'!$D$58</definedName>
    <definedName name="超過単価" localSheetId="2">'1月'!$D$58</definedName>
    <definedName name="超過単価" localSheetId="1">'2月'!$D$58</definedName>
    <definedName name="超過単価" localSheetId="0">'3月'!$D$58</definedName>
    <definedName name="超過単価" localSheetId="11">'4月'!$D$58</definedName>
    <definedName name="超過単価" localSheetId="10">'5月'!$D$58</definedName>
    <definedName name="超過単価" localSheetId="9">'6月'!$D$58</definedName>
    <definedName name="超過単価" localSheetId="8">'7月'!$D$58</definedName>
    <definedName name="超過単価" localSheetId="7">'8月'!$D$58</definedName>
    <definedName name="超過単価" localSheetId="6">'9月'!$D$58</definedName>
    <definedName name="通常時間計" localSheetId="5">'10月'!$N$49</definedName>
    <definedName name="通常時間計" localSheetId="4">'11月'!$N$49</definedName>
    <definedName name="通常時間計" localSheetId="3">'12月'!$N$49</definedName>
    <definedName name="通常時間計" localSheetId="2">'1月'!$N$49</definedName>
    <definedName name="通常時間計" localSheetId="1">'2月'!$N$49</definedName>
    <definedName name="通常時間計" localSheetId="0">'3月'!$N$49</definedName>
    <definedName name="通常時間計" localSheetId="11">'4月'!$N$49</definedName>
    <definedName name="通常時間計" localSheetId="10">'5月'!$N$49</definedName>
    <definedName name="通常時間計" localSheetId="9">'6月'!$N$49</definedName>
    <definedName name="通常時間計" localSheetId="8">'7月'!$N$49</definedName>
    <definedName name="通常時間計" localSheetId="7">'8月'!$N$49</definedName>
    <definedName name="通常時間計" localSheetId="6">'9月'!$N$49</definedName>
    <definedName name="当月" localSheetId="5">'10月'!$AB$5</definedName>
    <definedName name="当月" localSheetId="4">'11月'!$AB$5</definedName>
    <definedName name="当月" localSheetId="3">'12月'!$AB$5</definedName>
    <definedName name="当月" localSheetId="2">'1月'!$AB$5</definedName>
    <definedName name="当月" localSheetId="1">'2月'!$AB$5</definedName>
    <definedName name="当月" localSheetId="0">'3月'!$AB$5</definedName>
    <definedName name="当月" localSheetId="11">'4月'!$AB$5</definedName>
    <definedName name="当月" localSheetId="10">'5月'!$AB$5</definedName>
    <definedName name="当月" localSheetId="9">'6月'!$AB$5</definedName>
    <definedName name="当月" localSheetId="8">'7月'!$AB$5</definedName>
    <definedName name="当月" localSheetId="7">'8月'!$AB$5</definedName>
    <definedName name="当月" localSheetId="6">'9月'!$AB$5</definedName>
    <definedName name="補正勤務時間" localSheetId="5">'10月'!$L$50</definedName>
    <definedName name="補正勤務時間" localSheetId="4">'11月'!$L$50</definedName>
    <definedName name="補正勤務時間" localSheetId="3">'12月'!$L$50</definedName>
    <definedName name="補正勤務時間" localSheetId="2">'1月'!$L$50</definedName>
    <definedName name="補正勤務時間" localSheetId="1">'2月'!$L$50</definedName>
    <definedName name="補正勤務時間" localSheetId="0">'3月'!$L$50</definedName>
    <definedName name="補正勤務時間" localSheetId="11">'4月'!$L$50</definedName>
    <definedName name="補正勤務時間" localSheetId="10">'5月'!$L$50</definedName>
    <definedName name="補正勤務時間" localSheetId="9">'6月'!$L$50</definedName>
    <definedName name="補正勤務時間" localSheetId="8">'7月'!$L$50</definedName>
    <definedName name="補正勤務時間" localSheetId="7">'8月'!$L$50</definedName>
    <definedName name="補正勤務時間" localSheetId="6">'9月'!$L$50</definedName>
    <definedName name="補正勤務時間合計" localSheetId="5">'10月'!$X$50</definedName>
    <definedName name="補正勤務時間合計" localSheetId="4">'11月'!$X$50</definedName>
    <definedName name="補正勤務時間合計" localSheetId="3">'12月'!$X$50</definedName>
    <definedName name="補正勤務時間合計" localSheetId="2">'1月'!$X$50</definedName>
    <definedName name="補正勤務時間合計" localSheetId="1">'2月'!$X$50</definedName>
    <definedName name="補正勤務時間合計" localSheetId="0">'3月'!$X$50</definedName>
    <definedName name="補正勤務時間合計" localSheetId="11">'4月'!$X$50</definedName>
    <definedName name="補正勤務時間合計" localSheetId="10">'5月'!$X$50</definedName>
    <definedName name="補正勤務時間合計" localSheetId="9">'6月'!$X$50</definedName>
    <definedName name="補正勤務時間合計" localSheetId="8">'7月'!$X$50</definedName>
    <definedName name="補正勤務時間合計" localSheetId="7">'8月'!$X$50</definedName>
    <definedName name="補正勤務時間合計" localSheetId="6">'9月'!$X$50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6" i="60" l="1"/>
  <c r="K6" i="121"/>
  <c r="K6" i="120"/>
  <c r="K6" i="119"/>
  <c r="K6" i="118"/>
  <c r="K6" i="117"/>
  <c r="K6" i="116"/>
  <c r="K6" i="115"/>
  <c r="K6" i="114"/>
  <c r="K6" i="113"/>
  <c r="K6" i="111"/>
  <c r="K6" i="59"/>
  <c r="J47" i="121"/>
  <c r="L47" i="121" s="1"/>
  <c r="L46" i="121"/>
  <c r="J46" i="121"/>
  <c r="J45" i="121"/>
  <c r="L45" i="121" s="1"/>
  <c r="L44" i="121"/>
  <c r="J44" i="121"/>
  <c r="J43" i="121"/>
  <c r="L43" i="121" s="1"/>
  <c r="L42" i="121"/>
  <c r="J42" i="121"/>
  <c r="J41" i="121"/>
  <c r="L41" i="121" s="1"/>
  <c r="J40" i="121"/>
  <c r="L40" i="121" s="1"/>
  <c r="J39" i="121"/>
  <c r="L39" i="121" s="1"/>
  <c r="L38" i="121"/>
  <c r="J38" i="121"/>
  <c r="L37" i="121"/>
  <c r="J37" i="121"/>
  <c r="J36" i="121"/>
  <c r="L36" i="121" s="1"/>
  <c r="J35" i="121"/>
  <c r="L35" i="121" s="1"/>
  <c r="L34" i="121"/>
  <c r="J34" i="121"/>
  <c r="L33" i="121"/>
  <c r="J33" i="121"/>
  <c r="J32" i="121"/>
  <c r="L32" i="121" s="1"/>
  <c r="L31" i="121"/>
  <c r="J31" i="121"/>
  <c r="J30" i="121"/>
  <c r="L30" i="121" s="1"/>
  <c r="J29" i="121"/>
  <c r="L29" i="121" s="1"/>
  <c r="J28" i="121"/>
  <c r="L28" i="121" s="1"/>
  <c r="J27" i="121"/>
  <c r="L27" i="121" s="1"/>
  <c r="L26" i="121"/>
  <c r="J26" i="121"/>
  <c r="J25" i="121"/>
  <c r="L25" i="121" s="1"/>
  <c r="J24" i="121"/>
  <c r="L24" i="121" s="1"/>
  <c r="L23" i="121"/>
  <c r="J23" i="121"/>
  <c r="L22" i="121"/>
  <c r="J22" i="121"/>
  <c r="L21" i="121"/>
  <c r="J21" i="121"/>
  <c r="L20" i="121"/>
  <c r="J20" i="121"/>
  <c r="L19" i="121"/>
  <c r="J19" i="121"/>
  <c r="L18" i="121"/>
  <c r="J18" i="121"/>
  <c r="J47" i="120"/>
  <c r="L47" i="120" s="1"/>
  <c r="J46" i="120"/>
  <c r="L46" i="120" s="1"/>
  <c r="J45" i="120"/>
  <c r="L45" i="120" s="1"/>
  <c r="L44" i="120"/>
  <c r="J44" i="120"/>
  <c r="J43" i="120"/>
  <c r="L43" i="120" s="1"/>
  <c r="L42" i="120"/>
  <c r="J42" i="120"/>
  <c r="L41" i="120"/>
  <c r="J41" i="120"/>
  <c r="L40" i="120"/>
  <c r="J40" i="120"/>
  <c r="L39" i="120"/>
  <c r="J39" i="120"/>
  <c r="J38" i="120"/>
  <c r="L38" i="120" s="1"/>
  <c r="L37" i="120"/>
  <c r="J37" i="120"/>
  <c r="J36" i="120"/>
  <c r="L36" i="120" s="1"/>
  <c r="J35" i="120"/>
  <c r="L35" i="120" s="1"/>
  <c r="J34" i="120"/>
  <c r="L34" i="120" s="1"/>
  <c r="J33" i="120"/>
  <c r="L33" i="120" s="1"/>
  <c r="J32" i="120"/>
  <c r="L32" i="120" s="1"/>
  <c r="J31" i="120"/>
  <c r="L31" i="120" s="1"/>
  <c r="L30" i="120"/>
  <c r="J30" i="120"/>
  <c r="L29" i="120"/>
  <c r="J29" i="120"/>
  <c r="L28" i="120"/>
  <c r="J28" i="120"/>
  <c r="L27" i="120"/>
  <c r="J27" i="120"/>
  <c r="L26" i="120"/>
  <c r="J26" i="120"/>
  <c r="J25" i="120"/>
  <c r="L25" i="120" s="1"/>
  <c r="L24" i="120"/>
  <c r="J24" i="120"/>
  <c r="L23" i="120"/>
  <c r="J23" i="120"/>
  <c r="J22" i="120"/>
  <c r="L22" i="120" s="1"/>
  <c r="J21" i="120"/>
  <c r="L21" i="120" s="1"/>
  <c r="J20" i="120"/>
  <c r="L20" i="120" s="1"/>
  <c r="J19" i="120"/>
  <c r="L19" i="120" s="1"/>
  <c r="J18" i="120"/>
  <c r="L18" i="120" s="1"/>
  <c r="J47" i="119"/>
  <c r="L47" i="119" s="1"/>
  <c r="L46" i="119"/>
  <c r="J46" i="119"/>
  <c r="L45" i="119"/>
  <c r="J45" i="119"/>
  <c r="L44" i="119"/>
  <c r="J44" i="119"/>
  <c r="L43" i="119"/>
  <c r="J43" i="119"/>
  <c r="J42" i="119"/>
  <c r="L42" i="119" s="1"/>
  <c r="J41" i="119"/>
  <c r="L41" i="119" s="1"/>
  <c r="L40" i="119"/>
  <c r="J40" i="119"/>
  <c r="J39" i="119"/>
  <c r="L39" i="119" s="1"/>
  <c r="J38" i="119"/>
  <c r="L38" i="119" s="1"/>
  <c r="L37" i="119"/>
  <c r="J37" i="119"/>
  <c r="L36" i="119"/>
  <c r="J36" i="119"/>
  <c r="J35" i="119"/>
  <c r="L35" i="119" s="1"/>
  <c r="L34" i="119"/>
  <c r="J34" i="119"/>
  <c r="J33" i="119"/>
  <c r="L33" i="119" s="1"/>
  <c r="L32" i="119"/>
  <c r="J32" i="119"/>
  <c r="J31" i="119"/>
  <c r="L31" i="119" s="1"/>
  <c r="L30" i="119"/>
  <c r="J30" i="119"/>
  <c r="L29" i="119"/>
  <c r="J29" i="119"/>
  <c r="J28" i="119"/>
  <c r="L28" i="119" s="1"/>
  <c r="J27" i="119"/>
  <c r="L27" i="119" s="1"/>
  <c r="L26" i="119"/>
  <c r="J26" i="119"/>
  <c r="L25" i="119"/>
  <c r="J25" i="119"/>
  <c r="L24" i="119"/>
  <c r="J24" i="119"/>
  <c r="J23" i="119"/>
  <c r="L23" i="119" s="1"/>
  <c r="L22" i="119"/>
  <c r="J22" i="119"/>
  <c r="L21" i="119"/>
  <c r="J21" i="119"/>
  <c r="J20" i="119"/>
  <c r="L20" i="119" s="1"/>
  <c r="L19" i="119"/>
  <c r="J19" i="119"/>
  <c r="J18" i="119"/>
  <c r="L18" i="119" s="1"/>
  <c r="J47" i="118"/>
  <c r="L47" i="118" s="1"/>
  <c r="J46" i="118"/>
  <c r="L46" i="118" s="1"/>
  <c r="J45" i="118"/>
  <c r="L45" i="118" s="1"/>
  <c r="L44" i="118"/>
  <c r="J44" i="118"/>
  <c r="J43" i="118"/>
  <c r="L43" i="118" s="1"/>
  <c r="J42" i="118"/>
  <c r="L42" i="118" s="1"/>
  <c r="L41" i="118"/>
  <c r="J41" i="118"/>
  <c r="L40" i="118"/>
  <c r="J40" i="118"/>
  <c r="L39" i="118"/>
  <c r="J39" i="118"/>
  <c r="L38" i="118"/>
  <c r="J38" i="118"/>
  <c r="L37" i="118"/>
  <c r="J37" i="118"/>
  <c r="L36" i="118"/>
  <c r="J36" i="118"/>
  <c r="J35" i="118"/>
  <c r="L35" i="118" s="1"/>
  <c r="J34" i="118"/>
  <c r="L34" i="118" s="1"/>
  <c r="J33" i="118"/>
  <c r="L33" i="118" s="1"/>
  <c r="L32" i="118"/>
  <c r="J32" i="118"/>
  <c r="J31" i="118"/>
  <c r="L31" i="118" s="1"/>
  <c r="J30" i="118"/>
  <c r="L30" i="118" s="1"/>
  <c r="L29" i="118"/>
  <c r="J29" i="118"/>
  <c r="L28" i="118"/>
  <c r="J28" i="118"/>
  <c r="L27" i="118"/>
  <c r="J27" i="118"/>
  <c r="L26" i="118"/>
  <c r="J26" i="118"/>
  <c r="L25" i="118"/>
  <c r="J25" i="118"/>
  <c r="J24" i="118"/>
  <c r="L24" i="118" s="1"/>
  <c r="J23" i="118"/>
  <c r="L23" i="118" s="1"/>
  <c r="J22" i="118"/>
  <c r="L22" i="118" s="1"/>
  <c r="J21" i="118"/>
  <c r="L21" i="118" s="1"/>
  <c r="J20" i="118"/>
  <c r="L20" i="118" s="1"/>
  <c r="L19" i="118"/>
  <c r="J19" i="118"/>
  <c r="L18" i="118"/>
  <c r="J18" i="118"/>
  <c r="J47" i="117"/>
  <c r="L47" i="117" s="1"/>
  <c r="L46" i="117"/>
  <c r="J46" i="117"/>
  <c r="J45" i="117"/>
  <c r="L45" i="117" s="1"/>
  <c r="L44" i="117"/>
  <c r="J44" i="117"/>
  <c r="L43" i="117"/>
  <c r="J43" i="117"/>
  <c r="L42" i="117"/>
  <c r="J42" i="117"/>
  <c r="J41" i="117"/>
  <c r="L41" i="117" s="1"/>
  <c r="J40" i="117"/>
  <c r="L40" i="117" s="1"/>
  <c r="J39" i="117"/>
  <c r="L39" i="117" s="1"/>
  <c r="J38" i="117"/>
  <c r="L38" i="117" s="1"/>
  <c r="J37" i="117"/>
  <c r="L37" i="117" s="1"/>
  <c r="J36" i="117"/>
  <c r="L36" i="117" s="1"/>
  <c r="J35" i="117"/>
  <c r="L35" i="117" s="1"/>
  <c r="L34" i="117"/>
  <c r="J34" i="117"/>
  <c r="L33" i="117"/>
  <c r="J33" i="117"/>
  <c r="L32" i="117"/>
  <c r="J32" i="117"/>
  <c r="L31" i="117"/>
  <c r="J31" i="117"/>
  <c r="J30" i="117"/>
  <c r="L30" i="117" s="1"/>
  <c r="J29" i="117"/>
  <c r="L29" i="117" s="1"/>
  <c r="L28" i="117"/>
  <c r="J28" i="117"/>
  <c r="J27" i="117"/>
  <c r="L27" i="117" s="1"/>
  <c r="J26" i="117"/>
  <c r="L26" i="117" s="1"/>
  <c r="L25" i="117"/>
  <c r="J25" i="117"/>
  <c r="L24" i="117"/>
  <c r="J24" i="117"/>
  <c r="J23" i="117"/>
  <c r="L23" i="117" s="1"/>
  <c r="L22" i="117"/>
  <c r="J22" i="117"/>
  <c r="J21" i="117"/>
  <c r="L21" i="117" s="1"/>
  <c r="L20" i="117"/>
  <c r="J20" i="117"/>
  <c r="J19" i="117"/>
  <c r="L19" i="117" s="1"/>
  <c r="L18" i="117"/>
  <c r="J18" i="117"/>
  <c r="L47" i="116"/>
  <c r="J47" i="116"/>
  <c r="J46" i="116"/>
  <c r="L46" i="116" s="1"/>
  <c r="J45" i="116"/>
  <c r="L45" i="116" s="1"/>
  <c r="L44" i="116"/>
  <c r="J44" i="116"/>
  <c r="L43" i="116"/>
  <c r="J43" i="116"/>
  <c r="L42" i="116"/>
  <c r="J42" i="116"/>
  <c r="J41" i="116"/>
  <c r="L41" i="116" s="1"/>
  <c r="L40" i="116"/>
  <c r="J40" i="116"/>
  <c r="L39" i="116"/>
  <c r="J39" i="116"/>
  <c r="J38" i="116"/>
  <c r="L38" i="116" s="1"/>
  <c r="L37" i="116"/>
  <c r="J37" i="116"/>
  <c r="J36" i="116"/>
  <c r="L36" i="116" s="1"/>
  <c r="J35" i="116"/>
  <c r="L35" i="116" s="1"/>
  <c r="J34" i="116"/>
  <c r="L34" i="116" s="1"/>
  <c r="J33" i="116"/>
  <c r="L33" i="116" s="1"/>
  <c r="L32" i="116"/>
  <c r="J32" i="116"/>
  <c r="J31" i="116"/>
  <c r="L31" i="116" s="1"/>
  <c r="J30" i="116"/>
  <c r="L30" i="116" s="1"/>
  <c r="L29" i="116"/>
  <c r="J29" i="116"/>
  <c r="J28" i="116"/>
  <c r="L28" i="116" s="1"/>
  <c r="L27" i="116"/>
  <c r="J27" i="116"/>
  <c r="L26" i="116"/>
  <c r="J26" i="116"/>
  <c r="J25" i="116"/>
  <c r="L25" i="116" s="1"/>
  <c r="J24" i="116"/>
  <c r="L24" i="116" s="1"/>
  <c r="L23" i="116"/>
  <c r="J23" i="116"/>
  <c r="J22" i="116"/>
  <c r="L22" i="116" s="1"/>
  <c r="L21" i="116"/>
  <c r="J21" i="116"/>
  <c r="J20" i="116"/>
  <c r="L20" i="116" s="1"/>
  <c r="J19" i="116"/>
  <c r="L19" i="116" s="1"/>
  <c r="J18" i="116"/>
  <c r="L18" i="116" s="1"/>
  <c r="J47" i="115"/>
  <c r="L47" i="115" s="1"/>
  <c r="J46" i="115"/>
  <c r="L46" i="115" s="1"/>
  <c r="J45" i="115"/>
  <c r="L45" i="115" s="1"/>
  <c r="L44" i="115"/>
  <c r="J44" i="115"/>
  <c r="L43" i="115"/>
  <c r="J43" i="115"/>
  <c r="J42" i="115"/>
  <c r="L42" i="115" s="1"/>
  <c r="L41" i="115"/>
  <c r="J41" i="115"/>
  <c r="J40" i="115"/>
  <c r="L40" i="115" s="1"/>
  <c r="L39" i="115"/>
  <c r="J39" i="115"/>
  <c r="L38" i="115"/>
  <c r="J38" i="115"/>
  <c r="J37" i="115"/>
  <c r="L37" i="115" s="1"/>
  <c r="L36" i="115"/>
  <c r="J36" i="115"/>
  <c r="J35" i="115"/>
  <c r="L35" i="115" s="1"/>
  <c r="L34" i="115"/>
  <c r="J34" i="115"/>
  <c r="J33" i="115"/>
  <c r="L33" i="115" s="1"/>
  <c r="L32" i="115"/>
  <c r="J32" i="115"/>
  <c r="L31" i="115"/>
  <c r="J31" i="115"/>
  <c r="L30" i="115"/>
  <c r="J30" i="115"/>
  <c r="J29" i="115"/>
  <c r="L29" i="115" s="1"/>
  <c r="L28" i="115"/>
  <c r="J28" i="115"/>
  <c r="L27" i="115"/>
  <c r="J27" i="115"/>
  <c r="J26" i="115"/>
  <c r="L26" i="115" s="1"/>
  <c r="J25" i="115"/>
  <c r="L25" i="115" s="1"/>
  <c r="J24" i="115"/>
  <c r="L24" i="115" s="1"/>
  <c r="J23" i="115"/>
  <c r="L23" i="115" s="1"/>
  <c r="J22" i="115"/>
  <c r="L22" i="115" s="1"/>
  <c r="J21" i="115"/>
  <c r="L21" i="115" s="1"/>
  <c r="L20" i="115"/>
  <c r="J20" i="115"/>
  <c r="J19" i="115"/>
  <c r="L19" i="115" s="1"/>
  <c r="J18" i="115"/>
  <c r="L18" i="115" s="1"/>
  <c r="J47" i="114"/>
  <c r="L47" i="114" s="1"/>
  <c r="L46" i="114"/>
  <c r="J46" i="114"/>
  <c r="L45" i="114"/>
  <c r="J45" i="114"/>
  <c r="J44" i="114"/>
  <c r="L44" i="114" s="1"/>
  <c r="J43" i="114"/>
  <c r="L43" i="114" s="1"/>
  <c r="J42" i="114"/>
  <c r="L42" i="114" s="1"/>
  <c r="L41" i="114"/>
  <c r="J41" i="114"/>
  <c r="J40" i="114"/>
  <c r="L40" i="114" s="1"/>
  <c r="J39" i="114"/>
  <c r="L39" i="114" s="1"/>
  <c r="L38" i="114"/>
  <c r="J38" i="114"/>
  <c r="L37" i="114"/>
  <c r="J37" i="114"/>
  <c r="L36" i="114"/>
  <c r="J36" i="114"/>
  <c r="J35" i="114"/>
  <c r="L35" i="114" s="1"/>
  <c r="L34" i="114"/>
  <c r="J34" i="114"/>
  <c r="J33" i="114"/>
  <c r="L33" i="114" s="1"/>
  <c r="J32" i="114"/>
  <c r="L32" i="114" s="1"/>
  <c r="J31" i="114"/>
  <c r="L31" i="114" s="1"/>
  <c r="J30" i="114"/>
  <c r="L30" i="114" s="1"/>
  <c r="J29" i="114"/>
  <c r="L29" i="114" s="1"/>
  <c r="J28" i="114"/>
  <c r="L28" i="114" s="1"/>
  <c r="J27" i="114"/>
  <c r="L27" i="114" s="1"/>
  <c r="L26" i="114"/>
  <c r="J26" i="114"/>
  <c r="J25" i="114"/>
  <c r="L25" i="114" s="1"/>
  <c r="L24" i="114"/>
  <c r="J24" i="114"/>
  <c r="J23" i="114"/>
  <c r="L23" i="114" s="1"/>
  <c r="J22" i="114"/>
  <c r="L22" i="114" s="1"/>
  <c r="J21" i="114"/>
  <c r="L21" i="114" s="1"/>
  <c r="J20" i="114"/>
  <c r="L20" i="114" s="1"/>
  <c r="J19" i="114"/>
  <c r="L19" i="114" s="1"/>
  <c r="J18" i="114"/>
  <c r="L18" i="114" s="1"/>
  <c r="J47" i="113"/>
  <c r="L47" i="113" s="1"/>
  <c r="L46" i="113"/>
  <c r="J46" i="113"/>
  <c r="J45" i="113"/>
  <c r="L45" i="113" s="1"/>
  <c r="L44" i="113"/>
  <c r="J44" i="113"/>
  <c r="L43" i="113"/>
  <c r="J43" i="113"/>
  <c r="J42" i="113"/>
  <c r="L42" i="113" s="1"/>
  <c r="L41" i="113"/>
  <c r="J41" i="113"/>
  <c r="L40" i="113"/>
  <c r="J40" i="113"/>
  <c r="J39" i="113"/>
  <c r="L39" i="113" s="1"/>
  <c r="J38" i="113"/>
  <c r="L38" i="113" s="1"/>
  <c r="J37" i="113"/>
  <c r="L37" i="113" s="1"/>
  <c r="J36" i="113"/>
  <c r="L36" i="113" s="1"/>
  <c r="J35" i="113"/>
  <c r="L35" i="113" s="1"/>
  <c r="L34" i="113"/>
  <c r="J34" i="113"/>
  <c r="J33" i="113"/>
  <c r="L33" i="113" s="1"/>
  <c r="L32" i="113"/>
  <c r="J32" i="113"/>
  <c r="J31" i="113"/>
  <c r="L31" i="113" s="1"/>
  <c r="L30" i="113"/>
  <c r="J30" i="113"/>
  <c r="J29" i="113"/>
  <c r="L29" i="113" s="1"/>
  <c r="J28" i="113"/>
  <c r="L28" i="113" s="1"/>
  <c r="J27" i="113"/>
  <c r="L27" i="113" s="1"/>
  <c r="J26" i="113"/>
  <c r="L26" i="113" s="1"/>
  <c r="J25" i="113"/>
  <c r="L25" i="113" s="1"/>
  <c r="J24" i="113"/>
  <c r="L24" i="113" s="1"/>
  <c r="J23" i="113"/>
  <c r="L23" i="113" s="1"/>
  <c r="L22" i="113"/>
  <c r="J22" i="113"/>
  <c r="L21" i="113"/>
  <c r="J21" i="113"/>
  <c r="L20" i="113"/>
  <c r="J20" i="113"/>
  <c r="L19" i="113"/>
  <c r="J19" i="113"/>
  <c r="L18" i="113"/>
  <c r="J18" i="113"/>
  <c r="J47" i="111"/>
  <c r="L47" i="111" s="1"/>
  <c r="L46" i="111"/>
  <c r="J46" i="111"/>
  <c r="L45" i="111"/>
  <c r="J45" i="111"/>
  <c r="J44" i="111"/>
  <c r="L44" i="111" s="1"/>
  <c r="J43" i="111"/>
  <c r="L43" i="111" s="1"/>
  <c r="L42" i="111"/>
  <c r="J42" i="111"/>
  <c r="J41" i="111"/>
  <c r="L41" i="111" s="1"/>
  <c r="J40" i="111"/>
  <c r="L40" i="111" s="1"/>
  <c r="J39" i="111"/>
  <c r="L39" i="111" s="1"/>
  <c r="L38" i="111"/>
  <c r="J38" i="111"/>
  <c r="L37" i="111"/>
  <c r="J37" i="111"/>
  <c r="J36" i="111"/>
  <c r="L36" i="111" s="1"/>
  <c r="J35" i="111"/>
  <c r="L35" i="111" s="1"/>
  <c r="L34" i="111"/>
  <c r="J34" i="111"/>
  <c r="J33" i="111"/>
  <c r="L33" i="111" s="1"/>
  <c r="J32" i="111"/>
  <c r="L32" i="111" s="1"/>
  <c r="J31" i="111"/>
  <c r="L31" i="111" s="1"/>
  <c r="J30" i="111"/>
  <c r="L30" i="111" s="1"/>
  <c r="J29" i="111"/>
  <c r="L29" i="111" s="1"/>
  <c r="J28" i="111"/>
  <c r="L28" i="111" s="1"/>
  <c r="L27" i="111"/>
  <c r="J27" i="111"/>
  <c r="J26" i="111"/>
  <c r="L26" i="111" s="1"/>
  <c r="J25" i="111"/>
  <c r="L25" i="111" s="1"/>
  <c r="J24" i="111"/>
  <c r="L24" i="111" s="1"/>
  <c r="J23" i="111"/>
  <c r="L23" i="111" s="1"/>
  <c r="L22" i="111"/>
  <c r="J22" i="111"/>
  <c r="J21" i="111"/>
  <c r="L21" i="111" s="1"/>
  <c r="J20" i="111"/>
  <c r="L20" i="111" s="1"/>
  <c r="L19" i="111"/>
  <c r="J19" i="111"/>
  <c r="J18" i="111"/>
  <c r="L18" i="111" s="1"/>
  <c r="L47" i="60"/>
  <c r="J47" i="60"/>
  <c r="J46" i="60"/>
  <c r="L46" i="60" s="1"/>
  <c r="L45" i="60"/>
  <c r="J45" i="60"/>
  <c r="L44" i="60"/>
  <c r="J44" i="60"/>
  <c r="L43" i="60"/>
  <c r="J43" i="60"/>
  <c r="J42" i="60"/>
  <c r="L42" i="60" s="1"/>
  <c r="J41" i="60"/>
  <c r="L41" i="60" s="1"/>
  <c r="J40" i="60"/>
  <c r="L40" i="60" s="1"/>
  <c r="J39" i="60"/>
  <c r="L39" i="60" s="1"/>
  <c r="L38" i="60"/>
  <c r="J38" i="60"/>
  <c r="J37" i="60"/>
  <c r="L37" i="60" s="1"/>
  <c r="J36" i="60"/>
  <c r="L36" i="60" s="1"/>
  <c r="J35" i="60"/>
  <c r="L35" i="60" s="1"/>
  <c r="J34" i="60"/>
  <c r="L34" i="60" s="1"/>
  <c r="J33" i="60"/>
  <c r="L33" i="60" s="1"/>
  <c r="L32" i="60"/>
  <c r="J32" i="60"/>
  <c r="J31" i="60"/>
  <c r="L31" i="60" s="1"/>
  <c r="L30" i="60"/>
  <c r="J30" i="60"/>
  <c r="J29" i="60"/>
  <c r="L29" i="60" s="1"/>
  <c r="J28" i="60"/>
  <c r="L28" i="60" s="1"/>
  <c r="J27" i="60"/>
  <c r="L27" i="60" s="1"/>
  <c r="J26" i="60"/>
  <c r="L26" i="60" s="1"/>
  <c r="J25" i="60"/>
  <c r="L25" i="60" s="1"/>
  <c r="J24" i="60"/>
  <c r="L24" i="60" s="1"/>
  <c r="J23" i="60"/>
  <c r="L23" i="60" s="1"/>
  <c r="J22" i="60"/>
  <c r="L22" i="60" s="1"/>
  <c r="J21" i="60"/>
  <c r="L21" i="60" s="1"/>
  <c r="L20" i="60"/>
  <c r="J20" i="60"/>
  <c r="L19" i="60"/>
  <c r="J19" i="60"/>
  <c r="J18" i="60"/>
  <c r="L18" i="60" s="1"/>
  <c r="J47" i="59"/>
  <c r="L47" i="59" s="1"/>
  <c r="J46" i="59"/>
  <c r="L46" i="59" s="1"/>
  <c r="J45" i="59"/>
  <c r="L45" i="59" s="1"/>
  <c r="J44" i="59"/>
  <c r="L44" i="59" s="1"/>
  <c r="J43" i="59"/>
  <c r="L43" i="59" s="1"/>
  <c r="J42" i="59"/>
  <c r="L42" i="59" s="1"/>
  <c r="J41" i="59"/>
  <c r="L41" i="59" s="1"/>
  <c r="L40" i="59"/>
  <c r="J40" i="59"/>
  <c r="J39" i="59"/>
  <c r="L39" i="59" s="1"/>
  <c r="L38" i="59"/>
  <c r="J38" i="59"/>
  <c r="L37" i="59"/>
  <c r="J37" i="59"/>
  <c r="L36" i="59"/>
  <c r="J36" i="59"/>
  <c r="J35" i="59"/>
  <c r="L35" i="59" s="1"/>
  <c r="J34" i="59"/>
  <c r="L34" i="59" s="1"/>
  <c r="J33" i="59"/>
  <c r="L33" i="59" s="1"/>
  <c r="J32" i="59"/>
  <c r="L32" i="59" s="1"/>
  <c r="J31" i="59"/>
  <c r="L31" i="59" s="1"/>
  <c r="J30" i="59"/>
  <c r="L30" i="59" s="1"/>
  <c r="J29" i="59"/>
  <c r="L29" i="59" s="1"/>
  <c r="J28" i="59"/>
  <c r="L28" i="59" s="1"/>
  <c r="L27" i="59"/>
  <c r="J27" i="59"/>
  <c r="L26" i="59"/>
  <c r="J26" i="59"/>
  <c r="L25" i="59"/>
  <c r="J25" i="59"/>
  <c r="J24" i="59"/>
  <c r="L24" i="59" s="1"/>
  <c r="J23" i="59"/>
  <c r="L23" i="59" s="1"/>
  <c r="J22" i="59"/>
  <c r="L22" i="59" s="1"/>
  <c r="J21" i="59"/>
  <c r="L21" i="59" s="1"/>
  <c r="J20" i="59"/>
  <c r="L20" i="59" s="1"/>
  <c r="J19" i="59"/>
  <c r="L19" i="59" s="1"/>
  <c r="J18" i="59"/>
  <c r="L18" i="59" s="1"/>
  <c r="J66" i="121"/>
  <c r="F52" i="121"/>
  <c r="AF46" i="121" s="1"/>
  <c r="AA52" i="121"/>
  <c r="S13" i="121"/>
  <c r="C10" i="121"/>
  <c r="C8" i="121"/>
  <c r="A6" i="121"/>
  <c r="E5" i="121"/>
  <c r="N65" i="121"/>
  <c r="J61" i="121"/>
  <c r="D61" i="121"/>
  <c r="J59" i="121"/>
  <c r="AA56" i="121"/>
  <c r="Q55" i="121"/>
  <c r="S51" i="121"/>
  <c r="S52" i="121" s="1"/>
  <c r="O51" i="121"/>
  <c r="O52" i="121" s="1"/>
  <c r="K51" i="121"/>
  <c r="K52" i="121" s="1"/>
  <c r="G51" i="121"/>
  <c r="J17" i="121"/>
  <c r="L17" i="121" s="1"/>
  <c r="AB5" i="121" a="1"/>
  <c r="AB5" i="121" s="1"/>
  <c r="Y2" i="121"/>
  <c r="J66" i="120"/>
  <c r="F52" i="120"/>
  <c r="AF46" i="120" s="1"/>
  <c r="AA52" i="120"/>
  <c r="S13" i="120"/>
  <c r="C10" i="120"/>
  <c r="C8" i="120"/>
  <c r="A6" i="120"/>
  <c r="E5" i="120"/>
  <c r="N65" i="120"/>
  <c r="J61" i="120"/>
  <c r="D61" i="120"/>
  <c r="J59" i="120"/>
  <c r="AA56" i="120"/>
  <c r="Q55" i="120"/>
  <c r="S51" i="120"/>
  <c r="S52" i="120" s="1"/>
  <c r="O51" i="120"/>
  <c r="O52" i="120" s="1"/>
  <c r="K51" i="120"/>
  <c r="K52" i="120" s="1"/>
  <c r="G51" i="120"/>
  <c r="J17" i="120"/>
  <c r="L17" i="120" s="1"/>
  <c r="AB5" i="120" a="1"/>
  <c r="AB5" i="120" s="1"/>
  <c r="AB6" i="120" s="1"/>
  <c r="Y2" i="120"/>
  <c r="J66" i="119"/>
  <c r="F52" i="119"/>
  <c r="AA52" i="119"/>
  <c r="S13" i="119"/>
  <c r="C10" i="119"/>
  <c r="C8" i="119"/>
  <c r="A6" i="119"/>
  <c r="E5" i="119"/>
  <c r="N65" i="119"/>
  <c r="J61" i="119"/>
  <c r="D61" i="119"/>
  <c r="J59" i="119"/>
  <c r="AA56" i="119"/>
  <c r="Q55" i="119"/>
  <c r="AF46" i="119"/>
  <c r="S51" i="119"/>
  <c r="S52" i="119" s="1"/>
  <c r="O51" i="119"/>
  <c r="O52" i="119" s="1"/>
  <c r="K51" i="119"/>
  <c r="K52" i="119" s="1"/>
  <c r="G51" i="119"/>
  <c r="L17" i="119"/>
  <c r="J17" i="119"/>
  <c r="AB5" i="119" a="1"/>
  <c r="AB5" i="119" s="1"/>
  <c r="Y2" i="119"/>
  <c r="J66" i="118"/>
  <c r="F52" i="118"/>
  <c r="AA52" i="118"/>
  <c r="S13" i="118"/>
  <c r="C10" i="118"/>
  <c r="C8" i="118"/>
  <c r="A6" i="118"/>
  <c r="E5" i="118"/>
  <c r="N65" i="118"/>
  <c r="J61" i="118"/>
  <c r="D61" i="118"/>
  <c r="J59" i="118"/>
  <c r="AA56" i="118"/>
  <c r="Q55" i="118"/>
  <c r="AF46" i="118"/>
  <c r="S51" i="118"/>
  <c r="S52" i="118" s="1"/>
  <c r="O51" i="118"/>
  <c r="O52" i="118" s="1"/>
  <c r="K51" i="118"/>
  <c r="K52" i="118" s="1"/>
  <c r="G51" i="118"/>
  <c r="J17" i="118"/>
  <c r="L17" i="118" s="1"/>
  <c r="AB5" i="118" a="1"/>
  <c r="AB5" i="118" s="1"/>
  <c r="Y2" i="118"/>
  <c r="J66" i="117"/>
  <c r="F52" i="117"/>
  <c r="AA52" i="117"/>
  <c r="S13" i="117"/>
  <c r="C10" i="117"/>
  <c r="C8" i="117"/>
  <c r="A6" i="117"/>
  <c r="E5" i="117"/>
  <c r="N65" i="117"/>
  <c r="J61" i="117"/>
  <c r="D61" i="117"/>
  <c r="J59" i="117"/>
  <c r="AA56" i="117"/>
  <c r="Q55" i="117"/>
  <c r="AF46" i="117"/>
  <c r="S51" i="117"/>
  <c r="S52" i="117" s="1"/>
  <c r="O51" i="117"/>
  <c r="O52" i="117" s="1"/>
  <c r="K51" i="117"/>
  <c r="K52" i="117" s="1"/>
  <c r="G51" i="117"/>
  <c r="J17" i="117"/>
  <c r="L17" i="117" s="1"/>
  <c r="AB5" i="117" a="1"/>
  <c r="AB5" i="117" s="1"/>
  <c r="AB6" i="117" s="1"/>
  <c r="Y2" i="117"/>
  <c r="J66" i="116"/>
  <c r="F52" i="116"/>
  <c r="AA52" i="116"/>
  <c r="S13" i="116"/>
  <c r="C10" i="116"/>
  <c r="C8" i="116"/>
  <c r="A6" i="116"/>
  <c r="E5" i="116"/>
  <c r="N65" i="116"/>
  <c r="J61" i="116"/>
  <c r="D61" i="116"/>
  <c r="J59" i="116"/>
  <c r="AA56" i="116"/>
  <c r="Q55" i="116"/>
  <c r="AF46" i="116"/>
  <c r="S51" i="116"/>
  <c r="S52" i="116" s="1"/>
  <c r="O51" i="116"/>
  <c r="O52" i="116" s="1"/>
  <c r="K51" i="116"/>
  <c r="K52" i="116" s="1"/>
  <c r="G51" i="116"/>
  <c r="J17" i="116"/>
  <c r="L17" i="116" s="1"/>
  <c r="AB5" i="116" a="1"/>
  <c r="AB5" i="116" s="1"/>
  <c r="AB6" i="116" s="1"/>
  <c r="Y2" i="116"/>
  <c r="J66" i="115"/>
  <c r="F52" i="115"/>
  <c r="AA52" i="115"/>
  <c r="S13" i="115"/>
  <c r="C10" i="115"/>
  <c r="C8" i="115"/>
  <c r="A6" i="115"/>
  <c r="E5" i="115"/>
  <c r="N65" i="115"/>
  <c r="J61" i="115"/>
  <c r="D61" i="115"/>
  <c r="J59" i="115"/>
  <c r="AA56" i="115"/>
  <c r="Q55" i="115"/>
  <c r="AF46" i="115"/>
  <c r="S51" i="115"/>
  <c r="S52" i="115" s="1"/>
  <c r="O51" i="115"/>
  <c r="O52" i="115" s="1"/>
  <c r="K51" i="115"/>
  <c r="K52" i="115" s="1"/>
  <c r="G51" i="115"/>
  <c r="L17" i="115"/>
  <c r="J17" i="115"/>
  <c r="AB5" i="115" a="1"/>
  <c r="AB5" i="115" s="1"/>
  <c r="Y2" i="115"/>
  <c r="J66" i="114"/>
  <c r="F52" i="114"/>
  <c r="AA52" i="114"/>
  <c r="S13" i="114"/>
  <c r="C10" i="114"/>
  <c r="C8" i="114"/>
  <c r="A6" i="114"/>
  <c r="E5" i="114"/>
  <c r="N65" i="114"/>
  <c r="J61" i="114"/>
  <c r="D61" i="114"/>
  <c r="J59" i="114"/>
  <c r="AA56" i="114"/>
  <c r="Q55" i="114"/>
  <c r="AF46" i="114"/>
  <c r="S51" i="114"/>
  <c r="S52" i="114" s="1"/>
  <c r="O51" i="114"/>
  <c r="O52" i="114" s="1"/>
  <c r="K51" i="114"/>
  <c r="K52" i="114" s="1"/>
  <c r="G51" i="114"/>
  <c r="J17" i="114"/>
  <c r="L17" i="114" s="1"/>
  <c r="AB5" i="114" a="1"/>
  <c r="AB5" i="114" s="1"/>
  <c r="Y2" i="114"/>
  <c r="J66" i="113"/>
  <c r="F52" i="113"/>
  <c r="AF46" i="113" s="1"/>
  <c r="AA52" i="113"/>
  <c r="S13" i="113"/>
  <c r="C10" i="113"/>
  <c r="C8" i="113"/>
  <c r="A6" i="113"/>
  <c r="E5" i="113"/>
  <c r="N65" i="113"/>
  <c r="J61" i="113"/>
  <c r="D61" i="113"/>
  <c r="J59" i="113"/>
  <c r="AA56" i="113"/>
  <c r="Q55" i="113"/>
  <c r="S51" i="113"/>
  <c r="S52" i="113" s="1"/>
  <c r="O51" i="113"/>
  <c r="O52" i="113" s="1"/>
  <c r="K51" i="113"/>
  <c r="K52" i="113" s="1"/>
  <c r="G51" i="113"/>
  <c r="J17" i="113"/>
  <c r="L17" i="113" s="1"/>
  <c r="AB5" i="113" a="1"/>
  <c r="AB5" i="113" s="1"/>
  <c r="Y2" i="113"/>
  <c r="J66" i="111"/>
  <c r="F52" i="111"/>
  <c r="AA52" i="111"/>
  <c r="S13" i="111"/>
  <c r="C10" i="111"/>
  <c r="C8" i="111"/>
  <c r="A6" i="111"/>
  <c r="E5" i="111"/>
  <c r="F52" i="60"/>
  <c r="AA50" i="59"/>
  <c r="E5" i="59"/>
  <c r="A6" i="59"/>
  <c r="C8" i="59"/>
  <c r="AA52" i="59"/>
  <c r="C10" i="59"/>
  <c r="F52" i="59"/>
  <c r="W52" i="121" l="1"/>
  <c r="P57" i="121"/>
  <c r="A3" i="121"/>
  <c r="A17" i="121" s="1"/>
  <c r="AB6" i="121"/>
  <c r="P5" i="121" s="1"/>
  <c r="W51" i="121"/>
  <c r="AA54" i="121" s="1"/>
  <c r="L49" i="121"/>
  <c r="Q54" i="121" s="1"/>
  <c r="Q56" i="121" s="1"/>
  <c r="W52" i="120"/>
  <c r="W51" i="120"/>
  <c r="L49" i="120"/>
  <c r="Q54" i="120" s="1"/>
  <c r="Q56" i="120" s="1"/>
  <c r="AA51" i="120"/>
  <c r="A3" i="120"/>
  <c r="A17" i="120" s="1"/>
  <c r="P57" i="120"/>
  <c r="P5" i="120"/>
  <c r="W52" i="119"/>
  <c r="P57" i="119"/>
  <c r="A3" i="119"/>
  <c r="A17" i="119" s="1"/>
  <c r="L49" i="119"/>
  <c r="Q54" i="119" s="1"/>
  <c r="Q56" i="119" s="1"/>
  <c r="AB6" i="119"/>
  <c r="P5" i="119" s="1"/>
  <c r="W51" i="119"/>
  <c r="AA54" i="119" s="1"/>
  <c r="W52" i="118"/>
  <c r="W51" i="118"/>
  <c r="AA54" i="118" s="1"/>
  <c r="P57" i="118"/>
  <c r="A3" i="118"/>
  <c r="A17" i="118" s="1"/>
  <c r="AB6" i="118"/>
  <c r="P5" i="118" s="1"/>
  <c r="L49" i="118"/>
  <c r="Q54" i="118" s="1"/>
  <c r="Q56" i="118" s="1"/>
  <c r="W52" i="117"/>
  <c r="L49" i="117"/>
  <c r="Q54" i="117" s="1"/>
  <c r="Q56" i="117" s="1"/>
  <c r="W51" i="117"/>
  <c r="AA54" i="117" s="1"/>
  <c r="P57" i="117"/>
  <c r="P5" i="117"/>
  <c r="A3" i="117"/>
  <c r="A17" i="117" s="1"/>
  <c r="W52" i="116"/>
  <c r="W51" i="116"/>
  <c r="AA54" i="116" s="1"/>
  <c r="L49" i="116"/>
  <c r="Q54" i="116" s="1"/>
  <c r="Q56" i="116" s="1"/>
  <c r="P57" i="116"/>
  <c r="P5" i="116"/>
  <c r="A3" i="116"/>
  <c r="A17" i="116" s="1"/>
  <c r="W52" i="115"/>
  <c r="L49" i="115"/>
  <c r="Q54" i="115" s="1"/>
  <c r="Q56" i="115" s="1"/>
  <c r="P57" i="115"/>
  <c r="AB6" i="115"/>
  <c r="P5" i="115" s="1"/>
  <c r="A3" i="115"/>
  <c r="A17" i="115" s="1"/>
  <c r="W51" i="115"/>
  <c r="AA54" i="115" s="1"/>
  <c r="W52" i="114"/>
  <c r="W51" i="114"/>
  <c r="AA54" i="114" s="1"/>
  <c r="P57" i="114"/>
  <c r="A3" i="114"/>
  <c r="A17" i="114" s="1"/>
  <c r="AB6" i="114"/>
  <c r="P5" i="114" s="1"/>
  <c r="L49" i="114"/>
  <c r="Q54" i="114" s="1"/>
  <c r="Q56" i="114" s="1"/>
  <c r="W52" i="113"/>
  <c r="A3" i="113"/>
  <c r="A17" i="113" s="1"/>
  <c r="AB6" i="113"/>
  <c r="P5" i="113" s="1"/>
  <c r="P57" i="113"/>
  <c r="L49" i="113"/>
  <c r="Q54" i="113" s="1"/>
  <c r="Q56" i="113" s="1"/>
  <c r="W51" i="113"/>
  <c r="AA54" i="113" s="1"/>
  <c r="N65" i="59"/>
  <c r="J59" i="59"/>
  <c r="AA56" i="59"/>
  <c r="Q55" i="59"/>
  <c r="AA54" i="59"/>
  <c r="S51" i="59"/>
  <c r="S52" i="59" s="1"/>
  <c r="O51" i="59"/>
  <c r="O52" i="59" s="1"/>
  <c r="K51" i="59"/>
  <c r="K52" i="59" s="1"/>
  <c r="G51" i="59"/>
  <c r="J17" i="59"/>
  <c r="L17" i="59" s="1"/>
  <c r="Y2" i="59"/>
  <c r="J59" i="111"/>
  <c r="AA56" i="111"/>
  <c r="Q55" i="111"/>
  <c r="S51" i="111"/>
  <c r="S52" i="111" s="1"/>
  <c r="O51" i="111"/>
  <c r="O52" i="111" s="1"/>
  <c r="K51" i="111"/>
  <c r="K52" i="111" s="1"/>
  <c r="G51" i="111"/>
  <c r="J17" i="111"/>
  <c r="L17" i="111" s="1"/>
  <c r="AB5" i="111" a="1"/>
  <c r="AB5" i="111" s="1"/>
  <c r="P57" i="111" s="1"/>
  <c r="Y2" i="111"/>
  <c r="N17" i="121" l="1"/>
  <c r="C17" i="121"/>
  <c r="A18" i="121"/>
  <c r="R17" i="121"/>
  <c r="V17" i="121"/>
  <c r="T17" i="121" s="1"/>
  <c r="C51" i="121"/>
  <c r="N66" i="121" s="1"/>
  <c r="AA51" i="121"/>
  <c r="A58" i="121"/>
  <c r="D56" i="121"/>
  <c r="A56" i="121"/>
  <c r="G55" i="121"/>
  <c r="J55" i="121" s="1"/>
  <c r="A57" i="121"/>
  <c r="A55" i="121"/>
  <c r="I56" i="121"/>
  <c r="G56" i="121"/>
  <c r="F56" i="121"/>
  <c r="AB8" i="121"/>
  <c r="J54" i="121"/>
  <c r="C51" i="120"/>
  <c r="N66" i="120" s="1"/>
  <c r="AA54" i="120"/>
  <c r="A58" i="120"/>
  <c r="D56" i="120"/>
  <c r="A56" i="120"/>
  <c r="A57" i="120"/>
  <c r="A55" i="120"/>
  <c r="G55" i="120"/>
  <c r="J55" i="120" s="1"/>
  <c r="G56" i="120"/>
  <c r="AB8" i="120"/>
  <c r="F56" i="120"/>
  <c r="J54" i="120"/>
  <c r="I56" i="120"/>
  <c r="N17" i="120"/>
  <c r="C17" i="120"/>
  <c r="A18" i="120"/>
  <c r="V17" i="120"/>
  <c r="T17" i="120" s="1"/>
  <c r="R17" i="120"/>
  <c r="C51" i="119"/>
  <c r="N66" i="119" s="1"/>
  <c r="AA51" i="119"/>
  <c r="N17" i="119"/>
  <c r="C17" i="119"/>
  <c r="T17" i="119"/>
  <c r="R17" i="119"/>
  <c r="A18" i="119"/>
  <c r="V17" i="119"/>
  <c r="A58" i="119"/>
  <c r="D56" i="119"/>
  <c r="A56" i="119"/>
  <c r="G55" i="119"/>
  <c r="J55" i="119" s="1"/>
  <c r="A57" i="119"/>
  <c r="I56" i="119"/>
  <c r="G56" i="119"/>
  <c r="A55" i="119"/>
  <c r="F56" i="119"/>
  <c r="AB8" i="119"/>
  <c r="J54" i="119"/>
  <c r="N17" i="118"/>
  <c r="C17" i="118"/>
  <c r="V17" i="118"/>
  <c r="R17" i="118"/>
  <c r="A18" i="118"/>
  <c r="T17" i="118"/>
  <c r="A58" i="118"/>
  <c r="D56" i="118"/>
  <c r="A56" i="118"/>
  <c r="G55" i="118"/>
  <c r="J55" i="118" s="1"/>
  <c r="A57" i="118"/>
  <c r="A55" i="118"/>
  <c r="G56" i="118"/>
  <c r="F56" i="118"/>
  <c r="AB8" i="118"/>
  <c r="J54" i="118"/>
  <c r="I56" i="118"/>
  <c r="C51" i="118"/>
  <c r="N66" i="118" s="1"/>
  <c r="AA51" i="118"/>
  <c r="N17" i="117"/>
  <c r="C17" i="117"/>
  <c r="A18" i="117"/>
  <c r="R17" i="117"/>
  <c r="V17" i="117"/>
  <c r="T17" i="117"/>
  <c r="A58" i="117"/>
  <c r="D56" i="117"/>
  <c r="A56" i="117"/>
  <c r="A57" i="117"/>
  <c r="A55" i="117"/>
  <c r="G55" i="117"/>
  <c r="J55" i="117" s="1"/>
  <c r="AB8" i="117"/>
  <c r="J54" i="117"/>
  <c r="G56" i="117"/>
  <c r="I56" i="117"/>
  <c r="F56" i="117"/>
  <c r="C51" i="117"/>
  <c r="N66" i="117" s="1"/>
  <c r="AA51" i="117"/>
  <c r="N17" i="116"/>
  <c r="C17" i="116"/>
  <c r="A18" i="116"/>
  <c r="V17" i="116"/>
  <c r="T17" i="116"/>
  <c r="R17" i="116"/>
  <c r="A58" i="116"/>
  <c r="D56" i="116"/>
  <c r="A57" i="116"/>
  <c r="A56" i="116"/>
  <c r="A55" i="116"/>
  <c r="G55" i="116"/>
  <c r="J55" i="116" s="1"/>
  <c r="J54" i="116"/>
  <c r="I56" i="116"/>
  <c r="AB8" i="116"/>
  <c r="G56" i="116"/>
  <c r="F56" i="116"/>
  <c r="C51" i="116"/>
  <c r="N66" i="116" s="1"/>
  <c r="AA51" i="116"/>
  <c r="C51" i="115"/>
  <c r="N66" i="115" s="1"/>
  <c r="AA51" i="115"/>
  <c r="N17" i="115"/>
  <c r="R17" i="115"/>
  <c r="V17" i="115"/>
  <c r="C17" i="115"/>
  <c r="A18" i="115"/>
  <c r="T17" i="115"/>
  <c r="A58" i="115"/>
  <c r="D56" i="115"/>
  <c r="A56" i="115"/>
  <c r="I56" i="115"/>
  <c r="A57" i="115"/>
  <c r="AB8" i="115"/>
  <c r="J54" i="115"/>
  <c r="G55" i="115"/>
  <c r="J55" i="115" s="1"/>
  <c r="A55" i="115"/>
  <c r="G56" i="115"/>
  <c r="F56" i="115"/>
  <c r="N17" i="114"/>
  <c r="C17" i="114"/>
  <c r="A18" i="114"/>
  <c r="V17" i="114"/>
  <c r="T17" i="114"/>
  <c r="R17" i="114"/>
  <c r="A58" i="114"/>
  <c r="D56" i="114"/>
  <c r="A56" i="114"/>
  <c r="G55" i="114"/>
  <c r="J55" i="114" s="1"/>
  <c r="A57" i="114"/>
  <c r="A55" i="114"/>
  <c r="J54" i="114"/>
  <c r="AB8" i="114"/>
  <c r="I56" i="114"/>
  <c r="G56" i="114"/>
  <c r="F56" i="114"/>
  <c r="C51" i="114"/>
  <c r="N66" i="114" s="1"/>
  <c r="AA51" i="114"/>
  <c r="G55" i="113"/>
  <c r="J55" i="113" s="1"/>
  <c r="A57" i="113"/>
  <c r="A55" i="113"/>
  <c r="AB8" i="113"/>
  <c r="A58" i="113"/>
  <c r="I56" i="113"/>
  <c r="G56" i="113"/>
  <c r="F56" i="113"/>
  <c r="D56" i="113"/>
  <c r="A56" i="113"/>
  <c r="J54" i="113"/>
  <c r="AA51" i="113"/>
  <c r="C51" i="113"/>
  <c r="N66" i="113" s="1"/>
  <c r="C17" i="113"/>
  <c r="T17" i="113"/>
  <c r="N17" i="113"/>
  <c r="A18" i="113"/>
  <c r="V17" i="113"/>
  <c r="R17" i="113"/>
  <c r="W51" i="59"/>
  <c r="L49" i="59"/>
  <c r="Q54" i="59" s="1"/>
  <c r="Q56" i="59" s="1"/>
  <c r="W52" i="59"/>
  <c r="W52" i="111"/>
  <c r="A3" i="111"/>
  <c r="A17" i="111" s="1"/>
  <c r="AB6" i="111"/>
  <c r="P5" i="111" s="1"/>
  <c r="L49" i="111"/>
  <c r="Q54" i="111" s="1"/>
  <c r="Q56" i="111" s="1"/>
  <c r="W51" i="111"/>
  <c r="AA54" i="111" s="1"/>
  <c r="D58" i="121" l="1"/>
  <c r="D57" i="121"/>
  <c r="D58" i="120"/>
  <c r="D57" i="120"/>
  <c r="D58" i="119"/>
  <c r="D57" i="119"/>
  <c r="D58" i="118"/>
  <c r="D57" i="118"/>
  <c r="D58" i="117"/>
  <c r="D57" i="117"/>
  <c r="D58" i="116"/>
  <c r="D57" i="116"/>
  <c r="D58" i="115"/>
  <c r="D57" i="115"/>
  <c r="D58" i="114"/>
  <c r="D57" i="114"/>
  <c r="D58" i="113"/>
  <c r="D57" i="113"/>
  <c r="R18" i="119"/>
  <c r="V18" i="119"/>
  <c r="T18" i="119"/>
  <c r="N18" i="119"/>
  <c r="N18" i="113"/>
  <c r="AB18" i="113" s="1"/>
  <c r="V18" i="113"/>
  <c r="T18" i="113"/>
  <c r="R18" i="113"/>
  <c r="R18" i="117"/>
  <c r="V18" i="117"/>
  <c r="T18" i="117" s="1"/>
  <c r="N18" i="117"/>
  <c r="AB18" i="117" s="1"/>
  <c r="P18" i="117"/>
  <c r="N18" i="116"/>
  <c r="AB18" i="116" s="1"/>
  <c r="T18" i="116"/>
  <c r="V18" i="116"/>
  <c r="R18" i="116"/>
  <c r="R18" i="121"/>
  <c r="V18" i="121"/>
  <c r="T18" i="121"/>
  <c r="N18" i="121"/>
  <c r="AB18" i="121" s="1"/>
  <c r="N18" i="115"/>
  <c r="V18" i="115"/>
  <c r="T18" i="115"/>
  <c r="R18" i="115"/>
  <c r="R18" i="120"/>
  <c r="N18" i="120"/>
  <c r="AB18" i="120" s="1"/>
  <c r="T18" i="120"/>
  <c r="V18" i="120"/>
  <c r="N18" i="114"/>
  <c r="AB18" i="114" s="1"/>
  <c r="V18" i="114"/>
  <c r="R18" i="114"/>
  <c r="T18" i="114"/>
  <c r="V18" i="118"/>
  <c r="T18" i="118"/>
  <c r="N18" i="118"/>
  <c r="AB18" i="118" s="1"/>
  <c r="R18" i="118"/>
  <c r="P17" i="121"/>
  <c r="J56" i="121"/>
  <c r="D54" i="121"/>
  <c r="G54" i="121"/>
  <c r="I54" i="121"/>
  <c r="C18" i="121"/>
  <c r="A19" i="121"/>
  <c r="AB17" i="121"/>
  <c r="P17" i="120"/>
  <c r="J56" i="120"/>
  <c r="C18" i="120"/>
  <c r="A19" i="120"/>
  <c r="AB17" i="120"/>
  <c r="D54" i="120"/>
  <c r="I54" i="120"/>
  <c r="G54" i="120"/>
  <c r="P17" i="119"/>
  <c r="J56" i="119"/>
  <c r="AB17" i="119"/>
  <c r="D54" i="119"/>
  <c r="I54" i="119"/>
  <c r="G54" i="119"/>
  <c r="A19" i="119"/>
  <c r="C18" i="119"/>
  <c r="P17" i="118"/>
  <c r="J56" i="118"/>
  <c r="D54" i="118"/>
  <c r="I54" i="118"/>
  <c r="G54" i="118"/>
  <c r="C18" i="118"/>
  <c r="A19" i="118"/>
  <c r="AB17" i="118"/>
  <c r="P17" i="117"/>
  <c r="P17" i="116"/>
  <c r="J56" i="117"/>
  <c r="C18" i="117"/>
  <c r="A19" i="117"/>
  <c r="D54" i="117"/>
  <c r="I54" i="117"/>
  <c r="G54" i="117"/>
  <c r="AB17" i="117"/>
  <c r="P17" i="115"/>
  <c r="J56" i="116"/>
  <c r="C18" i="116"/>
  <c r="A19" i="116"/>
  <c r="D54" i="116"/>
  <c r="I54" i="116"/>
  <c r="G54" i="116"/>
  <c r="AB17" i="116"/>
  <c r="J56" i="115"/>
  <c r="D54" i="115"/>
  <c r="G54" i="115"/>
  <c r="I54" i="115"/>
  <c r="A19" i="115"/>
  <c r="C18" i="115"/>
  <c r="AB17" i="115"/>
  <c r="P17" i="114"/>
  <c r="J56" i="114"/>
  <c r="D54" i="114"/>
  <c r="I54" i="114"/>
  <c r="G54" i="114"/>
  <c r="C18" i="114"/>
  <c r="A19" i="114"/>
  <c r="AB17" i="114"/>
  <c r="J56" i="113"/>
  <c r="P17" i="113"/>
  <c r="C18" i="113"/>
  <c r="A19" i="113"/>
  <c r="AB17" i="113"/>
  <c r="I54" i="113"/>
  <c r="G54" i="113"/>
  <c r="D54" i="113"/>
  <c r="C51" i="59"/>
  <c r="N66" i="59" s="1"/>
  <c r="N65" i="111"/>
  <c r="C51" i="111"/>
  <c r="N66" i="111" s="1"/>
  <c r="C17" i="111"/>
  <c r="A18" i="111"/>
  <c r="V17" i="111"/>
  <c r="T17" i="111" s="1"/>
  <c r="R17" i="111"/>
  <c r="N65" i="60"/>
  <c r="P18" i="113" l="1"/>
  <c r="P18" i="116"/>
  <c r="P18" i="119"/>
  <c r="AB18" i="119"/>
  <c r="P18" i="115"/>
  <c r="P18" i="120"/>
  <c r="P18" i="121"/>
  <c r="P18" i="114"/>
  <c r="AB18" i="115"/>
  <c r="V19" i="121"/>
  <c r="R19" i="121"/>
  <c r="T19" i="121"/>
  <c r="N19" i="121"/>
  <c r="AB19" i="121" s="1"/>
  <c r="P19" i="114"/>
  <c r="V19" i="114"/>
  <c r="T19" i="114" s="1"/>
  <c r="R19" i="114"/>
  <c r="N19" i="114"/>
  <c r="AB19" i="114" s="1"/>
  <c r="V19" i="117"/>
  <c r="N19" i="117"/>
  <c r="AB19" i="117" s="1"/>
  <c r="T19" i="117"/>
  <c r="R19" i="117"/>
  <c r="T19" i="119"/>
  <c r="N19" i="119"/>
  <c r="AB19" i="119" s="1"/>
  <c r="V19" i="119"/>
  <c r="R19" i="119"/>
  <c r="R19" i="115"/>
  <c r="N19" i="115"/>
  <c r="AB19" i="115" s="1"/>
  <c r="V19" i="115"/>
  <c r="T19" i="115"/>
  <c r="N19" i="116"/>
  <c r="AB19" i="116" s="1"/>
  <c r="V19" i="116"/>
  <c r="T19" i="116"/>
  <c r="R19" i="116"/>
  <c r="P19" i="116" s="1"/>
  <c r="P18" i="118"/>
  <c r="V19" i="113"/>
  <c r="T19" i="113"/>
  <c r="R19" i="113"/>
  <c r="N19" i="113"/>
  <c r="AB19" i="113" s="1"/>
  <c r="T18" i="111"/>
  <c r="R18" i="111"/>
  <c r="V18" i="111"/>
  <c r="R19" i="118"/>
  <c r="N19" i="118"/>
  <c r="AB19" i="118" s="1"/>
  <c r="T19" i="118"/>
  <c r="V19" i="118"/>
  <c r="V19" i="120"/>
  <c r="N19" i="120"/>
  <c r="AB19" i="120" s="1"/>
  <c r="T19" i="120"/>
  <c r="R19" i="120"/>
  <c r="A20" i="121"/>
  <c r="C19" i="121"/>
  <c r="A20" i="120"/>
  <c r="C19" i="120"/>
  <c r="A20" i="119"/>
  <c r="C19" i="119"/>
  <c r="A20" i="118"/>
  <c r="C19" i="118"/>
  <c r="A20" i="117"/>
  <c r="C19" i="117"/>
  <c r="A20" i="116"/>
  <c r="C19" i="116"/>
  <c r="A20" i="115"/>
  <c r="C19" i="115"/>
  <c r="A20" i="114"/>
  <c r="C19" i="114"/>
  <c r="A20" i="113"/>
  <c r="C19" i="113"/>
  <c r="C18" i="111"/>
  <c r="A19" i="111"/>
  <c r="AB18" i="111"/>
  <c r="AB17" i="111"/>
  <c r="P19" i="119" l="1"/>
  <c r="V20" i="116"/>
  <c r="N20" i="116"/>
  <c r="AB20" i="116" s="1"/>
  <c r="T20" i="116"/>
  <c r="R20" i="116"/>
  <c r="T19" i="111"/>
  <c r="V19" i="111"/>
  <c r="R19" i="111"/>
  <c r="P19" i="120"/>
  <c r="N20" i="120"/>
  <c r="AB20" i="120" s="1"/>
  <c r="R20" i="120"/>
  <c r="T20" i="120"/>
  <c r="V20" i="120"/>
  <c r="N20" i="117"/>
  <c r="AB20" i="117" s="1"/>
  <c r="V20" i="117"/>
  <c r="T20" i="117"/>
  <c r="R20" i="117"/>
  <c r="P19" i="117"/>
  <c r="P19" i="113"/>
  <c r="P19" i="121"/>
  <c r="N20" i="121"/>
  <c r="AB20" i="121" s="1"/>
  <c r="T20" i="121"/>
  <c r="V20" i="121"/>
  <c r="R20" i="121"/>
  <c r="V20" i="118"/>
  <c r="R20" i="118"/>
  <c r="N20" i="118"/>
  <c r="AB20" i="118" s="1"/>
  <c r="T20" i="118"/>
  <c r="T20" i="113"/>
  <c r="R20" i="113"/>
  <c r="N20" i="113"/>
  <c r="AB20" i="113" s="1"/>
  <c r="V20" i="113"/>
  <c r="N20" i="119"/>
  <c r="AB20" i="119" s="1"/>
  <c r="V20" i="119"/>
  <c r="T20" i="119" s="1"/>
  <c r="R20" i="119"/>
  <c r="P20" i="119"/>
  <c r="V20" i="114"/>
  <c r="N20" i="114"/>
  <c r="AB20" i="114" s="1"/>
  <c r="R20" i="114"/>
  <c r="T20" i="114"/>
  <c r="P19" i="118"/>
  <c r="R20" i="115"/>
  <c r="V20" i="115"/>
  <c r="T20" i="115"/>
  <c r="N20" i="115"/>
  <c r="AB20" i="115" s="1"/>
  <c r="P19" i="115"/>
  <c r="A21" i="121"/>
  <c r="C20" i="121"/>
  <c r="A21" i="120"/>
  <c r="C20" i="120"/>
  <c r="A21" i="119"/>
  <c r="C20" i="119"/>
  <c r="A21" i="118"/>
  <c r="C20" i="118"/>
  <c r="A21" i="117"/>
  <c r="C20" i="117"/>
  <c r="A21" i="116"/>
  <c r="C20" i="116"/>
  <c r="A21" i="115"/>
  <c r="C20" i="115"/>
  <c r="A21" i="114"/>
  <c r="C20" i="114"/>
  <c r="A21" i="113"/>
  <c r="C20" i="113"/>
  <c r="C19" i="111"/>
  <c r="A20" i="111"/>
  <c r="AB19" i="111"/>
  <c r="J59" i="60"/>
  <c r="AA56" i="60"/>
  <c r="Q55" i="60"/>
  <c r="S51" i="60"/>
  <c r="O51" i="60"/>
  <c r="O52" i="60" s="1"/>
  <c r="K51" i="60"/>
  <c r="K52" i="60" s="1"/>
  <c r="G51" i="60"/>
  <c r="J17" i="60"/>
  <c r="L17" i="60" s="1"/>
  <c r="AB5" i="60" a="1"/>
  <c r="AB5" i="60" s="1"/>
  <c r="P57" i="60" s="1"/>
  <c r="Y2" i="60"/>
  <c r="P20" i="113" l="1"/>
  <c r="P20" i="114"/>
  <c r="P20" i="117"/>
  <c r="T21" i="113"/>
  <c r="V21" i="113"/>
  <c r="R21" i="113"/>
  <c r="N21" i="113"/>
  <c r="T21" i="119"/>
  <c r="V21" i="119"/>
  <c r="N21" i="119"/>
  <c r="R21" i="119"/>
  <c r="P20" i="120"/>
  <c r="V21" i="114"/>
  <c r="T21" i="114"/>
  <c r="R21" i="114"/>
  <c r="N21" i="114"/>
  <c r="R21" i="120"/>
  <c r="T21" i="120"/>
  <c r="N21" i="120"/>
  <c r="V21" i="120"/>
  <c r="V21" i="115"/>
  <c r="T21" i="115"/>
  <c r="R21" i="115"/>
  <c r="N21" i="115"/>
  <c r="P20" i="118"/>
  <c r="N21" i="116"/>
  <c r="P21" i="116"/>
  <c r="R21" i="116"/>
  <c r="V21" i="116"/>
  <c r="T21" i="116" s="1"/>
  <c r="V21" i="121"/>
  <c r="T21" i="121"/>
  <c r="R21" i="121"/>
  <c r="N21" i="121"/>
  <c r="V21" i="117"/>
  <c r="T21" i="117"/>
  <c r="N21" i="117"/>
  <c r="R21" i="117"/>
  <c r="P20" i="121"/>
  <c r="P20" i="116"/>
  <c r="R20" i="111"/>
  <c r="T20" i="111"/>
  <c r="V20" i="111"/>
  <c r="P20" i="115"/>
  <c r="N21" i="118"/>
  <c r="R21" i="118"/>
  <c r="V21" i="118"/>
  <c r="T21" i="118"/>
  <c r="C21" i="121"/>
  <c r="A22" i="121"/>
  <c r="A22" i="120"/>
  <c r="C21" i="120"/>
  <c r="C21" i="119"/>
  <c r="A22" i="119"/>
  <c r="C21" i="118"/>
  <c r="A22" i="118"/>
  <c r="C21" i="117"/>
  <c r="A22" i="117"/>
  <c r="A22" i="116"/>
  <c r="C21" i="116"/>
  <c r="A22" i="115"/>
  <c r="C21" i="115"/>
  <c r="C21" i="114"/>
  <c r="A22" i="114"/>
  <c r="A22" i="113"/>
  <c r="C21" i="113"/>
  <c r="A3" i="60"/>
  <c r="A17" i="60" s="1"/>
  <c r="C17" i="60" s="1"/>
  <c r="C20" i="111"/>
  <c r="A21" i="111"/>
  <c r="W51" i="60"/>
  <c r="AA54" i="60" s="1"/>
  <c r="S52" i="60"/>
  <c r="W52" i="60" s="1"/>
  <c r="L49" i="60"/>
  <c r="AB6" i="60"/>
  <c r="P5" i="60" s="1"/>
  <c r="P21" i="119" l="1"/>
  <c r="P21" i="117"/>
  <c r="P21" i="115"/>
  <c r="P21" i="113"/>
  <c r="P21" i="121"/>
  <c r="P21" i="114"/>
  <c r="P21" i="120"/>
  <c r="P21" i="118"/>
  <c r="R22" i="114"/>
  <c r="T22" i="114"/>
  <c r="V22" i="114"/>
  <c r="N22" i="114"/>
  <c r="AB22" i="114" s="1"/>
  <c r="V22" i="120"/>
  <c r="N22" i="120"/>
  <c r="AB22" i="120" s="1"/>
  <c r="T22" i="120"/>
  <c r="R22" i="120"/>
  <c r="T22" i="121"/>
  <c r="V22" i="121"/>
  <c r="R22" i="121"/>
  <c r="N22" i="121"/>
  <c r="AB22" i="121" s="1"/>
  <c r="T22" i="116"/>
  <c r="R22" i="116"/>
  <c r="V22" i="116"/>
  <c r="N22" i="116"/>
  <c r="AB22" i="116" s="1"/>
  <c r="T22" i="119"/>
  <c r="R22" i="119"/>
  <c r="V22" i="119"/>
  <c r="N22" i="119"/>
  <c r="AB22" i="119" s="1"/>
  <c r="R22" i="113"/>
  <c r="P22" i="113"/>
  <c r="V22" i="113"/>
  <c r="T22" i="113" s="1"/>
  <c r="N22" i="113"/>
  <c r="AB22" i="113" s="1"/>
  <c r="V22" i="117"/>
  <c r="T22" i="117"/>
  <c r="N22" i="117"/>
  <c r="AB22" i="117" s="1"/>
  <c r="R22" i="117"/>
  <c r="V21" i="111"/>
  <c r="T21" i="111"/>
  <c r="R21" i="111"/>
  <c r="R22" i="115"/>
  <c r="T22" i="115"/>
  <c r="N22" i="115"/>
  <c r="AB22" i="115" s="1"/>
  <c r="V22" i="115"/>
  <c r="V22" i="118"/>
  <c r="T22" i="118"/>
  <c r="N22" i="118"/>
  <c r="AB22" i="118" s="1"/>
  <c r="R22" i="118"/>
  <c r="C22" i="121"/>
  <c r="A23" i="121"/>
  <c r="AB21" i="121"/>
  <c r="C22" i="120"/>
  <c r="A23" i="120"/>
  <c r="AB21" i="120"/>
  <c r="A23" i="119"/>
  <c r="C22" i="119"/>
  <c r="AB21" i="119"/>
  <c r="C22" i="118"/>
  <c r="A23" i="118"/>
  <c r="AB21" i="118"/>
  <c r="C22" i="117"/>
  <c r="A23" i="117"/>
  <c r="AB21" i="117"/>
  <c r="C22" i="116"/>
  <c r="A23" i="116"/>
  <c r="AB21" i="116"/>
  <c r="A23" i="115"/>
  <c r="C22" i="115"/>
  <c r="AB21" i="115"/>
  <c r="C22" i="114"/>
  <c r="A23" i="114"/>
  <c r="AB21" i="114"/>
  <c r="AB21" i="113"/>
  <c r="C22" i="113"/>
  <c r="A23" i="113"/>
  <c r="V17" i="60"/>
  <c r="R17" i="60"/>
  <c r="N17" i="60" s="1"/>
  <c r="AB17" i="60" s="1"/>
  <c r="A18" i="60"/>
  <c r="T17" i="60"/>
  <c r="C51" i="60"/>
  <c r="N66" i="60" s="1"/>
  <c r="AB21" i="111"/>
  <c r="A22" i="111"/>
  <c r="C21" i="111"/>
  <c r="AB20" i="111"/>
  <c r="Q54" i="60"/>
  <c r="Q56" i="60" s="1"/>
  <c r="P22" i="120" l="1"/>
  <c r="P22" i="121"/>
  <c r="P22" i="118"/>
  <c r="P22" i="119"/>
  <c r="N23" i="118"/>
  <c r="R23" i="118"/>
  <c r="P23" i="118"/>
  <c r="V23" i="118"/>
  <c r="T23" i="118" s="1"/>
  <c r="V23" i="114"/>
  <c r="N23" i="114"/>
  <c r="T23" i="114"/>
  <c r="R23" i="114"/>
  <c r="R22" i="111"/>
  <c r="V22" i="111"/>
  <c r="T22" i="111"/>
  <c r="R23" i="115"/>
  <c r="P23" i="115"/>
  <c r="N23" i="115"/>
  <c r="V23" i="115"/>
  <c r="T23" i="115" s="1"/>
  <c r="N18" i="60"/>
  <c r="AB18" i="60" s="1"/>
  <c r="V18" i="60"/>
  <c r="T18" i="60"/>
  <c r="R18" i="60"/>
  <c r="T23" i="116"/>
  <c r="N23" i="116"/>
  <c r="R23" i="116"/>
  <c r="V23" i="116"/>
  <c r="T23" i="120"/>
  <c r="R23" i="120"/>
  <c r="V23" i="120"/>
  <c r="N23" i="120"/>
  <c r="P22" i="115"/>
  <c r="P22" i="117"/>
  <c r="P22" i="116"/>
  <c r="P22" i="114"/>
  <c r="N23" i="113"/>
  <c r="T23" i="113"/>
  <c r="V23" i="113"/>
  <c r="R23" i="113"/>
  <c r="T23" i="117"/>
  <c r="R23" i="117"/>
  <c r="N23" i="117"/>
  <c r="V23" i="117"/>
  <c r="T23" i="121"/>
  <c r="R23" i="121"/>
  <c r="V23" i="121"/>
  <c r="N23" i="121"/>
  <c r="T23" i="119"/>
  <c r="V23" i="119"/>
  <c r="R23" i="119"/>
  <c r="N23" i="119"/>
  <c r="A24" i="121"/>
  <c r="C23" i="121"/>
  <c r="A24" i="120"/>
  <c r="C23" i="120"/>
  <c r="A24" i="119"/>
  <c r="C23" i="119"/>
  <c r="A24" i="118"/>
  <c r="C23" i="118"/>
  <c r="A24" i="117"/>
  <c r="C23" i="117"/>
  <c r="A24" i="116"/>
  <c r="C23" i="116"/>
  <c r="A24" i="115"/>
  <c r="C23" i="115"/>
  <c r="A24" i="114"/>
  <c r="C23" i="114"/>
  <c r="A24" i="113"/>
  <c r="C23" i="113"/>
  <c r="C18" i="60"/>
  <c r="A19" i="60"/>
  <c r="P17" i="60"/>
  <c r="A23" i="111"/>
  <c r="C22" i="111"/>
  <c r="P23" i="117" l="1"/>
  <c r="P23" i="120"/>
  <c r="P23" i="119"/>
  <c r="P23" i="116"/>
  <c r="P23" i="114"/>
  <c r="P23" i="113"/>
  <c r="P23" i="121"/>
  <c r="P18" i="60"/>
  <c r="R24" i="115"/>
  <c r="T24" i="115"/>
  <c r="V24" i="115"/>
  <c r="N24" i="115"/>
  <c r="N24" i="121"/>
  <c r="AB24" i="121" s="1"/>
  <c r="P24" i="121"/>
  <c r="R24" i="121"/>
  <c r="V24" i="121"/>
  <c r="T24" i="121" s="1"/>
  <c r="N24" i="116"/>
  <c r="AB24" i="116" s="1"/>
  <c r="R24" i="116"/>
  <c r="T24" i="116"/>
  <c r="V24" i="116"/>
  <c r="T23" i="111"/>
  <c r="R23" i="111"/>
  <c r="V23" i="111"/>
  <c r="R24" i="117"/>
  <c r="V24" i="117"/>
  <c r="N24" i="117"/>
  <c r="AB24" i="117" s="1"/>
  <c r="T24" i="117"/>
  <c r="N19" i="60"/>
  <c r="AB19" i="60" s="1"/>
  <c r="R19" i="60"/>
  <c r="V19" i="60"/>
  <c r="T19" i="60"/>
  <c r="N24" i="113"/>
  <c r="V24" i="113"/>
  <c r="T24" i="113"/>
  <c r="R24" i="113"/>
  <c r="R24" i="119"/>
  <c r="V24" i="119"/>
  <c r="N24" i="119"/>
  <c r="T24" i="119"/>
  <c r="R24" i="118"/>
  <c r="T24" i="118"/>
  <c r="N24" i="118"/>
  <c r="AB24" i="118" s="1"/>
  <c r="V24" i="118"/>
  <c r="N24" i="114"/>
  <c r="AB24" i="114" s="1"/>
  <c r="T24" i="114"/>
  <c r="V24" i="114"/>
  <c r="R24" i="114"/>
  <c r="R24" i="120"/>
  <c r="N24" i="120"/>
  <c r="AB24" i="120" s="1"/>
  <c r="P24" i="120"/>
  <c r="V24" i="120"/>
  <c r="T24" i="120" s="1"/>
  <c r="AB23" i="121"/>
  <c r="A25" i="121"/>
  <c r="C24" i="121"/>
  <c r="AB23" i="120"/>
  <c r="A25" i="120"/>
  <c r="C24" i="120"/>
  <c r="AB23" i="119"/>
  <c r="A25" i="119"/>
  <c r="C24" i="119"/>
  <c r="AB23" i="118"/>
  <c r="A25" i="118"/>
  <c r="C24" i="118"/>
  <c r="AB23" i="117"/>
  <c r="A25" i="117"/>
  <c r="C24" i="117"/>
  <c r="AB23" i="116"/>
  <c r="A25" i="116"/>
  <c r="C24" i="116"/>
  <c r="A25" i="115"/>
  <c r="C24" i="115"/>
  <c r="AB23" i="115"/>
  <c r="AB23" i="114"/>
  <c r="A25" i="114"/>
  <c r="C24" i="114"/>
  <c r="AB23" i="113"/>
  <c r="A25" i="113"/>
  <c r="C24" i="113"/>
  <c r="A20" i="60"/>
  <c r="C19" i="60"/>
  <c r="AB22" i="111"/>
  <c r="C23" i="111"/>
  <c r="A24" i="111"/>
  <c r="AB23" i="111"/>
  <c r="P24" i="115" l="1"/>
  <c r="P24" i="114"/>
  <c r="P24" i="119"/>
  <c r="P24" i="117"/>
  <c r="AB24" i="115"/>
  <c r="AB24" i="119"/>
  <c r="P24" i="113"/>
  <c r="P24" i="118"/>
  <c r="V25" i="114"/>
  <c r="T25" i="114"/>
  <c r="R25" i="114"/>
  <c r="N25" i="114"/>
  <c r="P25" i="117"/>
  <c r="R25" i="117"/>
  <c r="N25" i="117"/>
  <c r="AB25" i="117" s="1"/>
  <c r="V25" i="117"/>
  <c r="T25" i="117" s="1"/>
  <c r="V25" i="120"/>
  <c r="R25" i="120"/>
  <c r="N25" i="120"/>
  <c r="AB25" i="120" s="1"/>
  <c r="T25" i="120"/>
  <c r="P24" i="116"/>
  <c r="R24" i="111"/>
  <c r="V24" i="111"/>
  <c r="T24" i="111" s="1"/>
  <c r="N25" i="118"/>
  <c r="R25" i="118"/>
  <c r="V25" i="118"/>
  <c r="T25" i="118"/>
  <c r="R20" i="60"/>
  <c r="V20" i="60"/>
  <c r="T20" i="60" s="1"/>
  <c r="P20" i="60"/>
  <c r="N20" i="60"/>
  <c r="AB20" i="60" s="1"/>
  <c r="AB24" i="113"/>
  <c r="T25" i="113"/>
  <c r="N25" i="113"/>
  <c r="R25" i="113"/>
  <c r="V25" i="113"/>
  <c r="T25" i="116"/>
  <c r="N25" i="116"/>
  <c r="R25" i="116"/>
  <c r="V25" i="116"/>
  <c r="R25" i="119"/>
  <c r="V25" i="119"/>
  <c r="T25" i="119"/>
  <c r="N25" i="119"/>
  <c r="N25" i="115"/>
  <c r="V25" i="115"/>
  <c r="T25" i="115"/>
  <c r="R25" i="115"/>
  <c r="P19" i="60"/>
  <c r="R25" i="121"/>
  <c r="N25" i="121"/>
  <c r="AB25" i="121" s="1"/>
  <c r="V25" i="121"/>
  <c r="T25" i="121"/>
  <c r="C25" i="121"/>
  <c r="A26" i="121"/>
  <c r="C25" i="120"/>
  <c r="A26" i="120"/>
  <c r="C25" i="119"/>
  <c r="A26" i="119"/>
  <c r="C25" i="118"/>
  <c r="A26" i="118"/>
  <c r="C25" i="117"/>
  <c r="A26" i="117"/>
  <c r="C25" i="116"/>
  <c r="A26" i="116"/>
  <c r="C25" i="115"/>
  <c r="A26" i="115"/>
  <c r="C25" i="114"/>
  <c r="A26" i="114"/>
  <c r="A26" i="113"/>
  <c r="C25" i="113"/>
  <c r="C20" i="60"/>
  <c r="A21" i="60"/>
  <c r="C24" i="111"/>
  <c r="A25" i="111"/>
  <c r="AB24" i="111"/>
  <c r="P25" i="114" l="1"/>
  <c r="P25" i="115"/>
  <c r="P25" i="120"/>
  <c r="AB25" i="114"/>
  <c r="P25" i="119"/>
  <c r="P25" i="116"/>
  <c r="P25" i="113"/>
  <c r="P25" i="118"/>
  <c r="AB25" i="116"/>
  <c r="P25" i="121"/>
  <c r="C21" i="60"/>
  <c r="T21" i="60"/>
  <c r="N21" i="60"/>
  <c r="R21" i="60"/>
  <c r="V21" i="60"/>
  <c r="N26" i="121"/>
  <c r="V26" i="121"/>
  <c r="T26" i="121"/>
  <c r="R26" i="121"/>
  <c r="V26" i="113"/>
  <c r="N26" i="113"/>
  <c r="AB26" i="113" s="1"/>
  <c r="T26" i="113"/>
  <c r="R26" i="113"/>
  <c r="N26" i="118"/>
  <c r="AB26" i="118" s="1"/>
  <c r="V26" i="118"/>
  <c r="T26" i="118"/>
  <c r="R26" i="118"/>
  <c r="V26" i="115"/>
  <c r="R26" i="115"/>
  <c r="T26" i="115"/>
  <c r="N26" i="115"/>
  <c r="AB26" i="115" s="1"/>
  <c r="T26" i="117"/>
  <c r="N26" i="117"/>
  <c r="R26" i="117"/>
  <c r="V26" i="117"/>
  <c r="V26" i="114"/>
  <c r="T26" i="114" s="1"/>
  <c r="R26" i="114"/>
  <c r="P26" i="114"/>
  <c r="N26" i="114"/>
  <c r="AB26" i="114" s="1"/>
  <c r="AB25" i="119"/>
  <c r="N26" i="119"/>
  <c r="AB26" i="119" s="1"/>
  <c r="T26" i="119"/>
  <c r="V26" i="119"/>
  <c r="R26" i="119"/>
  <c r="AB25" i="118"/>
  <c r="R25" i="111"/>
  <c r="T25" i="111"/>
  <c r="V25" i="111"/>
  <c r="T26" i="116"/>
  <c r="R26" i="116"/>
  <c r="N26" i="116"/>
  <c r="V26" i="116"/>
  <c r="N26" i="120"/>
  <c r="T26" i="120"/>
  <c r="R26" i="120"/>
  <c r="V26" i="120"/>
  <c r="C26" i="121"/>
  <c r="A27" i="121"/>
  <c r="C26" i="120"/>
  <c r="A27" i="120"/>
  <c r="C26" i="119"/>
  <c r="A27" i="119"/>
  <c r="C26" i="118"/>
  <c r="A27" i="118"/>
  <c r="C26" i="117"/>
  <c r="A27" i="117"/>
  <c r="C26" i="116"/>
  <c r="A27" i="116"/>
  <c r="AB25" i="115"/>
  <c r="A27" i="115"/>
  <c r="C26" i="115"/>
  <c r="C26" i="114"/>
  <c r="A27" i="114"/>
  <c r="A27" i="113"/>
  <c r="C26" i="113"/>
  <c r="AB25" i="113"/>
  <c r="A22" i="60"/>
  <c r="AB25" i="111"/>
  <c r="C25" i="111"/>
  <c r="A26" i="111"/>
  <c r="P21" i="60" l="1"/>
  <c r="P26" i="116"/>
  <c r="P26" i="118"/>
  <c r="P26" i="121"/>
  <c r="P26" i="117"/>
  <c r="P26" i="119"/>
  <c r="P26" i="113"/>
  <c r="P26" i="120"/>
  <c r="AB26" i="117"/>
  <c r="P26" i="115"/>
  <c r="T27" i="114"/>
  <c r="R27" i="114"/>
  <c r="V27" i="114"/>
  <c r="N27" i="114"/>
  <c r="AB27" i="114" s="1"/>
  <c r="N27" i="118"/>
  <c r="AB27" i="118" s="1"/>
  <c r="R27" i="118"/>
  <c r="V27" i="118"/>
  <c r="T27" i="118"/>
  <c r="N27" i="119"/>
  <c r="AB27" i="119" s="1"/>
  <c r="R27" i="119"/>
  <c r="V27" i="119"/>
  <c r="T27" i="119" s="1"/>
  <c r="P27" i="119"/>
  <c r="A23" i="60"/>
  <c r="A24" i="60" s="1"/>
  <c r="R22" i="60"/>
  <c r="N22" i="60"/>
  <c r="V22" i="60"/>
  <c r="T22" i="60"/>
  <c r="N27" i="117"/>
  <c r="AB27" i="117" s="1"/>
  <c r="V27" i="117"/>
  <c r="R27" i="117"/>
  <c r="T27" i="117"/>
  <c r="V27" i="120"/>
  <c r="T27" i="120"/>
  <c r="R27" i="120"/>
  <c r="N27" i="120"/>
  <c r="AB27" i="120" s="1"/>
  <c r="V27" i="116"/>
  <c r="T27" i="116"/>
  <c r="R27" i="116"/>
  <c r="N27" i="116"/>
  <c r="AB27" i="116" s="1"/>
  <c r="N27" i="121"/>
  <c r="AB27" i="121" s="1"/>
  <c r="T27" i="121"/>
  <c r="V27" i="121"/>
  <c r="R27" i="121"/>
  <c r="R27" i="113"/>
  <c r="V27" i="113"/>
  <c r="T27" i="113"/>
  <c r="N27" i="113"/>
  <c r="AB27" i="113" s="1"/>
  <c r="V26" i="111"/>
  <c r="T26" i="111"/>
  <c r="R26" i="111"/>
  <c r="T27" i="115"/>
  <c r="N27" i="115"/>
  <c r="AB27" i="115" s="1"/>
  <c r="R27" i="115"/>
  <c r="V27" i="115"/>
  <c r="C27" i="121"/>
  <c r="A28" i="121"/>
  <c r="AB26" i="121"/>
  <c r="C27" i="120"/>
  <c r="A28" i="120"/>
  <c r="AB26" i="120"/>
  <c r="A28" i="119"/>
  <c r="C27" i="119"/>
  <c r="C27" i="118"/>
  <c r="A28" i="118"/>
  <c r="C27" i="117"/>
  <c r="A28" i="117"/>
  <c r="C27" i="116"/>
  <c r="A28" i="116"/>
  <c r="AB26" i="116"/>
  <c r="A28" i="115"/>
  <c r="C27" i="115"/>
  <c r="C27" i="114"/>
  <c r="A28" i="114"/>
  <c r="C27" i="113"/>
  <c r="A28" i="113"/>
  <c r="C22" i="60"/>
  <c r="AB21" i="60"/>
  <c r="AB26" i="111"/>
  <c r="C26" i="111"/>
  <c r="A27" i="111"/>
  <c r="P22" i="60" l="1"/>
  <c r="P27" i="120"/>
  <c r="C23" i="60"/>
  <c r="P27" i="115"/>
  <c r="AB22" i="60"/>
  <c r="N24" i="60"/>
  <c r="T24" i="60"/>
  <c r="V24" i="60"/>
  <c r="R24" i="60"/>
  <c r="P27" i="116"/>
  <c r="P27" i="113"/>
  <c r="T27" i="111"/>
  <c r="R27" i="111"/>
  <c r="V27" i="111"/>
  <c r="P28" i="116"/>
  <c r="V28" i="116"/>
  <c r="T28" i="116" s="1"/>
  <c r="N28" i="116"/>
  <c r="AB28" i="116" s="1"/>
  <c r="R28" i="116"/>
  <c r="V28" i="121"/>
  <c r="R28" i="121"/>
  <c r="N28" i="121"/>
  <c r="AB28" i="121" s="1"/>
  <c r="T28" i="121"/>
  <c r="V28" i="117"/>
  <c r="N28" i="117"/>
  <c r="T28" i="117"/>
  <c r="R28" i="117"/>
  <c r="P27" i="118"/>
  <c r="T28" i="118"/>
  <c r="R28" i="118"/>
  <c r="N28" i="118"/>
  <c r="AB28" i="118" s="1"/>
  <c r="V28" i="118"/>
  <c r="P27" i="114"/>
  <c r="T28" i="120"/>
  <c r="R28" i="120"/>
  <c r="N28" i="120"/>
  <c r="AB28" i="120" s="1"/>
  <c r="V28" i="120"/>
  <c r="T28" i="115"/>
  <c r="R28" i="115"/>
  <c r="N28" i="115"/>
  <c r="AB28" i="115" s="1"/>
  <c r="V28" i="115"/>
  <c r="P27" i="117"/>
  <c r="R23" i="60"/>
  <c r="N23" i="60"/>
  <c r="T23" i="60"/>
  <c r="V23" i="60"/>
  <c r="R28" i="113"/>
  <c r="N28" i="113"/>
  <c r="V28" i="113"/>
  <c r="T28" i="113"/>
  <c r="V28" i="114"/>
  <c r="N28" i="114"/>
  <c r="AB28" i="114" s="1"/>
  <c r="R28" i="114"/>
  <c r="T28" i="114"/>
  <c r="V28" i="119"/>
  <c r="N28" i="119"/>
  <c r="R28" i="119"/>
  <c r="T28" i="119"/>
  <c r="P27" i="121"/>
  <c r="A29" i="121"/>
  <c r="C28" i="121"/>
  <c r="A29" i="120"/>
  <c r="C28" i="120"/>
  <c r="A29" i="119"/>
  <c r="C28" i="119"/>
  <c r="A29" i="118"/>
  <c r="C28" i="118"/>
  <c r="A29" i="117"/>
  <c r="C28" i="117"/>
  <c r="A29" i="116"/>
  <c r="C28" i="116"/>
  <c r="A29" i="115"/>
  <c r="C28" i="115"/>
  <c r="A29" i="114"/>
  <c r="C28" i="114"/>
  <c r="A29" i="113"/>
  <c r="C28" i="113"/>
  <c r="AB27" i="111"/>
  <c r="A28" i="111"/>
  <c r="C27" i="111"/>
  <c r="A25" i="60"/>
  <c r="C24" i="60"/>
  <c r="P28" i="114" l="1"/>
  <c r="P23" i="60"/>
  <c r="P28" i="118"/>
  <c r="P28" i="121"/>
  <c r="P28" i="113"/>
  <c r="P28" i="117"/>
  <c r="P28" i="119"/>
  <c r="P24" i="60"/>
  <c r="AB23" i="60"/>
  <c r="AB28" i="119"/>
  <c r="R29" i="115"/>
  <c r="V29" i="115"/>
  <c r="T29" i="115"/>
  <c r="N29" i="115"/>
  <c r="AB29" i="115" s="1"/>
  <c r="N29" i="119"/>
  <c r="AB29" i="119" s="1"/>
  <c r="T29" i="119"/>
  <c r="V29" i="119"/>
  <c r="R29" i="119"/>
  <c r="T25" i="60"/>
  <c r="R25" i="60"/>
  <c r="N25" i="60"/>
  <c r="V25" i="60"/>
  <c r="P28" i="120"/>
  <c r="V28" i="111"/>
  <c r="T28" i="111"/>
  <c r="R28" i="111"/>
  <c r="T29" i="116"/>
  <c r="R29" i="116"/>
  <c r="V29" i="116"/>
  <c r="N29" i="116"/>
  <c r="T29" i="120"/>
  <c r="R29" i="120"/>
  <c r="V29" i="120"/>
  <c r="N29" i="120"/>
  <c r="AB29" i="120" s="1"/>
  <c r="AB28" i="117"/>
  <c r="V29" i="113"/>
  <c r="T29" i="113" s="1"/>
  <c r="R29" i="113"/>
  <c r="P29" i="113"/>
  <c r="N29" i="113"/>
  <c r="AB29" i="113" s="1"/>
  <c r="N29" i="117"/>
  <c r="T29" i="117"/>
  <c r="R29" i="117"/>
  <c r="V29" i="117"/>
  <c r="N29" i="121"/>
  <c r="AB29" i="121" s="1"/>
  <c r="V29" i="121"/>
  <c r="T29" i="121"/>
  <c r="R29" i="121"/>
  <c r="P28" i="115"/>
  <c r="R29" i="114"/>
  <c r="N29" i="114"/>
  <c r="AB29" i="114" s="1"/>
  <c r="T29" i="114"/>
  <c r="V29" i="114"/>
  <c r="T29" i="118"/>
  <c r="N29" i="118"/>
  <c r="AB29" i="118" s="1"/>
  <c r="V29" i="118"/>
  <c r="R29" i="118"/>
  <c r="C29" i="121"/>
  <c r="A30" i="121"/>
  <c r="A30" i="120"/>
  <c r="C29" i="120"/>
  <c r="A30" i="119"/>
  <c r="C29" i="119"/>
  <c r="A30" i="118"/>
  <c r="C29" i="118"/>
  <c r="A30" i="117"/>
  <c r="C29" i="117"/>
  <c r="A30" i="116"/>
  <c r="C29" i="116"/>
  <c r="AB29" i="116"/>
  <c r="A30" i="115"/>
  <c r="C29" i="115"/>
  <c r="A30" i="114"/>
  <c r="C29" i="114"/>
  <c r="A30" i="113"/>
  <c r="C29" i="113"/>
  <c r="AB28" i="113"/>
  <c r="A29" i="111"/>
  <c r="AB28" i="111"/>
  <c r="C28" i="111"/>
  <c r="AB24" i="60"/>
  <c r="A26" i="60"/>
  <c r="C25" i="60"/>
  <c r="P29" i="121" l="1"/>
  <c r="P29" i="116"/>
  <c r="P25" i="60"/>
  <c r="P29" i="114"/>
  <c r="P29" i="117"/>
  <c r="AB29" i="117"/>
  <c r="P29" i="118"/>
  <c r="R30" i="121"/>
  <c r="V30" i="121"/>
  <c r="T30" i="121"/>
  <c r="N30" i="121"/>
  <c r="N30" i="113"/>
  <c r="AB30" i="113" s="1"/>
  <c r="T30" i="113"/>
  <c r="R30" i="113"/>
  <c r="V30" i="113"/>
  <c r="R30" i="117"/>
  <c r="V30" i="117"/>
  <c r="T30" i="117"/>
  <c r="N30" i="117"/>
  <c r="AB30" i="117" s="1"/>
  <c r="T30" i="114"/>
  <c r="R30" i="114"/>
  <c r="N30" i="114"/>
  <c r="V30" i="114"/>
  <c r="P29" i="119"/>
  <c r="V26" i="60"/>
  <c r="N26" i="60"/>
  <c r="AB26" i="60" s="1"/>
  <c r="T26" i="60"/>
  <c r="R26" i="60"/>
  <c r="P30" i="115"/>
  <c r="N30" i="115"/>
  <c r="AB30" i="115" s="1"/>
  <c r="R30" i="115"/>
  <c r="V30" i="115"/>
  <c r="T30" i="115" s="1"/>
  <c r="R30" i="119"/>
  <c r="V30" i="119"/>
  <c r="N30" i="119"/>
  <c r="AB30" i="119" s="1"/>
  <c r="T30" i="119"/>
  <c r="P29" i="120"/>
  <c r="P29" i="115"/>
  <c r="R29" i="111"/>
  <c r="V29" i="111"/>
  <c r="T29" i="111"/>
  <c r="R30" i="118"/>
  <c r="P30" i="118"/>
  <c r="N30" i="118"/>
  <c r="AB30" i="118" s="1"/>
  <c r="V30" i="118"/>
  <c r="T30" i="118" s="1"/>
  <c r="N30" i="116"/>
  <c r="R30" i="116"/>
  <c r="V30" i="116"/>
  <c r="T30" i="116"/>
  <c r="V30" i="120"/>
  <c r="R30" i="120"/>
  <c r="T30" i="120"/>
  <c r="N30" i="120"/>
  <c r="AB30" i="120" s="1"/>
  <c r="C30" i="121"/>
  <c r="A31" i="121"/>
  <c r="C30" i="120"/>
  <c r="A31" i="120"/>
  <c r="C30" i="119"/>
  <c r="A31" i="119"/>
  <c r="C30" i="118"/>
  <c r="A31" i="118"/>
  <c r="C30" i="117"/>
  <c r="A31" i="117"/>
  <c r="C30" i="116"/>
  <c r="A31" i="116"/>
  <c r="C30" i="115"/>
  <c r="A31" i="115"/>
  <c r="C30" i="114"/>
  <c r="A31" i="114"/>
  <c r="A31" i="113"/>
  <c r="C30" i="113"/>
  <c r="C29" i="111"/>
  <c r="A30" i="111"/>
  <c r="AB29" i="111"/>
  <c r="AB25" i="60"/>
  <c r="A27" i="60"/>
  <c r="C26" i="60"/>
  <c r="P30" i="114" l="1"/>
  <c r="P30" i="121"/>
  <c r="P30" i="113"/>
  <c r="AB30" i="121"/>
  <c r="P30" i="119"/>
  <c r="AB30" i="114"/>
  <c r="P26" i="60"/>
  <c r="P30" i="117"/>
  <c r="P30" i="116"/>
  <c r="V31" i="117"/>
  <c r="R31" i="117"/>
  <c r="T31" i="117"/>
  <c r="N31" i="117"/>
  <c r="V31" i="113"/>
  <c r="T31" i="113"/>
  <c r="R31" i="113"/>
  <c r="N31" i="113"/>
  <c r="AB31" i="113" s="1"/>
  <c r="N31" i="114"/>
  <c r="AB31" i="114" s="1"/>
  <c r="V31" i="114"/>
  <c r="T31" i="114"/>
  <c r="R31" i="114"/>
  <c r="T31" i="118"/>
  <c r="R31" i="118"/>
  <c r="V31" i="118"/>
  <c r="N31" i="118"/>
  <c r="P30" i="120"/>
  <c r="V27" i="60"/>
  <c r="T27" i="60" s="1"/>
  <c r="R27" i="60"/>
  <c r="P27" i="60"/>
  <c r="N27" i="60"/>
  <c r="AB27" i="60" s="1"/>
  <c r="V31" i="115"/>
  <c r="R31" i="115"/>
  <c r="T31" i="115"/>
  <c r="N31" i="115"/>
  <c r="AB31" i="115" s="1"/>
  <c r="V31" i="119"/>
  <c r="N31" i="119"/>
  <c r="AB31" i="119" s="1"/>
  <c r="R31" i="119"/>
  <c r="T31" i="119"/>
  <c r="AB30" i="116"/>
  <c r="R31" i="121"/>
  <c r="N31" i="121"/>
  <c r="AB31" i="121" s="1"/>
  <c r="P31" i="121"/>
  <c r="V31" i="121"/>
  <c r="T31" i="121" s="1"/>
  <c r="T30" i="111"/>
  <c r="V30" i="111"/>
  <c r="R30" i="111"/>
  <c r="R31" i="116"/>
  <c r="N31" i="116"/>
  <c r="T31" i="116"/>
  <c r="V31" i="116"/>
  <c r="P31" i="120"/>
  <c r="R31" i="120"/>
  <c r="N31" i="120"/>
  <c r="AB31" i="120" s="1"/>
  <c r="V31" i="120"/>
  <c r="T31" i="120" s="1"/>
  <c r="C31" i="121"/>
  <c r="A32" i="121"/>
  <c r="C31" i="120"/>
  <c r="A32" i="120"/>
  <c r="C31" i="119"/>
  <c r="A32" i="119"/>
  <c r="C31" i="118"/>
  <c r="A32" i="118"/>
  <c r="C31" i="117"/>
  <c r="A32" i="117"/>
  <c r="C31" i="116"/>
  <c r="A32" i="116"/>
  <c r="A32" i="115"/>
  <c r="C31" i="115"/>
  <c r="C31" i="114"/>
  <c r="A32" i="114"/>
  <c r="C31" i="113"/>
  <c r="A32" i="113"/>
  <c r="C30" i="111"/>
  <c r="A31" i="111"/>
  <c r="AB30" i="111"/>
  <c r="C27" i="60"/>
  <c r="A28" i="60"/>
  <c r="P31" i="118" l="1"/>
  <c r="P31" i="116"/>
  <c r="P31" i="113"/>
  <c r="P31" i="119"/>
  <c r="P31" i="117"/>
  <c r="AB31" i="117"/>
  <c r="N32" i="121"/>
  <c r="AB32" i="121" s="1"/>
  <c r="V32" i="121"/>
  <c r="T32" i="121"/>
  <c r="R32" i="121"/>
  <c r="V32" i="113"/>
  <c r="T32" i="113"/>
  <c r="R32" i="113"/>
  <c r="N32" i="113"/>
  <c r="P31" i="115"/>
  <c r="R31" i="111"/>
  <c r="V31" i="111"/>
  <c r="T31" i="111" s="1"/>
  <c r="AB31" i="116"/>
  <c r="P31" i="114"/>
  <c r="N32" i="117"/>
  <c r="AB32" i="117" s="1"/>
  <c r="V32" i="117"/>
  <c r="T32" i="117" s="1"/>
  <c r="P32" i="117"/>
  <c r="R32" i="117"/>
  <c r="V32" i="114"/>
  <c r="T32" i="114"/>
  <c r="R32" i="114"/>
  <c r="N32" i="114"/>
  <c r="AB32" i="114" s="1"/>
  <c r="N32" i="118"/>
  <c r="AB32" i="118" s="1"/>
  <c r="V32" i="118"/>
  <c r="T32" i="118"/>
  <c r="R32" i="118"/>
  <c r="AB31" i="118"/>
  <c r="R28" i="60"/>
  <c r="V28" i="60"/>
  <c r="N28" i="60"/>
  <c r="AB28" i="60" s="1"/>
  <c r="T28" i="60"/>
  <c r="N32" i="119"/>
  <c r="AB32" i="119" s="1"/>
  <c r="V32" i="119"/>
  <c r="R32" i="119"/>
  <c r="T32" i="119"/>
  <c r="N32" i="115"/>
  <c r="AB32" i="115" s="1"/>
  <c r="R32" i="115"/>
  <c r="V32" i="115"/>
  <c r="T32" i="115"/>
  <c r="N32" i="116"/>
  <c r="AB32" i="116" s="1"/>
  <c r="V32" i="116"/>
  <c r="T32" i="116"/>
  <c r="R32" i="116"/>
  <c r="T32" i="120"/>
  <c r="V32" i="120"/>
  <c r="R32" i="120"/>
  <c r="N32" i="120"/>
  <c r="AB32" i="120" s="1"/>
  <c r="C32" i="121"/>
  <c r="A33" i="121"/>
  <c r="C32" i="120"/>
  <c r="A33" i="120"/>
  <c r="C32" i="119"/>
  <c r="A33" i="119"/>
  <c r="C32" i="118"/>
  <c r="A33" i="118"/>
  <c r="C32" i="117"/>
  <c r="A33" i="117"/>
  <c r="C32" i="116"/>
  <c r="A33" i="116"/>
  <c r="A33" i="115"/>
  <c r="C32" i="115"/>
  <c r="C32" i="114"/>
  <c r="A33" i="114"/>
  <c r="C32" i="113"/>
  <c r="A33" i="113"/>
  <c r="AB31" i="111"/>
  <c r="C31" i="111"/>
  <c r="A32" i="111"/>
  <c r="A29" i="60"/>
  <c r="C28" i="60"/>
  <c r="P32" i="120" l="1"/>
  <c r="P32" i="113"/>
  <c r="P32" i="118"/>
  <c r="P32" i="116"/>
  <c r="P32" i="121"/>
  <c r="AB32" i="113"/>
  <c r="P32" i="119"/>
  <c r="P32" i="114"/>
  <c r="V33" i="117"/>
  <c r="R33" i="117"/>
  <c r="T33" i="117"/>
  <c r="N33" i="117"/>
  <c r="AB33" i="117" s="1"/>
  <c r="T33" i="121"/>
  <c r="V33" i="121"/>
  <c r="N33" i="121"/>
  <c r="AB33" i="121" s="1"/>
  <c r="R33" i="121"/>
  <c r="N33" i="114"/>
  <c r="AB33" i="114" s="1"/>
  <c r="R33" i="114"/>
  <c r="P33" i="114"/>
  <c r="V33" i="114"/>
  <c r="T33" i="114" s="1"/>
  <c r="V33" i="118"/>
  <c r="T33" i="118"/>
  <c r="N33" i="118"/>
  <c r="R33" i="118"/>
  <c r="P32" i="115"/>
  <c r="V33" i="119"/>
  <c r="T33" i="119"/>
  <c r="N33" i="119"/>
  <c r="R33" i="119"/>
  <c r="V29" i="60"/>
  <c r="T29" i="60"/>
  <c r="R29" i="60"/>
  <c r="N29" i="60"/>
  <c r="AB29" i="60" s="1"/>
  <c r="V33" i="115"/>
  <c r="T33" i="115"/>
  <c r="N33" i="115"/>
  <c r="AB33" i="115" s="1"/>
  <c r="R33" i="115"/>
  <c r="V32" i="111"/>
  <c r="T32" i="111"/>
  <c r="R32" i="111"/>
  <c r="N33" i="116"/>
  <c r="AB33" i="116" s="1"/>
  <c r="T33" i="116"/>
  <c r="R33" i="116"/>
  <c r="V33" i="116"/>
  <c r="N33" i="120"/>
  <c r="AB33" i="120" s="1"/>
  <c r="T33" i="120"/>
  <c r="R33" i="120"/>
  <c r="V33" i="120"/>
  <c r="T33" i="113"/>
  <c r="R33" i="113"/>
  <c r="N33" i="113"/>
  <c r="V33" i="113"/>
  <c r="P28" i="60"/>
  <c r="A34" i="121"/>
  <c r="C33" i="121"/>
  <c r="A34" i="120"/>
  <c r="C33" i="120"/>
  <c r="A34" i="119"/>
  <c r="C33" i="119"/>
  <c r="A34" i="118"/>
  <c r="C33" i="118"/>
  <c r="C33" i="117"/>
  <c r="A34" i="117"/>
  <c r="C33" i="116"/>
  <c r="A34" i="116"/>
  <c r="C33" i="115"/>
  <c r="A34" i="115"/>
  <c r="A34" i="114"/>
  <c r="C33" i="114"/>
  <c r="C33" i="113"/>
  <c r="A34" i="113"/>
  <c r="AB32" i="111"/>
  <c r="C32" i="111"/>
  <c r="A33" i="111"/>
  <c r="C29" i="60"/>
  <c r="A30" i="60"/>
  <c r="P33" i="121" l="1"/>
  <c r="P33" i="117"/>
  <c r="P33" i="113"/>
  <c r="P33" i="119"/>
  <c r="P33" i="116"/>
  <c r="P33" i="118"/>
  <c r="AB33" i="113"/>
  <c r="AB33" i="118"/>
  <c r="P33" i="115"/>
  <c r="P33" i="120"/>
  <c r="R34" i="114"/>
  <c r="V34" i="114"/>
  <c r="T34" i="114"/>
  <c r="N34" i="114"/>
  <c r="AB34" i="114" s="1"/>
  <c r="V34" i="118"/>
  <c r="N34" i="118"/>
  <c r="AB34" i="118" s="1"/>
  <c r="R34" i="118"/>
  <c r="T34" i="118"/>
  <c r="P29" i="60"/>
  <c r="V34" i="120"/>
  <c r="T34" i="120"/>
  <c r="N34" i="120"/>
  <c r="AB34" i="120" s="1"/>
  <c r="R34" i="120"/>
  <c r="T34" i="117"/>
  <c r="R34" i="117"/>
  <c r="V34" i="117"/>
  <c r="N34" i="117"/>
  <c r="AB34" i="117" s="1"/>
  <c r="T34" i="121"/>
  <c r="R34" i="121"/>
  <c r="V34" i="121"/>
  <c r="N34" i="121"/>
  <c r="AB34" i="121" s="1"/>
  <c r="N30" i="60"/>
  <c r="V30" i="60"/>
  <c r="T30" i="60"/>
  <c r="R30" i="60"/>
  <c r="N34" i="115"/>
  <c r="AB34" i="115" s="1"/>
  <c r="V34" i="115"/>
  <c r="T34" i="115"/>
  <c r="R34" i="115"/>
  <c r="V34" i="119"/>
  <c r="T34" i="119" s="1"/>
  <c r="P34" i="119"/>
  <c r="R34" i="119"/>
  <c r="N34" i="119"/>
  <c r="AB34" i="119" s="1"/>
  <c r="AB33" i="119"/>
  <c r="V34" i="113"/>
  <c r="T34" i="113"/>
  <c r="R34" i="113"/>
  <c r="N34" i="113"/>
  <c r="AB34" i="113" s="1"/>
  <c r="V33" i="111"/>
  <c r="T33" i="111"/>
  <c r="R33" i="111"/>
  <c r="V34" i="116"/>
  <c r="R34" i="116"/>
  <c r="N34" i="116"/>
  <c r="AB34" i="116" s="1"/>
  <c r="T34" i="116"/>
  <c r="C34" i="121"/>
  <c r="A35" i="121"/>
  <c r="A35" i="120"/>
  <c r="C34" i="120"/>
  <c r="A35" i="119"/>
  <c r="C34" i="119"/>
  <c r="A35" i="118"/>
  <c r="C34" i="118"/>
  <c r="A35" i="117"/>
  <c r="C34" i="117"/>
  <c r="A35" i="116"/>
  <c r="C34" i="116"/>
  <c r="C34" i="115"/>
  <c r="A35" i="115"/>
  <c r="A35" i="114"/>
  <c r="C34" i="114"/>
  <c r="A35" i="113"/>
  <c r="C34" i="113"/>
  <c r="AB33" i="111"/>
  <c r="C33" i="111"/>
  <c r="A34" i="111"/>
  <c r="A31" i="60"/>
  <c r="C30" i="60"/>
  <c r="P30" i="60" l="1"/>
  <c r="P34" i="120"/>
  <c r="P34" i="121"/>
  <c r="P34" i="118"/>
  <c r="T35" i="119"/>
  <c r="R35" i="119"/>
  <c r="N35" i="119"/>
  <c r="AB35" i="119" s="1"/>
  <c r="V35" i="119"/>
  <c r="N35" i="120"/>
  <c r="AB35" i="120" s="1"/>
  <c r="R35" i="120"/>
  <c r="V35" i="120"/>
  <c r="T35" i="120"/>
  <c r="R35" i="115"/>
  <c r="N35" i="115"/>
  <c r="AB35" i="115" s="1"/>
  <c r="V35" i="115"/>
  <c r="T35" i="115"/>
  <c r="P34" i="115"/>
  <c r="N35" i="116"/>
  <c r="AB35" i="116" s="1"/>
  <c r="V35" i="116"/>
  <c r="T35" i="116" s="1"/>
  <c r="R35" i="116"/>
  <c r="P35" i="116"/>
  <c r="V31" i="60"/>
  <c r="T31" i="60"/>
  <c r="R31" i="60"/>
  <c r="N31" i="60"/>
  <c r="P34" i="116"/>
  <c r="T35" i="117"/>
  <c r="R35" i="117"/>
  <c r="V35" i="117"/>
  <c r="N35" i="117"/>
  <c r="AB35" i="117" s="1"/>
  <c r="R35" i="113"/>
  <c r="N35" i="113"/>
  <c r="AB35" i="113" s="1"/>
  <c r="T35" i="113"/>
  <c r="V35" i="113"/>
  <c r="R35" i="114"/>
  <c r="T35" i="114"/>
  <c r="N35" i="114"/>
  <c r="V35" i="114"/>
  <c r="T35" i="121"/>
  <c r="V35" i="121"/>
  <c r="N35" i="121"/>
  <c r="AB35" i="121" s="1"/>
  <c r="R35" i="121"/>
  <c r="R34" i="111"/>
  <c r="T34" i="111"/>
  <c r="V34" i="111"/>
  <c r="V35" i="118"/>
  <c r="R35" i="118"/>
  <c r="N35" i="118"/>
  <c r="T35" i="118"/>
  <c r="P34" i="114"/>
  <c r="P34" i="113"/>
  <c r="P34" i="117"/>
  <c r="C35" i="121"/>
  <c r="A36" i="121"/>
  <c r="C35" i="120"/>
  <c r="A36" i="120"/>
  <c r="C35" i="119"/>
  <c r="A36" i="119"/>
  <c r="C35" i="118"/>
  <c r="A36" i="118"/>
  <c r="C35" i="117"/>
  <c r="A36" i="117"/>
  <c r="C35" i="116"/>
  <c r="A36" i="116"/>
  <c r="C35" i="115"/>
  <c r="A36" i="115"/>
  <c r="C35" i="114"/>
  <c r="A36" i="114"/>
  <c r="A36" i="113"/>
  <c r="C35" i="113"/>
  <c r="A35" i="111"/>
  <c r="AB34" i="111"/>
  <c r="C34" i="111"/>
  <c r="AB30" i="60"/>
  <c r="A32" i="60"/>
  <c r="C31" i="60"/>
  <c r="P35" i="120" l="1"/>
  <c r="P35" i="119"/>
  <c r="P35" i="118"/>
  <c r="P35" i="114"/>
  <c r="P31" i="60"/>
  <c r="P35" i="115"/>
  <c r="AB31" i="60"/>
  <c r="AB35" i="114"/>
  <c r="AB35" i="118"/>
  <c r="R36" i="117"/>
  <c r="N36" i="117"/>
  <c r="T36" i="117"/>
  <c r="V36" i="117"/>
  <c r="R36" i="121"/>
  <c r="V36" i="121"/>
  <c r="N36" i="121"/>
  <c r="T36" i="121"/>
  <c r="V36" i="113"/>
  <c r="T36" i="113" s="1"/>
  <c r="P36" i="113"/>
  <c r="N36" i="113"/>
  <c r="AB36" i="113" s="1"/>
  <c r="R36" i="113"/>
  <c r="N36" i="114"/>
  <c r="AB36" i="114" s="1"/>
  <c r="V36" i="114"/>
  <c r="T36" i="114"/>
  <c r="R36" i="114"/>
  <c r="P35" i="113"/>
  <c r="T32" i="60"/>
  <c r="V32" i="60"/>
  <c r="R32" i="60"/>
  <c r="N32" i="60"/>
  <c r="N36" i="115"/>
  <c r="T36" i="115"/>
  <c r="R36" i="115"/>
  <c r="V36" i="115"/>
  <c r="R36" i="116"/>
  <c r="V36" i="116"/>
  <c r="T36" i="116"/>
  <c r="N36" i="116"/>
  <c r="AB36" i="116" s="1"/>
  <c r="R36" i="120"/>
  <c r="T36" i="120"/>
  <c r="N36" i="120"/>
  <c r="AB36" i="120" s="1"/>
  <c r="V36" i="120"/>
  <c r="V35" i="111"/>
  <c r="T35" i="111"/>
  <c r="R35" i="111"/>
  <c r="R36" i="118"/>
  <c r="V36" i="118"/>
  <c r="T36" i="118"/>
  <c r="N36" i="118"/>
  <c r="AB36" i="118" s="1"/>
  <c r="P35" i="121"/>
  <c r="P35" i="117"/>
  <c r="R36" i="119"/>
  <c r="T36" i="119"/>
  <c r="N36" i="119"/>
  <c r="V36" i="119"/>
  <c r="C36" i="121"/>
  <c r="A37" i="121"/>
  <c r="C36" i="120"/>
  <c r="A37" i="120"/>
  <c r="C36" i="119"/>
  <c r="A37" i="119"/>
  <c r="C36" i="118"/>
  <c r="A37" i="118"/>
  <c r="C36" i="117"/>
  <c r="A37" i="117"/>
  <c r="C36" i="116"/>
  <c r="A37" i="116"/>
  <c r="C36" i="115"/>
  <c r="A37" i="115"/>
  <c r="C36" i="114"/>
  <c r="A37" i="114"/>
  <c r="C36" i="113"/>
  <c r="A37" i="113"/>
  <c r="C35" i="111"/>
  <c r="A36" i="111"/>
  <c r="AB35" i="111"/>
  <c r="A33" i="60"/>
  <c r="C32" i="60"/>
  <c r="P36" i="119" l="1"/>
  <c r="P36" i="117"/>
  <c r="P36" i="116"/>
  <c r="P36" i="114"/>
  <c r="P36" i="121"/>
  <c r="AB36" i="117"/>
  <c r="AB36" i="121"/>
  <c r="P36" i="118"/>
  <c r="P36" i="115"/>
  <c r="P36" i="120"/>
  <c r="P32" i="60"/>
  <c r="V37" i="117"/>
  <c r="N37" i="117"/>
  <c r="AB37" i="117" s="1"/>
  <c r="T37" i="117"/>
  <c r="R37" i="117"/>
  <c r="N37" i="121"/>
  <c r="V37" i="121"/>
  <c r="T37" i="121"/>
  <c r="R37" i="121"/>
  <c r="V37" i="118"/>
  <c r="T37" i="118" s="1"/>
  <c r="P37" i="118"/>
  <c r="R37" i="118"/>
  <c r="N37" i="118"/>
  <c r="AB37" i="118" s="1"/>
  <c r="N37" i="115"/>
  <c r="AB37" i="115" s="1"/>
  <c r="P37" i="115"/>
  <c r="V37" i="115"/>
  <c r="T37" i="115" s="1"/>
  <c r="R37" i="115"/>
  <c r="R37" i="119"/>
  <c r="N37" i="119"/>
  <c r="AB37" i="119" s="1"/>
  <c r="V37" i="119"/>
  <c r="T37" i="119"/>
  <c r="T33" i="60"/>
  <c r="R33" i="60"/>
  <c r="V33" i="60"/>
  <c r="N33" i="60"/>
  <c r="AB36" i="115"/>
  <c r="AB36" i="119"/>
  <c r="T37" i="116"/>
  <c r="V37" i="116"/>
  <c r="R37" i="116"/>
  <c r="N37" i="116"/>
  <c r="AB37" i="116" s="1"/>
  <c r="N37" i="120"/>
  <c r="AB37" i="120" s="1"/>
  <c r="R37" i="120"/>
  <c r="T37" i="120"/>
  <c r="V37" i="120"/>
  <c r="N37" i="113"/>
  <c r="V37" i="113"/>
  <c r="T37" i="113"/>
  <c r="R37" i="113"/>
  <c r="R37" i="114"/>
  <c r="V37" i="114"/>
  <c r="T37" i="114"/>
  <c r="N37" i="114"/>
  <c r="AB37" i="114" s="1"/>
  <c r="R36" i="111"/>
  <c r="T36" i="111"/>
  <c r="V36" i="111"/>
  <c r="C37" i="121"/>
  <c r="A38" i="121"/>
  <c r="C37" i="120"/>
  <c r="A38" i="120"/>
  <c r="A38" i="119"/>
  <c r="C37" i="119"/>
  <c r="C37" i="118"/>
  <c r="A38" i="118"/>
  <c r="C37" i="117"/>
  <c r="A38" i="117"/>
  <c r="C37" i="116"/>
  <c r="A38" i="116"/>
  <c r="A38" i="115"/>
  <c r="C37" i="115"/>
  <c r="C37" i="114"/>
  <c r="A38" i="114"/>
  <c r="C37" i="113"/>
  <c r="A38" i="113"/>
  <c r="C36" i="111"/>
  <c r="A37" i="111"/>
  <c r="AB36" i="111"/>
  <c r="AB32" i="60"/>
  <c r="C33" i="60"/>
  <c r="A34" i="60"/>
  <c r="P33" i="60" l="1"/>
  <c r="P37" i="121"/>
  <c r="P37" i="116"/>
  <c r="AB33" i="60"/>
  <c r="P37" i="119"/>
  <c r="P37" i="117"/>
  <c r="P37" i="113"/>
  <c r="AB37" i="113"/>
  <c r="P37" i="120"/>
  <c r="AB37" i="121"/>
  <c r="P37" i="114"/>
  <c r="R37" i="111"/>
  <c r="T37" i="111"/>
  <c r="V37" i="111"/>
  <c r="N38" i="118"/>
  <c r="AB38" i="118" s="1"/>
  <c r="T38" i="118"/>
  <c r="V38" i="118"/>
  <c r="R38" i="118"/>
  <c r="N38" i="117"/>
  <c r="AB38" i="117" s="1"/>
  <c r="R38" i="117"/>
  <c r="V38" i="117"/>
  <c r="T38" i="117"/>
  <c r="P38" i="121"/>
  <c r="N38" i="121"/>
  <c r="AB38" i="121" s="1"/>
  <c r="V38" i="121"/>
  <c r="T38" i="121" s="1"/>
  <c r="R38" i="121"/>
  <c r="V38" i="113"/>
  <c r="N38" i="113"/>
  <c r="AB38" i="113" s="1"/>
  <c r="T38" i="113"/>
  <c r="R38" i="113"/>
  <c r="T38" i="114"/>
  <c r="R38" i="114"/>
  <c r="V38" i="114"/>
  <c r="N38" i="114"/>
  <c r="N34" i="60"/>
  <c r="R34" i="60"/>
  <c r="P34" i="60"/>
  <c r="V34" i="60"/>
  <c r="T34" i="60" s="1"/>
  <c r="T38" i="119"/>
  <c r="R38" i="119"/>
  <c r="N38" i="119"/>
  <c r="AB38" i="119" s="1"/>
  <c r="V38" i="119"/>
  <c r="V38" i="115"/>
  <c r="N38" i="115"/>
  <c r="AB38" i="115" s="1"/>
  <c r="T38" i="115"/>
  <c r="R38" i="115"/>
  <c r="N38" i="116"/>
  <c r="AB38" i="116" s="1"/>
  <c r="V38" i="116"/>
  <c r="T38" i="116"/>
  <c r="R38" i="116"/>
  <c r="N38" i="120"/>
  <c r="AB38" i="120" s="1"/>
  <c r="V38" i="120"/>
  <c r="T38" i="120" s="1"/>
  <c r="P38" i="120"/>
  <c r="R38" i="120"/>
  <c r="A39" i="121"/>
  <c r="C38" i="121"/>
  <c r="A39" i="120"/>
  <c r="C38" i="120"/>
  <c r="C38" i="119"/>
  <c r="A39" i="119"/>
  <c r="C38" i="118"/>
  <c r="A39" i="118"/>
  <c r="C38" i="117"/>
  <c r="A39" i="117"/>
  <c r="C38" i="116"/>
  <c r="A39" i="116"/>
  <c r="C38" i="115"/>
  <c r="A39" i="115"/>
  <c r="C38" i="114"/>
  <c r="A39" i="114"/>
  <c r="C38" i="113"/>
  <c r="A39" i="113"/>
  <c r="C37" i="111"/>
  <c r="A38" i="111"/>
  <c r="AB37" i="111"/>
  <c r="A35" i="60"/>
  <c r="C34" i="60"/>
  <c r="P38" i="114" l="1"/>
  <c r="P38" i="113"/>
  <c r="P38" i="116"/>
  <c r="P38" i="119"/>
  <c r="P38" i="118"/>
  <c r="V38" i="111"/>
  <c r="T38" i="111" s="1"/>
  <c r="R38" i="111"/>
  <c r="N39" i="120"/>
  <c r="AB39" i="120" s="1"/>
  <c r="V39" i="120"/>
  <c r="T39" i="120"/>
  <c r="R39" i="120"/>
  <c r="P38" i="117"/>
  <c r="V39" i="118"/>
  <c r="T39" i="118"/>
  <c r="N39" i="118"/>
  <c r="AB39" i="118" s="1"/>
  <c r="R39" i="118"/>
  <c r="P38" i="115"/>
  <c r="AB38" i="114"/>
  <c r="V39" i="115"/>
  <c r="R39" i="115"/>
  <c r="N39" i="115"/>
  <c r="AB39" i="115" s="1"/>
  <c r="T39" i="115"/>
  <c r="N39" i="119"/>
  <c r="AB39" i="119" s="1"/>
  <c r="V39" i="119"/>
  <c r="R39" i="119"/>
  <c r="T39" i="119"/>
  <c r="R35" i="60"/>
  <c r="N35" i="60"/>
  <c r="V35" i="60"/>
  <c r="T35" i="60"/>
  <c r="T39" i="116"/>
  <c r="R39" i="116"/>
  <c r="V39" i="116"/>
  <c r="N39" i="116"/>
  <c r="AB39" i="116" s="1"/>
  <c r="N39" i="113"/>
  <c r="AB39" i="113" s="1"/>
  <c r="V39" i="113"/>
  <c r="T39" i="113"/>
  <c r="R39" i="113"/>
  <c r="R39" i="117"/>
  <c r="P39" i="117"/>
  <c r="N39" i="117"/>
  <c r="AB39" i="117" s="1"/>
  <c r="V39" i="117"/>
  <c r="T39" i="117" s="1"/>
  <c r="N39" i="121"/>
  <c r="V39" i="121"/>
  <c r="R39" i="121"/>
  <c r="T39" i="121"/>
  <c r="V39" i="114"/>
  <c r="T39" i="114"/>
  <c r="R39" i="114"/>
  <c r="N39" i="114"/>
  <c r="A40" i="121"/>
  <c r="C39" i="121"/>
  <c r="A40" i="120"/>
  <c r="C39" i="120"/>
  <c r="A40" i="119"/>
  <c r="C39" i="119"/>
  <c r="A40" i="118"/>
  <c r="C39" i="118"/>
  <c r="A40" i="117"/>
  <c r="C39" i="117"/>
  <c r="A40" i="116"/>
  <c r="C39" i="116"/>
  <c r="A40" i="115"/>
  <c r="C39" i="115"/>
  <c r="A40" i="114"/>
  <c r="C39" i="114"/>
  <c r="A40" i="113"/>
  <c r="C39" i="113"/>
  <c r="C38" i="111"/>
  <c r="AB38" i="111"/>
  <c r="A39" i="111"/>
  <c r="AB34" i="60"/>
  <c r="C35" i="60"/>
  <c r="A36" i="60"/>
  <c r="P39" i="115" l="1"/>
  <c r="P35" i="60"/>
  <c r="P39" i="118"/>
  <c r="P39" i="121"/>
  <c r="P39" i="114"/>
  <c r="P39" i="113"/>
  <c r="T40" i="120"/>
  <c r="R40" i="120"/>
  <c r="N40" i="120"/>
  <c r="AB40" i="120" s="1"/>
  <c r="V40" i="120"/>
  <c r="P39" i="116"/>
  <c r="P39" i="119"/>
  <c r="V40" i="117"/>
  <c r="N40" i="117"/>
  <c r="AB40" i="117" s="1"/>
  <c r="T40" i="117"/>
  <c r="R40" i="117"/>
  <c r="V40" i="121"/>
  <c r="N40" i="121"/>
  <c r="AB40" i="121" s="1"/>
  <c r="T40" i="121"/>
  <c r="R40" i="121"/>
  <c r="AB39" i="114"/>
  <c r="N36" i="60"/>
  <c r="V36" i="60"/>
  <c r="R36" i="60"/>
  <c r="T36" i="60"/>
  <c r="R40" i="114"/>
  <c r="N40" i="114"/>
  <c r="AB40" i="114" s="1"/>
  <c r="P40" i="114"/>
  <c r="V40" i="114"/>
  <c r="T40" i="114" s="1"/>
  <c r="N40" i="118"/>
  <c r="AB40" i="118" s="1"/>
  <c r="T40" i="118"/>
  <c r="V40" i="118"/>
  <c r="R40" i="118"/>
  <c r="P39" i="120"/>
  <c r="AB35" i="60"/>
  <c r="T40" i="115"/>
  <c r="R40" i="115"/>
  <c r="N40" i="115"/>
  <c r="V40" i="115"/>
  <c r="V40" i="119"/>
  <c r="T40" i="119"/>
  <c r="N40" i="119"/>
  <c r="AB40" i="119" s="1"/>
  <c r="R40" i="119"/>
  <c r="T40" i="116"/>
  <c r="R40" i="116"/>
  <c r="V40" i="116"/>
  <c r="N40" i="116"/>
  <c r="AB39" i="121"/>
  <c r="R40" i="113"/>
  <c r="V40" i="113"/>
  <c r="T40" i="113"/>
  <c r="N40" i="113"/>
  <c r="AB40" i="113" s="1"/>
  <c r="T39" i="111"/>
  <c r="V39" i="111"/>
  <c r="R39" i="111"/>
  <c r="A41" i="121"/>
  <c r="C40" i="121"/>
  <c r="A41" i="120"/>
  <c r="C40" i="120"/>
  <c r="A41" i="119"/>
  <c r="C40" i="119"/>
  <c r="A41" i="118"/>
  <c r="C40" i="118"/>
  <c r="A41" i="117"/>
  <c r="C40" i="117"/>
  <c r="A41" i="116"/>
  <c r="C40" i="116"/>
  <c r="C40" i="115"/>
  <c r="A41" i="115"/>
  <c r="A41" i="114"/>
  <c r="C40" i="114"/>
  <c r="A41" i="113"/>
  <c r="C40" i="113"/>
  <c r="AB39" i="111"/>
  <c r="C39" i="111"/>
  <c r="A40" i="111"/>
  <c r="A37" i="60"/>
  <c r="C36" i="60"/>
  <c r="P40" i="118" l="1"/>
  <c r="P40" i="120"/>
  <c r="P40" i="116"/>
  <c r="P40" i="119"/>
  <c r="P40" i="115"/>
  <c r="AB40" i="115"/>
  <c r="P36" i="60"/>
  <c r="P40" i="121"/>
  <c r="P40" i="117"/>
  <c r="AB40" i="116"/>
  <c r="T41" i="117"/>
  <c r="V41" i="117"/>
  <c r="R41" i="117"/>
  <c r="N41" i="117"/>
  <c r="AB41" i="117" s="1"/>
  <c r="T41" i="118"/>
  <c r="R41" i="118"/>
  <c r="V41" i="118"/>
  <c r="N41" i="118"/>
  <c r="AB41" i="118" s="1"/>
  <c r="N37" i="60"/>
  <c r="T37" i="60"/>
  <c r="V37" i="60"/>
  <c r="R37" i="60"/>
  <c r="T41" i="116"/>
  <c r="V41" i="116"/>
  <c r="R41" i="116"/>
  <c r="N41" i="116"/>
  <c r="AB41" i="116" s="1"/>
  <c r="T41" i="120"/>
  <c r="N41" i="120"/>
  <c r="AB41" i="120" s="1"/>
  <c r="V41" i="120"/>
  <c r="R41" i="120"/>
  <c r="V41" i="113"/>
  <c r="T41" i="113"/>
  <c r="N41" i="113"/>
  <c r="AB41" i="113" s="1"/>
  <c r="R41" i="113"/>
  <c r="N41" i="121"/>
  <c r="AB41" i="121" s="1"/>
  <c r="V41" i="121"/>
  <c r="T41" i="121"/>
  <c r="R41" i="121"/>
  <c r="R41" i="114"/>
  <c r="V41" i="114"/>
  <c r="N41" i="114"/>
  <c r="AB41" i="114" s="1"/>
  <c r="T41" i="114"/>
  <c r="V41" i="115"/>
  <c r="R41" i="115"/>
  <c r="T41" i="115"/>
  <c r="N41" i="115"/>
  <c r="AB41" i="115" s="1"/>
  <c r="N41" i="119"/>
  <c r="AB41" i="119" s="1"/>
  <c r="R41" i="119"/>
  <c r="V41" i="119"/>
  <c r="T41" i="119" s="1"/>
  <c r="P41" i="119"/>
  <c r="V40" i="111"/>
  <c r="T40" i="111"/>
  <c r="R40" i="111"/>
  <c r="P40" i="113"/>
  <c r="C41" i="121"/>
  <c r="A42" i="121"/>
  <c r="C41" i="120"/>
  <c r="A42" i="120"/>
  <c r="C41" i="119"/>
  <c r="A42" i="119"/>
  <c r="C41" i="118"/>
  <c r="A42" i="118"/>
  <c r="C41" i="117"/>
  <c r="A42" i="117"/>
  <c r="C41" i="116"/>
  <c r="A42" i="116"/>
  <c r="C41" i="115"/>
  <c r="A42" i="115"/>
  <c r="C41" i="114"/>
  <c r="A42" i="114"/>
  <c r="A42" i="113"/>
  <c r="C41" i="113"/>
  <c r="A41" i="111"/>
  <c r="AB40" i="111"/>
  <c r="C40" i="111"/>
  <c r="AB36" i="60"/>
  <c r="A38" i="60"/>
  <c r="C37" i="60"/>
  <c r="P41" i="117" l="1"/>
  <c r="P37" i="60"/>
  <c r="R42" i="119"/>
  <c r="N42" i="119"/>
  <c r="AB42" i="119" s="1"/>
  <c r="V42" i="119"/>
  <c r="T42" i="119"/>
  <c r="T42" i="114"/>
  <c r="R42" i="114"/>
  <c r="V42" i="114"/>
  <c r="N42" i="114"/>
  <c r="R42" i="120"/>
  <c r="T42" i="120"/>
  <c r="V42" i="120"/>
  <c r="N42" i="120"/>
  <c r="AB42" i="120" s="1"/>
  <c r="N42" i="115"/>
  <c r="AB42" i="115" s="1"/>
  <c r="R42" i="115"/>
  <c r="T42" i="115"/>
  <c r="V42" i="115"/>
  <c r="R42" i="121"/>
  <c r="V42" i="121"/>
  <c r="N42" i="121"/>
  <c r="AB42" i="121" s="1"/>
  <c r="T42" i="121"/>
  <c r="P41" i="115"/>
  <c r="P41" i="118"/>
  <c r="R42" i="116"/>
  <c r="P42" i="116"/>
  <c r="V42" i="116"/>
  <c r="T42" i="116" s="1"/>
  <c r="N42" i="116"/>
  <c r="AB42" i="116" s="1"/>
  <c r="P41" i="116"/>
  <c r="V38" i="60"/>
  <c r="R38" i="60"/>
  <c r="N38" i="60"/>
  <c r="T38" i="60"/>
  <c r="P41" i="113"/>
  <c r="P41" i="120"/>
  <c r="P41" i="121"/>
  <c r="N42" i="113"/>
  <c r="AB42" i="113" s="1"/>
  <c r="V42" i="113"/>
  <c r="T42" i="113"/>
  <c r="R42" i="113"/>
  <c r="N42" i="118"/>
  <c r="V42" i="118"/>
  <c r="T42" i="118"/>
  <c r="R42" i="118"/>
  <c r="R42" i="117"/>
  <c r="T42" i="117"/>
  <c r="V42" i="117"/>
  <c r="N42" i="117"/>
  <c r="AB42" i="117" s="1"/>
  <c r="V41" i="111"/>
  <c r="T41" i="111"/>
  <c r="R41" i="111"/>
  <c r="P41" i="114"/>
  <c r="C42" i="121"/>
  <c r="A43" i="121"/>
  <c r="C42" i="120"/>
  <c r="A43" i="120"/>
  <c r="C42" i="119"/>
  <c r="A43" i="119"/>
  <c r="C42" i="118"/>
  <c r="A43" i="118"/>
  <c r="C42" i="117"/>
  <c r="A43" i="117"/>
  <c r="C42" i="116"/>
  <c r="A43" i="116"/>
  <c r="A43" i="115"/>
  <c r="C42" i="115"/>
  <c r="C42" i="114"/>
  <c r="A43" i="114"/>
  <c r="C42" i="113"/>
  <c r="A43" i="113"/>
  <c r="C41" i="111"/>
  <c r="A42" i="111"/>
  <c r="AB41" i="111"/>
  <c r="AB37" i="60"/>
  <c r="A39" i="60"/>
  <c r="C38" i="60"/>
  <c r="P42" i="120" l="1"/>
  <c r="P38" i="60"/>
  <c r="P42" i="114"/>
  <c r="P42" i="113"/>
  <c r="P42" i="121"/>
  <c r="AB42" i="114"/>
  <c r="P42" i="119"/>
  <c r="P42" i="115"/>
  <c r="AB38" i="60"/>
  <c r="P42" i="118"/>
  <c r="N43" i="116"/>
  <c r="R43" i="116"/>
  <c r="T43" i="116"/>
  <c r="V43" i="116"/>
  <c r="AB42" i="118"/>
  <c r="V43" i="115"/>
  <c r="T43" i="115"/>
  <c r="R43" i="115"/>
  <c r="N43" i="115"/>
  <c r="V43" i="113"/>
  <c r="T43" i="113" s="1"/>
  <c r="N43" i="113"/>
  <c r="R43" i="113"/>
  <c r="P43" i="113"/>
  <c r="V43" i="117"/>
  <c r="R43" i="117"/>
  <c r="T43" i="117"/>
  <c r="N43" i="117"/>
  <c r="V43" i="121"/>
  <c r="N43" i="121"/>
  <c r="AB43" i="121" s="1"/>
  <c r="R43" i="121"/>
  <c r="T43" i="121"/>
  <c r="R43" i="118"/>
  <c r="N43" i="118"/>
  <c r="T43" i="118"/>
  <c r="V43" i="118"/>
  <c r="P42" i="117"/>
  <c r="N43" i="114"/>
  <c r="AB43" i="114" s="1"/>
  <c r="R43" i="114"/>
  <c r="V43" i="114"/>
  <c r="T43" i="114"/>
  <c r="N39" i="60"/>
  <c r="V39" i="60"/>
  <c r="T39" i="60"/>
  <c r="R39" i="60"/>
  <c r="V43" i="119"/>
  <c r="R43" i="119"/>
  <c r="N43" i="119"/>
  <c r="AB43" i="119" s="1"/>
  <c r="T43" i="119"/>
  <c r="T43" i="120"/>
  <c r="N43" i="120"/>
  <c r="AB43" i="120" s="1"/>
  <c r="R43" i="120"/>
  <c r="V43" i="120"/>
  <c r="T42" i="111"/>
  <c r="R42" i="111"/>
  <c r="V42" i="111"/>
  <c r="C43" i="121"/>
  <c r="A44" i="121"/>
  <c r="C43" i="120"/>
  <c r="A44" i="120"/>
  <c r="C43" i="119"/>
  <c r="A44" i="119"/>
  <c r="A44" i="118"/>
  <c r="C43" i="118"/>
  <c r="C43" i="117"/>
  <c r="A44" i="117"/>
  <c r="C43" i="116"/>
  <c r="A44" i="116"/>
  <c r="A44" i="115"/>
  <c r="C43" i="115"/>
  <c r="C43" i="114"/>
  <c r="A44" i="114"/>
  <c r="AB43" i="113"/>
  <c r="C43" i="113"/>
  <c r="A44" i="113"/>
  <c r="C42" i="111"/>
  <c r="A43" i="111"/>
  <c r="AB42" i="111"/>
  <c r="C39" i="60"/>
  <c r="A40" i="60"/>
  <c r="P43" i="114" l="1"/>
  <c r="P43" i="119"/>
  <c r="P43" i="117"/>
  <c r="P43" i="118"/>
  <c r="P39" i="60"/>
  <c r="P43" i="121"/>
  <c r="P43" i="116"/>
  <c r="AB43" i="116"/>
  <c r="P43" i="115"/>
  <c r="AB43" i="117"/>
  <c r="P43" i="120"/>
  <c r="AB43" i="118"/>
  <c r="T43" i="111"/>
  <c r="V43" i="111"/>
  <c r="R43" i="111"/>
  <c r="N44" i="117"/>
  <c r="AB44" i="117" s="1"/>
  <c r="T44" i="117"/>
  <c r="R44" i="117"/>
  <c r="V44" i="117"/>
  <c r="AB43" i="115"/>
  <c r="N44" i="119"/>
  <c r="V44" i="119"/>
  <c r="T44" i="119"/>
  <c r="R44" i="119"/>
  <c r="V44" i="114"/>
  <c r="T44" i="114"/>
  <c r="R44" i="114"/>
  <c r="N44" i="114"/>
  <c r="AB44" i="114" s="1"/>
  <c r="R40" i="60"/>
  <c r="V40" i="60"/>
  <c r="T40" i="60"/>
  <c r="N40" i="60"/>
  <c r="T44" i="113"/>
  <c r="R44" i="113"/>
  <c r="N44" i="113"/>
  <c r="AB44" i="113" s="1"/>
  <c r="V44" i="113"/>
  <c r="N44" i="121"/>
  <c r="AB44" i="121" s="1"/>
  <c r="V44" i="121"/>
  <c r="T44" i="121"/>
  <c r="R44" i="121"/>
  <c r="P44" i="118"/>
  <c r="N44" i="118"/>
  <c r="AB44" i="118" s="1"/>
  <c r="V44" i="118"/>
  <c r="T44" i="118" s="1"/>
  <c r="R44" i="118"/>
  <c r="N44" i="115"/>
  <c r="AB44" i="115" s="1"/>
  <c r="V44" i="115"/>
  <c r="T44" i="115" s="1"/>
  <c r="P44" i="115"/>
  <c r="R44" i="115"/>
  <c r="N44" i="116"/>
  <c r="T44" i="116"/>
  <c r="V44" i="116"/>
  <c r="R44" i="116"/>
  <c r="N44" i="120"/>
  <c r="AB44" i="120" s="1"/>
  <c r="V44" i="120"/>
  <c r="R44" i="120"/>
  <c r="T44" i="120"/>
  <c r="A45" i="121"/>
  <c r="C44" i="121"/>
  <c r="A45" i="120"/>
  <c r="C44" i="120"/>
  <c r="A45" i="119"/>
  <c r="C44" i="119"/>
  <c r="A45" i="118"/>
  <c r="C44" i="118"/>
  <c r="A45" i="117"/>
  <c r="C44" i="117"/>
  <c r="A45" i="116"/>
  <c r="C44" i="116"/>
  <c r="A45" i="115"/>
  <c r="C44" i="115"/>
  <c r="A45" i="114"/>
  <c r="C44" i="114"/>
  <c r="C44" i="113"/>
  <c r="A45" i="113"/>
  <c r="C43" i="111"/>
  <c r="AB43" i="111"/>
  <c r="A44" i="111"/>
  <c r="AB39" i="60"/>
  <c r="C40" i="60"/>
  <c r="A41" i="60"/>
  <c r="P44" i="113" l="1"/>
  <c r="P44" i="121"/>
  <c r="P44" i="117"/>
  <c r="P44" i="119"/>
  <c r="P44" i="120"/>
  <c r="P40" i="60"/>
  <c r="P44" i="116"/>
  <c r="AB44" i="116"/>
  <c r="V45" i="117"/>
  <c r="T45" i="117"/>
  <c r="R45" i="117"/>
  <c r="N45" i="117"/>
  <c r="P44" i="114"/>
  <c r="N45" i="118"/>
  <c r="AB45" i="118" s="1"/>
  <c r="T45" i="118"/>
  <c r="V45" i="118"/>
  <c r="R45" i="118"/>
  <c r="V41" i="60"/>
  <c r="T41" i="60" s="1"/>
  <c r="P41" i="60"/>
  <c r="R41" i="60"/>
  <c r="N41" i="60"/>
  <c r="AB41" i="60" s="1"/>
  <c r="AB44" i="119"/>
  <c r="R44" i="111"/>
  <c r="V44" i="111"/>
  <c r="T44" i="111"/>
  <c r="N45" i="116"/>
  <c r="AB45" i="116" s="1"/>
  <c r="V45" i="116"/>
  <c r="T45" i="116"/>
  <c r="R45" i="116"/>
  <c r="V45" i="121"/>
  <c r="T45" i="121" s="1"/>
  <c r="N45" i="121"/>
  <c r="AB45" i="121" s="1"/>
  <c r="P45" i="121"/>
  <c r="R45" i="121"/>
  <c r="N45" i="114"/>
  <c r="AB45" i="114" s="1"/>
  <c r="V45" i="114"/>
  <c r="T45" i="114"/>
  <c r="R45" i="114"/>
  <c r="V45" i="120"/>
  <c r="R45" i="120"/>
  <c r="T45" i="120"/>
  <c r="P45" i="120"/>
  <c r="N45" i="120"/>
  <c r="AB45" i="120" s="1"/>
  <c r="T45" i="113"/>
  <c r="N45" i="113"/>
  <c r="V45" i="113"/>
  <c r="R45" i="113"/>
  <c r="V45" i="115"/>
  <c r="T45" i="115"/>
  <c r="R45" i="115"/>
  <c r="N45" i="115"/>
  <c r="V45" i="119"/>
  <c r="R45" i="119"/>
  <c r="T45" i="119"/>
  <c r="N45" i="119"/>
  <c r="AB45" i="119" s="1"/>
  <c r="C45" i="121"/>
  <c r="A46" i="121"/>
  <c r="A46" i="120"/>
  <c r="C45" i="120"/>
  <c r="A46" i="119"/>
  <c r="C45" i="119"/>
  <c r="A46" i="118"/>
  <c r="C45" i="118"/>
  <c r="A46" i="117"/>
  <c r="C45" i="117"/>
  <c r="A46" i="116"/>
  <c r="C45" i="116"/>
  <c r="A46" i="115"/>
  <c r="C45" i="115"/>
  <c r="A46" i="114"/>
  <c r="C45" i="114"/>
  <c r="A46" i="113"/>
  <c r="C45" i="113"/>
  <c r="AB44" i="111"/>
  <c r="C44" i="111"/>
  <c r="A45" i="111"/>
  <c r="AB40" i="60"/>
  <c r="C41" i="60"/>
  <c r="A42" i="60"/>
  <c r="P45" i="117" l="1"/>
  <c r="P45" i="114"/>
  <c r="P45" i="115"/>
  <c r="P45" i="116"/>
  <c r="AB45" i="115"/>
  <c r="P45" i="113"/>
  <c r="AB45" i="113"/>
  <c r="AB45" i="117"/>
  <c r="P45" i="118"/>
  <c r="P45" i="119"/>
  <c r="V46" i="120"/>
  <c r="N46" i="120"/>
  <c r="AB46" i="120" s="1"/>
  <c r="R46" i="120"/>
  <c r="T46" i="120"/>
  <c r="P46" i="120"/>
  <c r="V46" i="121"/>
  <c r="T46" i="121"/>
  <c r="N46" i="121"/>
  <c r="R46" i="121"/>
  <c r="R46" i="113"/>
  <c r="T46" i="113"/>
  <c r="V46" i="113"/>
  <c r="N46" i="113"/>
  <c r="N42" i="60"/>
  <c r="AB42" i="60" s="1"/>
  <c r="V42" i="60"/>
  <c r="T42" i="60"/>
  <c r="R42" i="60"/>
  <c r="T46" i="114"/>
  <c r="R46" i="114"/>
  <c r="V46" i="114"/>
  <c r="N46" i="114"/>
  <c r="N46" i="115"/>
  <c r="T46" i="115"/>
  <c r="V46" i="115"/>
  <c r="R46" i="115"/>
  <c r="T46" i="119"/>
  <c r="R46" i="119"/>
  <c r="N46" i="119"/>
  <c r="V46" i="119"/>
  <c r="V46" i="116"/>
  <c r="N46" i="116"/>
  <c r="AB46" i="116" s="1"/>
  <c r="T46" i="116"/>
  <c r="R46" i="116"/>
  <c r="R46" i="117"/>
  <c r="N46" i="117"/>
  <c r="AB46" i="117" s="1"/>
  <c r="P46" i="117"/>
  <c r="V46" i="117"/>
  <c r="T46" i="117" s="1"/>
  <c r="V46" i="118"/>
  <c r="R46" i="118"/>
  <c r="T46" i="118"/>
  <c r="N46" i="118"/>
  <c r="AB46" i="118" s="1"/>
  <c r="V45" i="111"/>
  <c r="T45" i="111" s="1"/>
  <c r="R45" i="111"/>
  <c r="C46" i="121"/>
  <c r="A47" i="121"/>
  <c r="C46" i="120"/>
  <c r="A47" i="120"/>
  <c r="C46" i="119"/>
  <c r="A47" i="119"/>
  <c r="C46" i="118"/>
  <c r="A47" i="118"/>
  <c r="C46" i="117"/>
  <c r="A47" i="117"/>
  <c r="C46" i="116"/>
  <c r="A47" i="116"/>
  <c r="C46" i="115"/>
  <c r="A47" i="115"/>
  <c r="AB46" i="115"/>
  <c r="C46" i="114"/>
  <c r="A47" i="114"/>
  <c r="A47" i="113"/>
  <c r="C46" i="113"/>
  <c r="AB45" i="111"/>
  <c r="A46" i="111"/>
  <c r="C45" i="111"/>
  <c r="A43" i="60"/>
  <c r="C42" i="60"/>
  <c r="P46" i="115" l="1"/>
  <c r="P46" i="114"/>
  <c r="AB46" i="114"/>
  <c r="P46" i="113"/>
  <c r="P46" i="119"/>
  <c r="P42" i="60"/>
  <c r="P46" i="116"/>
  <c r="P46" i="121"/>
  <c r="AB46" i="113"/>
  <c r="P46" i="118"/>
  <c r="V46" i="111"/>
  <c r="T46" i="111"/>
  <c r="R46" i="111"/>
  <c r="R47" i="114"/>
  <c r="R49" i="114" s="1"/>
  <c r="R50" i="114" s="1"/>
  <c r="V47" i="114"/>
  <c r="V49" i="114" s="1"/>
  <c r="V50" i="114" s="1"/>
  <c r="P47" i="114"/>
  <c r="N47" i="114"/>
  <c r="N47" i="116"/>
  <c r="V47" i="116"/>
  <c r="V49" i="116" s="1"/>
  <c r="V50" i="116" s="1"/>
  <c r="T47" i="116"/>
  <c r="T49" i="116" s="1"/>
  <c r="T50" i="116" s="1"/>
  <c r="R47" i="116"/>
  <c r="R49" i="116" s="1"/>
  <c r="R50" i="116" s="1"/>
  <c r="T47" i="120"/>
  <c r="T49" i="120" s="1"/>
  <c r="T50" i="120" s="1"/>
  <c r="V47" i="120"/>
  <c r="V49" i="120" s="1"/>
  <c r="V50" i="120" s="1"/>
  <c r="R47" i="120"/>
  <c r="R49" i="120" s="1"/>
  <c r="R50" i="120" s="1"/>
  <c r="P47" i="120"/>
  <c r="P49" i="120" s="1"/>
  <c r="N47" i="120"/>
  <c r="AB46" i="121"/>
  <c r="T47" i="117"/>
  <c r="T49" i="117" s="1"/>
  <c r="T50" i="117" s="1"/>
  <c r="R47" i="117"/>
  <c r="R49" i="117" s="1"/>
  <c r="R50" i="117" s="1"/>
  <c r="P47" i="117"/>
  <c r="N47" i="117"/>
  <c r="V47" i="117"/>
  <c r="V49" i="117" s="1"/>
  <c r="V50" i="117" s="1"/>
  <c r="V47" i="113"/>
  <c r="V49" i="113" s="1"/>
  <c r="V50" i="113" s="1"/>
  <c r="T47" i="113"/>
  <c r="T49" i="113" s="1"/>
  <c r="T50" i="113" s="1"/>
  <c r="R47" i="113"/>
  <c r="R49" i="113" s="1"/>
  <c r="R50" i="113" s="1"/>
  <c r="N47" i="113"/>
  <c r="N47" i="118"/>
  <c r="V47" i="118"/>
  <c r="V49" i="118" s="1"/>
  <c r="V50" i="118" s="1"/>
  <c r="T47" i="118"/>
  <c r="T49" i="118" s="1"/>
  <c r="T50" i="118" s="1"/>
  <c r="R47" i="118"/>
  <c r="R47" i="115"/>
  <c r="R49" i="115" s="1"/>
  <c r="R50" i="115" s="1"/>
  <c r="P47" i="115"/>
  <c r="V47" i="115"/>
  <c r="V49" i="115" s="1"/>
  <c r="V50" i="115" s="1"/>
  <c r="T47" i="115"/>
  <c r="T49" i="115" s="1"/>
  <c r="T50" i="115" s="1"/>
  <c r="N47" i="115"/>
  <c r="T47" i="119"/>
  <c r="T49" i="119" s="1"/>
  <c r="T50" i="119" s="1"/>
  <c r="R47" i="119"/>
  <c r="R49" i="119" s="1"/>
  <c r="R50" i="119" s="1"/>
  <c r="N47" i="119"/>
  <c r="V47" i="119"/>
  <c r="V49" i="119" s="1"/>
  <c r="V50" i="119" s="1"/>
  <c r="V47" i="121"/>
  <c r="V49" i="121" s="1"/>
  <c r="V50" i="121" s="1"/>
  <c r="T47" i="121"/>
  <c r="T49" i="121" s="1"/>
  <c r="T50" i="121" s="1"/>
  <c r="R47" i="121"/>
  <c r="R49" i="121" s="1"/>
  <c r="R50" i="121" s="1"/>
  <c r="N47" i="121"/>
  <c r="AB46" i="119"/>
  <c r="V43" i="60"/>
  <c r="T43" i="60"/>
  <c r="R43" i="60"/>
  <c r="N43" i="60"/>
  <c r="C47" i="121"/>
  <c r="C47" i="120"/>
  <c r="C47" i="119"/>
  <c r="C47" i="118"/>
  <c r="C47" i="117"/>
  <c r="C47" i="116"/>
  <c r="C47" i="115"/>
  <c r="C47" i="114"/>
  <c r="C47" i="113"/>
  <c r="A47" i="111"/>
  <c r="AB46" i="111"/>
  <c r="C46" i="111"/>
  <c r="A44" i="60"/>
  <c r="C43" i="60"/>
  <c r="P47" i="119" l="1"/>
  <c r="P49" i="119" s="1"/>
  <c r="AB50" i="119" s="1"/>
  <c r="D55" i="119" s="1"/>
  <c r="P43" i="60"/>
  <c r="P47" i="118"/>
  <c r="P49" i="118" s="1"/>
  <c r="P47" i="113"/>
  <c r="P49" i="113" s="1"/>
  <c r="AB50" i="113" s="1"/>
  <c r="D55" i="113" s="1"/>
  <c r="P47" i="121"/>
  <c r="P49" i="121" s="1"/>
  <c r="AB50" i="121" s="1"/>
  <c r="D55" i="121" s="1"/>
  <c r="AB43" i="60"/>
  <c r="P47" i="116"/>
  <c r="P49" i="116" s="1"/>
  <c r="AF12" i="116" s="1"/>
  <c r="R49" i="118"/>
  <c r="R50" i="118" s="1"/>
  <c r="T44" i="60"/>
  <c r="R44" i="60"/>
  <c r="V44" i="60"/>
  <c r="N44" i="60"/>
  <c r="T47" i="114"/>
  <c r="T49" i="114" s="1"/>
  <c r="T50" i="114" s="1"/>
  <c r="V47" i="111"/>
  <c r="V49" i="111" s="1"/>
  <c r="T47" i="111"/>
  <c r="T49" i="111" s="1"/>
  <c r="R47" i="111"/>
  <c r="R49" i="111" s="1"/>
  <c r="AB47" i="121"/>
  <c r="AA59" i="121" s="1"/>
  <c r="N49" i="121"/>
  <c r="AB47" i="120"/>
  <c r="AA59" i="120" s="1"/>
  <c r="N49" i="120"/>
  <c r="AB50" i="120"/>
  <c r="D55" i="120" s="1"/>
  <c r="AF12" i="120"/>
  <c r="P50" i="120"/>
  <c r="AB47" i="119"/>
  <c r="AA59" i="119" s="1"/>
  <c r="N49" i="119"/>
  <c r="AB47" i="118"/>
  <c r="AA59" i="118" s="1"/>
  <c r="N49" i="118"/>
  <c r="P49" i="117"/>
  <c r="AB50" i="117" s="1"/>
  <c r="D55" i="117" s="1"/>
  <c r="AB47" i="117"/>
  <c r="AA59" i="117" s="1"/>
  <c r="N49" i="117"/>
  <c r="AB47" i="116"/>
  <c r="AA59" i="116" s="1"/>
  <c r="N49" i="116"/>
  <c r="P49" i="115"/>
  <c r="AF12" i="115" s="1"/>
  <c r="AB47" i="115"/>
  <c r="AA59" i="115" s="1"/>
  <c r="N49" i="115"/>
  <c r="P49" i="114"/>
  <c r="AB50" i="114" s="1"/>
  <c r="D55" i="114" s="1"/>
  <c r="AB47" i="114"/>
  <c r="AA59" i="114" s="1"/>
  <c r="N49" i="114"/>
  <c r="AB47" i="113"/>
  <c r="AA59" i="113" s="1"/>
  <c r="N49" i="113"/>
  <c r="C47" i="111"/>
  <c r="A45" i="60"/>
  <c r="C44" i="60"/>
  <c r="P44" i="60" l="1"/>
  <c r="AB50" i="118"/>
  <c r="D55" i="118" s="1"/>
  <c r="T45" i="60"/>
  <c r="V45" i="60"/>
  <c r="R45" i="60"/>
  <c r="N45" i="60"/>
  <c r="P50" i="121"/>
  <c r="AF12" i="121"/>
  <c r="X49" i="121"/>
  <c r="N50" i="121"/>
  <c r="P50" i="119"/>
  <c r="AF12" i="119"/>
  <c r="AF12" i="118"/>
  <c r="X49" i="120"/>
  <c r="N50" i="120"/>
  <c r="P50" i="118"/>
  <c r="X49" i="119"/>
  <c r="N50" i="119"/>
  <c r="P50" i="116"/>
  <c r="X49" i="118"/>
  <c r="N50" i="118"/>
  <c r="P50" i="117"/>
  <c r="AF12" i="117"/>
  <c r="AB50" i="116"/>
  <c r="D55" i="116" s="1"/>
  <c r="N50" i="117"/>
  <c r="X49" i="117"/>
  <c r="P50" i="115"/>
  <c r="AB50" i="115"/>
  <c r="D55" i="115" s="1"/>
  <c r="N50" i="116"/>
  <c r="X49" i="116"/>
  <c r="N50" i="115"/>
  <c r="X49" i="115"/>
  <c r="P50" i="114"/>
  <c r="AF12" i="114"/>
  <c r="N50" i="114"/>
  <c r="X49" i="114"/>
  <c r="P50" i="113"/>
  <c r="AF12" i="113"/>
  <c r="N50" i="113"/>
  <c r="X49" i="113"/>
  <c r="P49" i="111"/>
  <c r="AB47" i="111"/>
  <c r="AA59" i="111" s="1"/>
  <c r="N49" i="111"/>
  <c r="AB44" i="60"/>
  <c r="C45" i="60"/>
  <c r="A46" i="60"/>
  <c r="P45" i="60" l="1"/>
  <c r="R46" i="60"/>
  <c r="N46" i="60"/>
  <c r="AB46" i="60" s="1"/>
  <c r="V46" i="60"/>
  <c r="T46" i="60"/>
  <c r="X50" i="121"/>
  <c r="L50" i="121"/>
  <c r="X50" i="120"/>
  <c r="L50" i="120"/>
  <c r="X50" i="119"/>
  <c r="L50" i="119"/>
  <c r="X50" i="118"/>
  <c r="L50" i="118"/>
  <c r="X50" i="117"/>
  <c r="L50" i="117"/>
  <c r="X50" i="116"/>
  <c r="L50" i="116"/>
  <c r="L50" i="115"/>
  <c r="X50" i="115"/>
  <c r="X50" i="114"/>
  <c r="L50" i="114"/>
  <c r="X50" i="113"/>
  <c r="L50" i="113"/>
  <c r="AB50" i="111"/>
  <c r="AF12" i="111"/>
  <c r="N50" i="111"/>
  <c r="X49" i="111"/>
  <c r="AB45" i="60"/>
  <c r="C46" i="60"/>
  <c r="A47" i="60"/>
  <c r="P46" i="60" l="1"/>
  <c r="N47" i="60"/>
  <c r="T47" i="60"/>
  <c r="T49" i="60" s="1"/>
  <c r="R47" i="60"/>
  <c r="R49" i="60" s="1"/>
  <c r="V47" i="60"/>
  <c r="V49" i="60" s="1"/>
  <c r="G58" i="121"/>
  <c r="J58" i="121" s="1"/>
  <c r="G57" i="121"/>
  <c r="J57" i="121" s="1"/>
  <c r="J60" i="121" s="1"/>
  <c r="J65" i="121" s="1"/>
  <c r="J70" i="121" s="1"/>
  <c r="G58" i="120"/>
  <c r="J58" i="120" s="1"/>
  <c r="G57" i="120"/>
  <c r="J57" i="120" s="1"/>
  <c r="J60" i="120" s="1"/>
  <c r="J65" i="120" s="1"/>
  <c r="J70" i="120" s="1"/>
  <c r="G57" i="119"/>
  <c r="J57" i="119" s="1"/>
  <c r="J60" i="119" s="1"/>
  <c r="J65" i="119" s="1"/>
  <c r="J70" i="119" s="1"/>
  <c r="G58" i="119"/>
  <c r="J58" i="119" s="1"/>
  <c r="G58" i="118"/>
  <c r="J58" i="118" s="1"/>
  <c r="G57" i="118"/>
  <c r="J57" i="118" s="1"/>
  <c r="J60" i="118" s="1"/>
  <c r="J65" i="118" s="1"/>
  <c r="J70" i="118" s="1"/>
  <c r="G57" i="117"/>
  <c r="J57" i="117" s="1"/>
  <c r="J60" i="117" s="1"/>
  <c r="J65" i="117" s="1"/>
  <c r="J70" i="117" s="1"/>
  <c r="G58" i="117"/>
  <c r="J58" i="117" s="1"/>
  <c r="G57" i="116"/>
  <c r="J57" i="116" s="1"/>
  <c r="J60" i="116" s="1"/>
  <c r="J65" i="116" s="1"/>
  <c r="J70" i="116" s="1"/>
  <c r="G58" i="116"/>
  <c r="J58" i="116" s="1"/>
  <c r="G58" i="115"/>
  <c r="J58" i="115" s="1"/>
  <c r="G57" i="115"/>
  <c r="J57" i="115" s="1"/>
  <c r="J60" i="115" s="1"/>
  <c r="J65" i="115" s="1"/>
  <c r="J70" i="115" s="1"/>
  <c r="G58" i="114"/>
  <c r="J58" i="114" s="1"/>
  <c r="G57" i="114"/>
  <c r="J57" i="114" s="1"/>
  <c r="J60" i="114" s="1"/>
  <c r="J65" i="114" s="1"/>
  <c r="J70" i="114" s="1"/>
  <c r="G58" i="113"/>
  <c r="J58" i="113" s="1"/>
  <c r="G57" i="113"/>
  <c r="J57" i="113" s="1"/>
  <c r="J60" i="113" s="1"/>
  <c r="J65" i="113" s="1"/>
  <c r="J70" i="113" s="1"/>
  <c r="C47" i="60"/>
  <c r="P47" i="60" l="1"/>
  <c r="AB47" i="60"/>
  <c r="AA59" i="60" s="1"/>
  <c r="P49" i="60" l="1"/>
  <c r="AF12" i="60" s="1"/>
  <c r="N49" i="60"/>
  <c r="AB50" i="60" l="1"/>
  <c r="X49" i="60"/>
  <c r="N50" i="60"/>
  <c r="AB5" i="59" l="1" a="1"/>
  <c r="AB5" i="59" s="1"/>
  <c r="P57" i="59" l="1"/>
  <c r="P5" i="59"/>
  <c r="AB6" i="59"/>
  <c r="A3" i="59"/>
  <c r="A17" i="59" s="1"/>
  <c r="R17" i="59" l="1"/>
  <c r="N17" i="59"/>
  <c r="A18" i="59"/>
  <c r="T17" i="59"/>
  <c r="C17" i="59"/>
  <c r="V17" i="59"/>
  <c r="V18" i="59" l="1"/>
  <c r="T18" i="59"/>
  <c r="R18" i="59"/>
  <c r="N18" i="59"/>
  <c r="P17" i="59"/>
  <c r="A19" i="59"/>
  <c r="C18" i="59"/>
  <c r="AB17" i="59"/>
  <c r="P18" i="59" l="1"/>
  <c r="N19" i="59"/>
  <c r="T19" i="59"/>
  <c r="V19" i="59"/>
  <c r="R19" i="59"/>
  <c r="C19" i="59"/>
  <c r="A20" i="59"/>
  <c r="AB18" i="59"/>
  <c r="P19" i="59" l="1"/>
  <c r="V20" i="59"/>
  <c r="T20" i="59"/>
  <c r="N20" i="59"/>
  <c r="R20" i="59"/>
  <c r="C20" i="59"/>
  <c r="A21" i="59"/>
  <c r="AB19" i="59"/>
  <c r="P20" i="59" l="1"/>
  <c r="N21" i="59"/>
  <c r="R21" i="59"/>
  <c r="V21" i="59"/>
  <c r="T21" i="59"/>
  <c r="A22" i="59"/>
  <c r="C21" i="59"/>
  <c r="AB20" i="59"/>
  <c r="P21" i="59" l="1"/>
  <c r="R22" i="59"/>
  <c r="P22" i="59"/>
  <c r="V22" i="59"/>
  <c r="T22" i="59" s="1"/>
  <c r="N22" i="59"/>
  <c r="C22" i="59"/>
  <c r="A23" i="59"/>
  <c r="AB21" i="59"/>
  <c r="R23" i="59" l="1"/>
  <c r="N23" i="59"/>
  <c r="V23" i="59"/>
  <c r="T23" i="59"/>
  <c r="A24" i="59"/>
  <c r="C23" i="59"/>
  <c r="AB22" i="59"/>
  <c r="P23" i="59" l="1"/>
  <c r="N24" i="59"/>
  <c r="V24" i="59"/>
  <c r="R24" i="59"/>
  <c r="T24" i="59"/>
  <c r="A25" i="59"/>
  <c r="C24" i="59"/>
  <c r="AB23" i="59"/>
  <c r="P24" i="59" l="1"/>
  <c r="R25" i="59"/>
  <c r="N25" i="59"/>
  <c r="AB25" i="59" s="1"/>
  <c r="V25" i="59"/>
  <c r="T25" i="59"/>
  <c r="AB24" i="59"/>
  <c r="A26" i="59"/>
  <c r="C25" i="59"/>
  <c r="P25" i="59" l="1"/>
  <c r="T26" i="59"/>
  <c r="R26" i="59"/>
  <c r="V26" i="59"/>
  <c r="N26" i="59"/>
  <c r="C26" i="59"/>
  <c r="A27" i="59"/>
  <c r="P26" i="59" l="1"/>
  <c r="AB26" i="59"/>
  <c r="T27" i="59"/>
  <c r="R27" i="59"/>
  <c r="N27" i="59"/>
  <c r="AB27" i="59" s="1"/>
  <c r="V27" i="59"/>
  <c r="C27" i="59"/>
  <c r="A28" i="59"/>
  <c r="R28" i="59" l="1"/>
  <c r="V28" i="59"/>
  <c r="N28" i="59"/>
  <c r="T28" i="59"/>
  <c r="P27" i="59"/>
  <c r="A29" i="59"/>
  <c r="C28" i="59"/>
  <c r="P28" i="59" l="1"/>
  <c r="AB28" i="59"/>
  <c r="P29" i="59"/>
  <c r="V29" i="59"/>
  <c r="T29" i="59" s="1"/>
  <c r="N29" i="59"/>
  <c r="AB29" i="59" s="1"/>
  <c r="R29" i="59"/>
  <c r="C29" i="59"/>
  <c r="A30" i="59"/>
  <c r="N30" i="59" l="1"/>
  <c r="T30" i="59"/>
  <c r="V30" i="59"/>
  <c r="R30" i="59"/>
  <c r="C30" i="59"/>
  <c r="A31" i="59"/>
  <c r="P30" i="59" l="1"/>
  <c r="AB30" i="59"/>
  <c r="T31" i="59"/>
  <c r="V31" i="59"/>
  <c r="R31" i="59"/>
  <c r="N31" i="59"/>
  <c r="AB31" i="59" s="1"/>
  <c r="A32" i="59"/>
  <c r="C31" i="59"/>
  <c r="P31" i="59" l="1"/>
  <c r="V32" i="59"/>
  <c r="N32" i="59"/>
  <c r="AB32" i="59" s="1"/>
  <c r="T32" i="59"/>
  <c r="R32" i="59"/>
  <c r="A33" i="59"/>
  <c r="C32" i="59"/>
  <c r="P32" i="59" l="1"/>
  <c r="V33" i="59"/>
  <c r="T33" i="59"/>
  <c r="N33" i="59"/>
  <c r="AB33" i="59" s="1"/>
  <c r="R33" i="59"/>
  <c r="A34" i="59"/>
  <c r="C33" i="59"/>
  <c r="P33" i="59" l="1"/>
  <c r="R34" i="59"/>
  <c r="N34" i="59"/>
  <c r="AB34" i="59" s="1"/>
  <c r="V34" i="59"/>
  <c r="T34" i="59"/>
  <c r="C34" i="59"/>
  <c r="A35" i="59"/>
  <c r="P34" i="59" l="1"/>
  <c r="V35" i="59"/>
  <c r="T35" i="59"/>
  <c r="N35" i="59"/>
  <c r="R35" i="59"/>
  <c r="A36" i="59"/>
  <c r="C35" i="59"/>
  <c r="P35" i="59" l="1"/>
  <c r="AB35" i="59"/>
  <c r="N36" i="59"/>
  <c r="AB36" i="59" s="1"/>
  <c r="P36" i="59"/>
  <c r="R36" i="59"/>
  <c r="V36" i="59"/>
  <c r="T36" i="59" s="1"/>
  <c r="C36" i="59"/>
  <c r="A37" i="59"/>
  <c r="V37" i="59" l="1"/>
  <c r="T37" i="59"/>
  <c r="R37" i="59"/>
  <c r="N37" i="59"/>
  <c r="C37" i="59"/>
  <c r="A38" i="59"/>
  <c r="P37" i="59" l="1"/>
  <c r="AB37" i="59"/>
  <c r="N38" i="59"/>
  <c r="AB38" i="59" s="1"/>
  <c r="V38" i="59"/>
  <c r="T38" i="59"/>
  <c r="R38" i="59"/>
  <c r="A39" i="59"/>
  <c r="C38" i="59"/>
  <c r="P38" i="59" l="1"/>
  <c r="T39" i="59"/>
  <c r="R39" i="59"/>
  <c r="N39" i="59"/>
  <c r="AB39" i="59" s="1"/>
  <c r="V39" i="59"/>
  <c r="A40" i="59"/>
  <c r="C39" i="59"/>
  <c r="P39" i="59" l="1"/>
  <c r="R40" i="59"/>
  <c r="N40" i="59"/>
  <c r="AB40" i="59" s="1"/>
  <c r="V40" i="59"/>
  <c r="T40" i="59"/>
  <c r="C40" i="59"/>
  <c r="A41" i="59"/>
  <c r="P40" i="59" l="1"/>
  <c r="R41" i="59"/>
  <c r="N41" i="59"/>
  <c r="AB41" i="59" s="1"/>
  <c r="V41" i="59"/>
  <c r="T41" i="59"/>
  <c r="C41" i="59"/>
  <c r="A42" i="59"/>
  <c r="C3" i="46"/>
  <c r="P41" i="59" l="1"/>
  <c r="T42" i="59"/>
  <c r="R42" i="59"/>
  <c r="N42" i="59"/>
  <c r="V42" i="59"/>
  <c r="A43" i="59"/>
  <c r="C42" i="59"/>
  <c r="B2" i="58"/>
  <c r="P42" i="59" l="1"/>
  <c r="AB42" i="59"/>
  <c r="P43" i="59"/>
  <c r="N43" i="59"/>
  <c r="AB43" i="59" s="1"/>
  <c r="V43" i="59"/>
  <c r="T43" i="59" s="1"/>
  <c r="R43" i="59"/>
  <c r="A44" i="59"/>
  <c r="C43" i="59"/>
  <c r="D56" i="17"/>
  <c r="D58" i="17"/>
  <c r="D57" i="17"/>
  <c r="D55" i="17"/>
  <c r="V44" i="59" l="1"/>
  <c r="R44" i="59"/>
  <c r="T44" i="59"/>
  <c r="N44" i="59"/>
  <c r="C44" i="59"/>
  <c r="A45" i="59"/>
  <c r="C51" i="17"/>
  <c r="V49" i="17"/>
  <c r="G58" i="17" s="1"/>
  <c r="J58" i="17" s="1"/>
  <c r="R47" i="17"/>
  <c r="J47" i="17"/>
  <c r="L47" i="17" s="1"/>
  <c r="R46" i="17"/>
  <c r="J46" i="17"/>
  <c r="L46" i="17" s="1"/>
  <c r="R45" i="17"/>
  <c r="J45" i="17"/>
  <c r="L45" i="17" s="1"/>
  <c r="R44" i="17"/>
  <c r="J44" i="17"/>
  <c r="L44" i="17" s="1"/>
  <c r="R43" i="17"/>
  <c r="J43" i="17"/>
  <c r="L43" i="17" s="1"/>
  <c r="R42" i="17"/>
  <c r="J42" i="17"/>
  <c r="L42" i="17" s="1"/>
  <c r="R41" i="17"/>
  <c r="J41" i="17"/>
  <c r="L41" i="17" s="1"/>
  <c r="R40" i="17"/>
  <c r="J40" i="17"/>
  <c r="L40" i="17" s="1"/>
  <c r="R39" i="17"/>
  <c r="J39" i="17"/>
  <c r="L39" i="17" s="1"/>
  <c r="R38" i="17"/>
  <c r="J38" i="17"/>
  <c r="L38" i="17" s="1"/>
  <c r="R37" i="17"/>
  <c r="J37" i="17"/>
  <c r="L37" i="17" s="1"/>
  <c r="R36" i="17"/>
  <c r="J36" i="17"/>
  <c r="L36" i="17" s="1"/>
  <c r="R35" i="17"/>
  <c r="J35" i="17"/>
  <c r="L35" i="17" s="1"/>
  <c r="R34" i="17"/>
  <c r="J34" i="17"/>
  <c r="L34" i="17" s="1"/>
  <c r="R33" i="17"/>
  <c r="J33" i="17"/>
  <c r="L33" i="17" s="1"/>
  <c r="R32" i="17"/>
  <c r="J32" i="17"/>
  <c r="L32" i="17" s="1"/>
  <c r="R31" i="17"/>
  <c r="J31" i="17"/>
  <c r="L31" i="17" s="1"/>
  <c r="R30" i="17"/>
  <c r="J30" i="17"/>
  <c r="L30" i="17" s="1"/>
  <c r="R29" i="17"/>
  <c r="J29" i="17"/>
  <c r="L29" i="17" s="1"/>
  <c r="R28" i="17"/>
  <c r="J28" i="17"/>
  <c r="L28" i="17" s="1"/>
  <c r="R27" i="17"/>
  <c r="J27" i="17"/>
  <c r="L27" i="17" s="1"/>
  <c r="R26" i="17"/>
  <c r="J26" i="17"/>
  <c r="L26" i="17" s="1"/>
  <c r="R25" i="17"/>
  <c r="J25" i="17"/>
  <c r="L25" i="17" s="1"/>
  <c r="R24" i="17"/>
  <c r="J24" i="17"/>
  <c r="L24" i="17" s="1"/>
  <c r="R23" i="17"/>
  <c r="J23" i="17"/>
  <c r="L23" i="17" s="1"/>
  <c r="R22" i="17"/>
  <c r="J22" i="17"/>
  <c r="L22" i="17" s="1"/>
  <c r="R21" i="17"/>
  <c r="J21" i="17"/>
  <c r="L21" i="17" s="1"/>
  <c r="R20" i="17"/>
  <c r="J20" i="17"/>
  <c r="L20" i="17" s="1"/>
  <c r="R19" i="17"/>
  <c r="J19" i="17"/>
  <c r="L19" i="17" s="1"/>
  <c r="R18" i="17"/>
  <c r="J18" i="17"/>
  <c r="L18" i="17" s="1"/>
  <c r="R17" i="17"/>
  <c r="J17" i="17"/>
  <c r="L17" i="17" s="1"/>
  <c r="L49" i="17" s="1"/>
  <c r="A17" i="17"/>
  <c r="A18" i="17" s="1"/>
  <c r="P44" i="59" l="1"/>
  <c r="AB44" i="59"/>
  <c r="N45" i="59"/>
  <c r="AB45" i="59" s="1"/>
  <c r="T45" i="59"/>
  <c r="R45" i="59"/>
  <c r="V45" i="59"/>
  <c r="C45" i="59"/>
  <c r="A46" i="59"/>
  <c r="R49" i="17"/>
  <c r="G56" i="17" s="1"/>
  <c r="J56" i="17" s="1"/>
  <c r="A19" i="17"/>
  <c r="C18" i="17"/>
  <c r="C17" i="17"/>
  <c r="P45" i="59" l="1"/>
  <c r="R46" i="59"/>
  <c r="V46" i="59"/>
  <c r="T46" i="59"/>
  <c r="N46" i="59"/>
  <c r="AB46" i="59" s="1"/>
  <c r="A47" i="59"/>
  <c r="C46" i="59"/>
  <c r="T18" i="17"/>
  <c r="N18" i="17"/>
  <c r="P18" i="17"/>
  <c r="T17" i="17"/>
  <c r="P17" i="17"/>
  <c r="N17" i="17"/>
  <c r="C19" i="17"/>
  <c r="A20" i="17"/>
  <c r="P46" i="59" l="1"/>
  <c r="N47" i="59"/>
  <c r="T47" i="59"/>
  <c r="T49" i="59" s="1"/>
  <c r="R47" i="59"/>
  <c r="R49" i="59" s="1"/>
  <c r="P47" i="59"/>
  <c r="V47" i="59"/>
  <c r="V49" i="59"/>
  <c r="C47" i="59"/>
  <c r="C20" i="17"/>
  <c r="A21" i="17"/>
  <c r="T19" i="17"/>
  <c r="P19" i="17"/>
  <c r="N19" i="17"/>
  <c r="P49" i="59" l="1"/>
  <c r="AF12" i="59" s="1"/>
  <c r="N49" i="59"/>
  <c r="AB47" i="59"/>
  <c r="AA59" i="59" s="1"/>
  <c r="C21" i="17"/>
  <c r="A22" i="17"/>
  <c r="T20" i="17"/>
  <c r="P20" i="17"/>
  <c r="N20" i="17"/>
  <c r="AB50" i="59" l="1"/>
  <c r="X49" i="59"/>
  <c r="N50" i="59"/>
  <c r="C22" i="17"/>
  <c r="A23" i="17"/>
  <c r="T21" i="17"/>
  <c r="P21" i="17"/>
  <c r="N21" i="17"/>
  <c r="T22" i="17" l="1"/>
  <c r="P22" i="17"/>
  <c r="N22" i="17"/>
  <c r="C23" i="17"/>
  <c r="A24" i="17"/>
  <c r="C24" i="17" l="1"/>
  <c r="A25" i="17"/>
  <c r="T23" i="17"/>
  <c r="P23" i="17"/>
  <c r="N23" i="17"/>
  <c r="C25" i="17" l="1"/>
  <c r="A26" i="17"/>
  <c r="T24" i="17"/>
  <c r="P24" i="17"/>
  <c r="N24" i="17"/>
  <c r="C26" i="17" l="1"/>
  <c r="A27" i="17"/>
  <c r="T25" i="17"/>
  <c r="P25" i="17"/>
  <c r="N25" i="17"/>
  <c r="C27" i="17" l="1"/>
  <c r="A28" i="17"/>
  <c r="T26" i="17"/>
  <c r="P26" i="17"/>
  <c r="N26" i="17"/>
  <c r="T27" i="17" l="1"/>
  <c r="P27" i="17"/>
  <c r="N27" i="17"/>
  <c r="A29" i="17"/>
  <c r="C28" i="17"/>
  <c r="T28" i="17" l="1"/>
  <c r="P28" i="17"/>
  <c r="N28" i="17"/>
  <c r="C29" i="17"/>
  <c r="A30" i="17"/>
  <c r="C30" i="17" l="1"/>
  <c r="A31" i="17"/>
  <c r="T29" i="17"/>
  <c r="P29" i="17"/>
  <c r="N29" i="17"/>
  <c r="T30" i="17" l="1"/>
  <c r="P30" i="17"/>
  <c r="N30" i="17"/>
  <c r="C31" i="17"/>
  <c r="A32" i="17"/>
  <c r="T31" i="17" l="1"/>
  <c r="P31" i="17"/>
  <c r="N31" i="17"/>
  <c r="C32" i="17"/>
  <c r="A33" i="17"/>
  <c r="T32" i="17" l="1"/>
  <c r="P32" i="17"/>
  <c r="N32" i="17"/>
  <c r="C33" i="17"/>
  <c r="A34" i="17"/>
  <c r="T33" i="17" l="1"/>
  <c r="P33" i="17"/>
  <c r="N33" i="17"/>
  <c r="C34" i="17"/>
  <c r="A35" i="17"/>
  <c r="T34" i="17" l="1"/>
  <c r="P34" i="17"/>
  <c r="N34" i="17"/>
  <c r="C35" i="17"/>
  <c r="A36" i="17"/>
  <c r="T35" i="17" l="1"/>
  <c r="P35" i="17"/>
  <c r="N35" i="17"/>
  <c r="C36" i="17"/>
  <c r="A37" i="17"/>
  <c r="T36" i="17" l="1"/>
  <c r="P36" i="17"/>
  <c r="N36" i="17"/>
  <c r="C37" i="17"/>
  <c r="A38" i="17"/>
  <c r="T37" i="17" l="1"/>
  <c r="P37" i="17"/>
  <c r="N37" i="17"/>
  <c r="C38" i="17"/>
  <c r="A39" i="17"/>
  <c r="T38" i="17" l="1"/>
  <c r="P38" i="17"/>
  <c r="N38" i="17"/>
  <c r="C39" i="17"/>
  <c r="A40" i="17"/>
  <c r="T39" i="17" l="1"/>
  <c r="P39" i="17"/>
  <c r="N39" i="17"/>
  <c r="C40" i="17"/>
  <c r="A41" i="17"/>
  <c r="T40" i="17" l="1"/>
  <c r="N40" i="17"/>
  <c r="P40" i="17" s="1"/>
  <c r="C41" i="17"/>
  <c r="A42" i="17"/>
  <c r="T41" i="17" l="1"/>
  <c r="P41" i="17"/>
  <c r="N41" i="17"/>
  <c r="C42" i="17"/>
  <c r="A43" i="17"/>
  <c r="T42" i="17" l="1"/>
  <c r="P42" i="17"/>
  <c r="N42" i="17"/>
  <c r="C43" i="17"/>
  <c r="A44" i="17"/>
  <c r="T43" i="17" l="1"/>
  <c r="P43" i="17"/>
  <c r="N43" i="17"/>
  <c r="C44" i="17"/>
  <c r="A45" i="17"/>
  <c r="T44" i="17" l="1"/>
  <c r="P44" i="17"/>
  <c r="N44" i="17"/>
  <c r="C45" i="17"/>
  <c r="A46" i="17"/>
  <c r="T45" i="17" l="1"/>
  <c r="P45" i="17"/>
  <c r="N45" i="17"/>
  <c r="C46" i="17"/>
  <c r="A47" i="17"/>
  <c r="C47" i="17" s="1"/>
  <c r="T46" i="17" l="1"/>
  <c r="P46" i="17"/>
  <c r="N46" i="17"/>
  <c r="T47" i="17"/>
  <c r="P47" i="17"/>
  <c r="N47" i="17"/>
  <c r="O51" i="17"/>
  <c r="T49" i="17" l="1"/>
  <c r="G57" i="17" s="1"/>
  <c r="J57" i="17" s="1"/>
  <c r="N49" i="17"/>
  <c r="P49" i="17"/>
  <c r="G55" i="17" s="1"/>
  <c r="J55" i="17" s="1"/>
  <c r="X49" i="17" l="1"/>
  <c r="G54" i="17"/>
  <c r="J54" i="17" s="1"/>
  <c r="J59" i="17" s="1"/>
  <c r="J65" i="17" s="1"/>
  <c r="G55" i="60" l="1"/>
  <c r="J55" i="60" s="1"/>
  <c r="P50" i="59"/>
  <c r="G55" i="59"/>
  <c r="J55" i="59" s="1"/>
  <c r="G55" i="111"/>
  <c r="J55" i="111" s="1"/>
  <c r="P50" i="111"/>
  <c r="AB8" i="60"/>
  <c r="P50" i="60"/>
  <c r="J54" i="59"/>
  <c r="F56" i="59"/>
  <c r="T50" i="59"/>
  <c r="A56" i="59"/>
  <c r="A55" i="59"/>
  <c r="V50" i="59"/>
  <c r="A57" i="59"/>
  <c r="G56" i="59"/>
  <c r="R50" i="59"/>
  <c r="I56" i="59"/>
  <c r="D56" i="59"/>
  <c r="A58" i="59"/>
  <c r="A58" i="111"/>
  <c r="D56" i="111"/>
  <c r="A57" i="111"/>
  <c r="R50" i="111"/>
  <c r="I56" i="111"/>
  <c r="A56" i="111"/>
  <c r="A55" i="111"/>
  <c r="V50" i="111"/>
  <c r="J54" i="111"/>
  <c r="G56" i="111"/>
  <c r="T50" i="111"/>
  <c r="F56" i="111"/>
  <c r="G56" i="60"/>
  <c r="F56" i="60"/>
  <c r="A57" i="60"/>
  <c r="J54" i="60"/>
  <c r="A58" i="60"/>
  <c r="D56" i="60"/>
  <c r="A56" i="60"/>
  <c r="R50" i="60"/>
  <c r="T50" i="60"/>
  <c r="A55" i="60"/>
  <c r="V50" i="60"/>
  <c r="I56" i="60"/>
  <c r="AB8" i="111"/>
  <c r="AB8" i="59"/>
  <c r="D58" i="60" l="1"/>
  <c r="D57" i="60"/>
  <c r="D58" i="111"/>
  <c r="D57" i="111"/>
  <c r="D58" i="59"/>
  <c r="D57" i="59"/>
  <c r="G54" i="60"/>
  <c r="L50" i="59"/>
  <c r="J56" i="60"/>
  <c r="J56" i="111"/>
  <c r="J56" i="59"/>
  <c r="X50" i="60"/>
  <c r="G58" i="60" s="1"/>
  <c r="X50" i="59"/>
  <c r="G57" i="59" s="1"/>
  <c r="L50" i="111"/>
  <c r="G54" i="59"/>
  <c r="L50" i="60"/>
  <c r="G54" i="111"/>
  <c r="I54" i="60"/>
  <c r="I54" i="59"/>
  <c r="I54" i="111"/>
  <c r="X50" i="111"/>
  <c r="G57" i="60" l="1"/>
  <c r="G58" i="59"/>
  <c r="G58" i="111"/>
  <c r="G57" i="111"/>
  <c r="AF46" i="60" l="1"/>
  <c r="AF46" i="111"/>
  <c r="AF46" i="59"/>
  <c r="D54" i="59"/>
  <c r="D55" i="59" s="1"/>
  <c r="J61" i="60"/>
  <c r="J57" i="59"/>
  <c r="J58" i="59"/>
  <c r="J61" i="111"/>
  <c r="J57" i="111" s="1"/>
  <c r="D54" i="111"/>
  <c r="D55" i="111" s="1"/>
  <c r="D54" i="60" l="1"/>
  <c r="D55" i="60" s="1"/>
  <c r="J58" i="60"/>
  <c r="J58" i="111"/>
  <c r="J60" i="59"/>
  <c r="J65" i="59" s="1"/>
  <c r="J70" i="59" s="1"/>
  <c r="J60" i="111"/>
  <c r="J65" i="111" s="1"/>
  <c r="J70" i="111" s="1"/>
  <c r="J57" i="60"/>
  <c r="J60" i="60" s="1"/>
  <c r="J65" i="60" s="1"/>
  <c r="J70" i="60" s="1"/>
  <c r="C10" i="60"/>
  <c r="AA51" i="59"/>
  <c r="AA52" i="60" s="1"/>
  <c r="AA51" i="60" s="1"/>
  <c r="AA51" i="111" s="1"/>
  <c r="C8" i="60"/>
  <c r="D61" i="60"/>
  <c r="D61" i="111"/>
  <c r="A6" i="60"/>
  <c r="E5" i="60"/>
  <c r="AA50" i="60"/>
  <c r="AA50" i="111" s="1"/>
  <c r="AA50" i="113" s="1"/>
  <c r="AA50" i="114" s="1"/>
  <c r="AA50" i="115" s="1"/>
  <c r="AA50" i="116" s="1"/>
  <c r="AA50" i="117" s="1"/>
  <c r="AA50" i="118" s="1"/>
  <c r="AA50" i="119" s="1"/>
  <c r="AA50" i="120" s="1"/>
  <c r="AA50" i="1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Machimoto</author>
  </authors>
  <commentList>
    <comment ref="J60" authorId="0" shapeId="0" xr:uid="{00000000-0006-0000-0D00-000001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定期代を記入
</t>
        </r>
        <r>
          <rPr>
            <sz val="9"/>
            <color indexed="81"/>
            <rFont val="ＭＳ Ｐゴシック"/>
            <family val="3"/>
            <charset val="128"/>
          </rPr>
          <t>※定期代を支給しない場合は、[無し]と記入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<sst xmlns="http://schemas.openxmlformats.org/spreadsheetml/2006/main" count="1991" uniqueCount="276">
  <si>
    <t>殿</t>
    <rPh sb="0" eb="1">
      <t>ドノ</t>
    </rPh>
    <phoneticPr fontId="3"/>
  </si>
  <si>
    <t>派遣先</t>
    <rPh sb="0" eb="2">
      <t>ハケン</t>
    </rPh>
    <rPh sb="2" eb="3">
      <t>サキ</t>
    </rPh>
    <phoneticPr fontId="3"/>
  </si>
  <si>
    <t xml:space="preserve">株式会社 エヌエム・ヒューマテック    </t>
    <rPh sb="0" eb="2">
      <t>カブシキ</t>
    </rPh>
    <rPh sb="2" eb="4">
      <t>カイシャ</t>
    </rPh>
    <phoneticPr fontId="3"/>
  </si>
  <si>
    <t>所属部署</t>
    <rPh sb="0" eb="2">
      <t>ショゾク</t>
    </rPh>
    <rPh sb="2" eb="4">
      <t>ブショ</t>
    </rPh>
    <phoneticPr fontId="3"/>
  </si>
  <si>
    <t>作業名</t>
    <rPh sb="0" eb="2">
      <t>サギョウ</t>
    </rPh>
    <rPh sb="2" eb="3">
      <t>メイ</t>
    </rPh>
    <phoneticPr fontId="3"/>
  </si>
  <si>
    <t>日付</t>
  </si>
  <si>
    <t>曜日</t>
  </si>
  <si>
    <t>時間計算１</t>
  </si>
  <si>
    <t>時間計算２</t>
  </si>
  <si>
    <t>通常勤務　　　時間</t>
    <rPh sb="0" eb="2">
      <t>ツウジョウ</t>
    </rPh>
    <rPh sb="2" eb="4">
      <t>キンム</t>
    </rPh>
    <rPh sb="7" eb="9">
      <t>ジカン</t>
    </rPh>
    <phoneticPr fontId="3"/>
  </si>
  <si>
    <t>超過勤務時間</t>
    <rPh sb="0" eb="2">
      <t>チョウカ</t>
    </rPh>
    <rPh sb="2" eb="4">
      <t>キンム</t>
    </rPh>
    <rPh sb="4" eb="6">
      <t>ジカン</t>
    </rPh>
    <phoneticPr fontId="3"/>
  </si>
  <si>
    <t>深夜残業時間</t>
    <rPh sb="0" eb="2">
      <t>シンヤ</t>
    </rPh>
    <rPh sb="2" eb="4">
      <t>ザンギョウ</t>
    </rPh>
    <rPh sb="4" eb="6">
      <t>ジカン</t>
    </rPh>
    <phoneticPr fontId="3"/>
  </si>
  <si>
    <t>休日出勤時間</t>
    <rPh sb="0" eb="2">
      <t>キュウジツ</t>
    </rPh>
    <rPh sb="2" eb="4">
      <t>シュッキン</t>
    </rPh>
    <rPh sb="4" eb="6">
      <t>ジカン</t>
    </rPh>
    <phoneticPr fontId="3"/>
  </si>
  <si>
    <t>記事</t>
    <rPh sb="0" eb="2">
      <t>キジ</t>
    </rPh>
    <phoneticPr fontId="3"/>
  </si>
  <si>
    <t>自</t>
  </si>
  <si>
    <t>至</t>
  </si>
  <si>
    <t>合           計</t>
  </si>
  <si>
    <t>日</t>
    <rPh sb="0" eb="1">
      <t>ニチ</t>
    </rPh>
    <phoneticPr fontId="3"/>
  </si>
  <si>
    <t>有給</t>
    <rPh sb="0" eb="2">
      <t>ユウキュウ</t>
    </rPh>
    <phoneticPr fontId="3"/>
  </si>
  <si>
    <t>日</t>
    <rPh sb="0" eb="1">
      <t>ヒ</t>
    </rPh>
    <phoneticPr fontId="3"/>
  </si>
  <si>
    <t>有給残</t>
    <rPh sb="0" eb="2">
      <t>ユウキュウ</t>
    </rPh>
    <rPh sb="2" eb="3">
      <t>ザン</t>
    </rPh>
    <phoneticPr fontId="3"/>
  </si>
  <si>
    <t>基本単価</t>
    <rPh sb="0" eb="2">
      <t>キホン</t>
    </rPh>
    <rPh sb="2" eb="4">
      <t>タンカ</t>
    </rPh>
    <phoneticPr fontId="3"/>
  </si>
  <si>
    <t>時間(数）</t>
    <rPh sb="0" eb="2">
      <t>ジカン</t>
    </rPh>
    <rPh sb="3" eb="4">
      <t>スウ</t>
    </rPh>
    <phoneticPr fontId="3"/>
  </si>
  <si>
    <t>基本給</t>
    <rPh sb="0" eb="3">
      <t>キホンキュウ</t>
    </rPh>
    <phoneticPr fontId="3"/>
  </si>
  <si>
    <t>深夜残業</t>
    <rPh sb="0" eb="2">
      <t>シンヤ</t>
    </rPh>
    <rPh sb="2" eb="4">
      <t>ザンギョウ</t>
    </rPh>
    <phoneticPr fontId="3"/>
  </si>
  <si>
    <t>休日出勤</t>
    <rPh sb="0" eb="2">
      <t>キュウジツ</t>
    </rPh>
    <rPh sb="2" eb="4">
      <t>シュッキン</t>
    </rPh>
    <phoneticPr fontId="3"/>
  </si>
  <si>
    <t>検印１</t>
    <rPh sb="0" eb="2">
      <t>ケンイン</t>
    </rPh>
    <phoneticPr fontId="3"/>
  </si>
  <si>
    <t>検印２</t>
    <rPh sb="0" eb="2">
      <t>ケンイン</t>
    </rPh>
    <phoneticPr fontId="3"/>
  </si>
  <si>
    <t>小計</t>
    <rPh sb="0" eb="2">
      <t>ショウケイ</t>
    </rPh>
    <phoneticPr fontId="3"/>
  </si>
  <si>
    <t>定期代</t>
    <rPh sb="0" eb="3">
      <t>テイキダイ</t>
    </rPh>
    <phoneticPr fontId="3"/>
  </si>
  <si>
    <t>印</t>
    <rPh sb="0" eb="1">
      <t>イン</t>
    </rPh>
    <phoneticPr fontId="3"/>
  </si>
  <si>
    <t>総計</t>
    <rPh sb="0" eb="1">
      <t>ソウ</t>
    </rPh>
    <rPh sb="1" eb="2">
      <t>ケイ</t>
    </rPh>
    <phoneticPr fontId="3"/>
  </si>
  <si>
    <t>欠勤</t>
    <rPh sb="0" eb="2">
      <t>ケッキン</t>
    </rPh>
    <phoneticPr fontId="3"/>
  </si>
  <si>
    <t>東京都千代田区隼町２－１０  ２１０半蔵門３F</t>
    <rPh sb="0" eb="3">
      <t>トウキョウト</t>
    </rPh>
    <rPh sb="3" eb="7">
      <t>チヨダク</t>
    </rPh>
    <rPh sb="7" eb="9">
      <t>ハヤブサチョウ</t>
    </rPh>
    <phoneticPr fontId="3"/>
  </si>
  <si>
    <t>Tel: 03-3511-6772</t>
    <phoneticPr fontId="3"/>
  </si>
  <si>
    <t>Fax: 03-3511-6774</t>
    <phoneticPr fontId="3"/>
  </si>
  <si>
    <t>時      間</t>
  </si>
  <si>
    <t>休憩　　　時間</t>
    <phoneticPr fontId="3"/>
  </si>
  <si>
    <t>出勤</t>
    <rPh sb="0" eb="2">
      <t>シュッキン</t>
    </rPh>
    <phoneticPr fontId="3"/>
  </si>
  <si>
    <t>＊</t>
    <phoneticPr fontId="3"/>
  </si>
  <si>
    <t>h</t>
    <phoneticPr fontId="3"/>
  </si>
  <si>
    <t>超過勤務</t>
    <rPh sb="0" eb="2">
      <t>チョウカ</t>
    </rPh>
    <rPh sb="2" eb="4">
      <t>キンム</t>
    </rPh>
    <phoneticPr fontId="3"/>
  </si>
  <si>
    <t>休日深夜</t>
    <rPh sb="0" eb="2">
      <t>キュウジツ</t>
    </rPh>
    <rPh sb="2" eb="4">
      <t>シンヤ</t>
    </rPh>
    <phoneticPr fontId="3"/>
  </si>
  <si>
    <t>休日深夜時間　</t>
    <rPh sb="0" eb="2">
      <t>キュウジツ</t>
    </rPh>
    <rPh sb="2" eb="4">
      <t>シンヤ</t>
    </rPh>
    <rPh sb="4" eb="6">
      <t>ジカン</t>
    </rPh>
    <phoneticPr fontId="3"/>
  </si>
  <si>
    <t>氏名</t>
    <phoneticPr fontId="3"/>
  </si>
  <si>
    <t>派遣先記入(個別契約書等から)</t>
    <phoneticPr fontId="3"/>
  </si>
  <si>
    <t>所属部署記入(個別契約書等から)</t>
    <phoneticPr fontId="3"/>
  </si>
  <si>
    <t>作業名記入(個別契約書等から)</t>
    <phoneticPr fontId="3"/>
  </si>
  <si>
    <r>
      <t>※有休追加は</t>
    </r>
    <r>
      <rPr>
        <sz val="11"/>
        <color rgb="FFFF0000"/>
        <rFont val="ＭＳ Ｐゴシック"/>
        <family val="3"/>
        <charset val="128"/>
      </rPr>
      <t>mm/dd</t>
    </r>
    <phoneticPr fontId="3"/>
  </si>
  <si>
    <r>
      <t>→</t>
    </r>
    <r>
      <rPr>
        <b/>
        <i/>
        <sz val="11"/>
        <color rgb="FFFF0000"/>
        <rFont val="ＭＳ Ｐゴシック"/>
        <family val="3"/>
        <charset val="128"/>
      </rPr>
      <t>20**年**月</t>
    </r>
    <r>
      <rPr>
        <b/>
        <i/>
        <sz val="11"/>
        <rFont val="ＭＳ Ｐゴシック"/>
        <family val="3"/>
        <charset val="128"/>
      </rPr>
      <t>より有休が使える</t>
    </r>
    <rPh sb="5" eb="6">
      <t>ネン</t>
    </rPh>
    <rPh sb="8" eb="9">
      <t>ガツ</t>
    </rPh>
    <rPh sb="11" eb="13">
      <t>ユウキュウ</t>
    </rPh>
    <rPh sb="14" eb="15">
      <t>ツカ</t>
    </rPh>
    <phoneticPr fontId="3"/>
  </si>
  <si>
    <t>交通費(お客様への請求分)</t>
    <rPh sb="0" eb="3">
      <t>コウツウヒ</t>
    </rPh>
    <rPh sb="5" eb="7">
      <t>キャクサマ</t>
    </rPh>
    <rPh sb="9" eb="11">
      <t>セイキュウ</t>
    </rPh>
    <rPh sb="11" eb="12">
      <t>ブン</t>
    </rPh>
    <phoneticPr fontId="3"/>
  </si>
  <si>
    <t>宿泊費(お客様への請求分)</t>
    <phoneticPr fontId="3"/>
  </si>
  <si>
    <t>NO</t>
    <phoneticPr fontId="3"/>
  </si>
  <si>
    <t>Ver</t>
    <phoneticPr fontId="3"/>
  </si>
  <si>
    <t>更新日</t>
    <rPh sb="0" eb="3">
      <t>コウシンビ</t>
    </rPh>
    <phoneticPr fontId="3"/>
  </si>
  <si>
    <t>変更内容</t>
    <rPh sb="0" eb="2">
      <t>ヘンコウ</t>
    </rPh>
    <rPh sb="2" eb="4">
      <t>ナイヨウ</t>
    </rPh>
    <phoneticPr fontId="3"/>
  </si>
  <si>
    <t>その他</t>
    <rPh sb="2" eb="3">
      <t>タ</t>
    </rPh>
    <phoneticPr fontId="3"/>
  </si>
  <si>
    <t>不明</t>
    <rPh sb="0" eb="2">
      <t>フメイ</t>
    </rPh>
    <phoneticPr fontId="3"/>
  </si>
  <si>
    <t>初版リリース</t>
    <rPh sb="0" eb="2">
      <t>ショハン</t>
    </rPh>
    <phoneticPr fontId="3"/>
  </si>
  <si>
    <t>・記入説明のシートを追加
・交通費、宿泊費以外での支給を想定し行を追加</t>
    <rPh sb="1" eb="3">
      <t>キニュウ</t>
    </rPh>
    <rPh sb="3" eb="5">
      <t>セツメイ</t>
    </rPh>
    <rPh sb="10" eb="12">
      <t>ツイカ</t>
    </rPh>
    <rPh sb="14" eb="17">
      <t>コウツウヒ</t>
    </rPh>
    <rPh sb="18" eb="20">
      <t>シュクハク</t>
    </rPh>
    <rPh sb="20" eb="21">
      <t>ヒ</t>
    </rPh>
    <rPh sb="21" eb="23">
      <t>イガイ</t>
    </rPh>
    <rPh sb="25" eb="27">
      <t>シキュウ</t>
    </rPh>
    <rPh sb="28" eb="30">
      <t>ソウテイ</t>
    </rPh>
    <rPh sb="31" eb="32">
      <t>ギョウ</t>
    </rPh>
    <rPh sb="33" eb="35">
      <t>ツイカ</t>
    </rPh>
    <phoneticPr fontId="3"/>
  </si>
  <si>
    <t>※メジャーバージョンアップとマイナーバージョンアップのどちらにするかは、個人判断で構いません</t>
    <rPh sb="36" eb="38">
      <t>コジン</t>
    </rPh>
    <rPh sb="38" eb="40">
      <t>ハンダン</t>
    </rPh>
    <rPh sb="41" eb="42">
      <t>カマ</t>
    </rPh>
    <phoneticPr fontId="3"/>
  </si>
  <si>
    <t>対応者</t>
    <rPh sb="0" eb="2">
      <t>タイオウ</t>
    </rPh>
    <rPh sb="2" eb="3">
      <t>シャ</t>
    </rPh>
    <phoneticPr fontId="20"/>
  </si>
  <si>
    <t>町本</t>
    <rPh sb="0" eb="1">
      <t>マチ</t>
    </rPh>
    <rPh sb="1" eb="2">
      <t>ホン</t>
    </rPh>
    <phoneticPr fontId="20"/>
  </si>
  <si>
    <t>・合計金額が見えている数値の合計になるように修正
・土曜出勤時間が、休日出勤欄に反映されるように修正</t>
    <rPh sb="1" eb="3">
      <t>ゴウケイ</t>
    </rPh>
    <rPh sb="3" eb="5">
      <t>キンガク</t>
    </rPh>
    <rPh sb="6" eb="7">
      <t>ミ</t>
    </rPh>
    <rPh sb="11" eb="13">
      <t>スウチ</t>
    </rPh>
    <rPh sb="14" eb="16">
      <t>ゴウケイ</t>
    </rPh>
    <rPh sb="22" eb="24">
      <t>シュウセイ</t>
    </rPh>
    <rPh sb="26" eb="28">
      <t>ドヨウ</t>
    </rPh>
    <rPh sb="28" eb="30">
      <t>シュッキン</t>
    </rPh>
    <rPh sb="30" eb="32">
      <t>ジカン</t>
    </rPh>
    <rPh sb="34" eb="36">
      <t>キュウジツ</t>
    </rPh>
    <rPh sb="36" eb="38">
      <t>シュッキン</t>
    </rPh>
    <rPh sb="38" eb="39">
      <t>ラン</t>
    </rPh>
    <rPh sb="40" eb="42">
      <t>ハンエイ</t>
    </rPh>
    <rPh sb="48" eb="50">
      <t>シュウセイ</t>
    </rPh>
    <phoneticPr fontId="3"/>
  </si>
  <si>
    <t>・有休残日数を少数点第一まで表示</t>
    <rPh sb="1" eb="3">
      <t>ユウキュウ</t>
    </rPh>
    <rPh sb="3" eb="4">
      <t>ザン</t>
    </rPh>
    <rPh sb="4" eb="6">
      <t>ニッスウ</t>
    </rPh>
    <rPh sb="7" eb="9">
      <t>ショウスウ</t>
    </rPh>
    <rPh sb="9" eb="10">
      <t>テン</t>
    </rPh>
    <rPh sb="10" eb="12">
      <t>ダイイチ</t>
    </rPh>
    <rPh sb="14" eb="16">
      <t>ヒョウジ</t>
    </rPh>
    <phoneticPr fontId="3"/>
  </si>
  <si>
    <t>・有休開始日の記載を削除しても翌月のセルに[0]が表示されないように修正</t>
    <phoneticPr fontId="3"/>
  </si>
  <si>
    <t>ver,</t>
    <phoneticPr fontId="3"/>
  </si>
  <si>
    <t>有給をした場合でも実労働時間が分かるように修正</t>
    <rPh sb="0" eb="2">
      <t>ユウキュウ</t>
    </rPh>
    <rPh sb="5" eb="7">
      <t>バアイ</t>
    </rPh>
    <rPh sb="9" eb="10">
      <t>ジツ</t>
    </rPh>
    <rPh sb="10" eb="12">
      <t>ロウドウ</t>
    </rPh>
    <rPh sb="12" eb="14">
      <t>ジカン</t>
    </rPh>
    <rPh sb="15" eb="16">
      <t>ワ</t>
    </rPh>
    <rPh sb="21" eb="23">
      <t>シュウセイ</t>
    </rPh>
    <phoneticPr fontId="3"/>
  </si>
  <si>
    <t>元旦</t>
    <rPh sb="0" eb="2">
      <t>ガンタン</t>
    </rPh>
    <phoneticPr fontId="3"/>
  </si>
  <si>
    <t>成人の日</t>
    <rPh sb="0" eb="2">
      <t>セイジン</t>
    </rPh>
    <rPh sb="3" eb="4">
      <t>ヒ</t>
    </rPh>
    <phoneticPr fontId="3"/>
  </si>
  <si>
    <t>建国記念の日</t>
    <rPh sb="0" eb="2">
      <t>ケンコク</t>
    </rPh>
    <rPh sb="2" eb="4">
      <t>キネン</t>
    </rPh>
    <rPh sb="5" eb="6">
      <t>ヒ</t>
    </rPh>
    <phoneticPr fontId="3"/>
  </si>
  <si>
    <t>春分の日</t>
    <rPh sb="0" eb="2">
      <t>シュンブン</t>
    </rPh>
    <rPh sb="3" eb="4">
      <t>ヒ</t>
    </rPh>
    <phoneticPr fontId="3"/>
  </si>
  <si>
    <t>昭和の日</t>
    <rPh sb="0" eb="2">
      <t>ショウワ</t>
    </rPh>
    <rPh sb="3" eb="4">
      <t>ヒ</t>
    </rPh>
    <phoneticPr fontId="3"/>
  </si>
  <si>
    <t>憲法記念日</t>
    <rPh sb="0" eb="5">
      <t>ケンポウキネンビ</t>
    </rPh>
    <phoneticPr fontId="3"/>
  </si>
  <si>
    <t>みどりの日</t>
    <rPh sb="4" eb="5">
      <t>ヒ</t>
    </rPh>
    <phoneticPr fontId="3"/>
  </si>
  <si>
    <t>こどもの日</t>
    <rPh sb="4" eb="5">
      <t>ヒ</t>
    </rPh>
    <phoneticPr fontId="3"/>
  </si>
  <si>
    <t>海の日</t>
    <rPh sb="0" eb="1">
      <t>ウミ</t>
    </rPh>
    <rPh sb="2" eb="3">
      <t>ヒ</t>
    </rPh>
    <phoneticPr fontId="3"/>
  </si>
  <si>
    <t>山の日</t>
    <rPh sb="0" eb="1">
      <t>ヤマ</t>
    </rPh>
    <rPh sb="2" eb="3">
      <t>ヒ</t>
    </rPh>
    <phoneticPr fontId="3"/>
  </si>
  <si>
    <t>敬老の日</t>
    <rPh sb="0" eb="2">
      <t>ケイロウ</t>
    </rPh>
    <rPh sb="3" eb="4">
      <t>ヒ</t>
    </rPh>
    <phoneticPr fontId="3"/>
  </si>
  <si>
    <t>秋分の日</t>
    <rPh sb="0" eb="2">
      <t>シュウブン</t>
    </rPh>
    <rPh sb="3" eb="4">
      <t>ヒ</t>
    </rPh>
    <phoneticPr fontId="3"/>
  </si>
  <si>
    <t>文化の日</t>
    <rPh sb="0" eb="2">
      <t>ブンカ</t>
    </rPh>
    <rPh sb="3" eb="4">
      <t>ヒ</t>
    </rPh>
    <phoneticPr fontId="3"/>
  </si>
  <si>
    <t>勤労感謝の日</t>
    <rPh sb="0" eb="2">
      <t>キンロウ</t>
    </rPh>
    <rPh sb="2" eb="4">
      <t>カンシャ</t>
    </rPh>
    <rPh sb="5" eb="6">
      <t>ヒ</t>
    </rPh>
    <phoneticPr fontId="3"/>
  </si>
  <si>
    <t>天皇誕生日</t>
    <rPh sb="0" eb="2">
      <t>テンノウ</t>
    </rPh>
    <rPh sb="2" eb="5">
      <t>タンジョウビ</t>
    </rPh>
    <phoneticPr fontId="3"/>
  </si>
  <si>
    <t>NMHT年末休み</t>
    <rPh sb="4" eb="6">
      <t>ネンマツ</t>
    </rPh>
    <rPh sb="6" eb="7">
      <t>ヤス</t>
    </rPh>
    <phoneticPr fontId="3"/>
  </si>
  <si>
    <t>4月</t>
    <rPh sb="1" eb="2">
      <t>ガツ</t>
    </rPh>
    <phoneticPr fontId="3"/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</si>
  <si>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</si>
  <si>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</si>
  <si>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</si>
  <si>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</si>
  <si>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</si>
  <si>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</si>
  <si>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</si>
  <si>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</si>
  <si>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</si>
  <si>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</si>
  <si>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</si>
  <si>
    <t>Tel：03-6222-9420</t>
    <phoneticPr fontId="3"/>
  </si>
  <si>
    <t>Fax: 03-6222-9421</t>
    <phoneticPr fontId="3"/>
  </si>
  <si>
    <t>殿</t>
  </si>
  <si>
    <t>派遣先</t>
  </si>
  <si>
    <t>所属部署</t>
  </si>
  <si>
    <t>作業名</t>
  </si>
  <si>
    <t>中西</t>
    <rPh sb="0" eb="2">
      <t>ナカニシ</t>
    </rPh>
    <phoneticPr fontId="3"/>
  </si>
  <si>
    <t>刷新</t>
    <rPh sb="0" eb="2">
      <t>サッシン</t>
    </rPh>
    <phoneticPr fontId="3"/>
  </si>
  <si>
    <t>VLOOKUP参照値</t>
    <rPh sb="7" eb="9">
      <t>サンショウ</t>
    </rPh>
    <rPh sb="9" eb="10">
      <t>アタイ</t>
    </rPh>
    <phoneticPr fontId="3"/>
  </si>
  <si>
    <t>有給</t>
    <rPh sb="0" eb="2">
      <t>ユウキュウ</t>
    </rPh>
    <phoneticPr fontId="3"/>
  </si>
  <si>
    <t>補正勤務時間</t>
    <phoneticPr fontId="3"/>
  </si>
  <si>
    <t>備考</t>
    <rPh sb="0" eb="2">
      <t>ビコウ</t>
    </rPh>
    <phoneticPr fontId="3"/>
  </si>
  <si>
    <t>山川</t>
    <rPh sb="0" eb="2">
      <t>ヤマカワ</t>
    </rPh>
    <phoneticPr fontId="3"/>
  </si>
  <si>
    <t>代休(AM)</t>
    <phoneticPr fontId="3"/>
  </si>
  <si>
    <t>代休(全休)</t>
    <phoneticPr fontId="3"/>
  </si>
  <si>
    <t>有休(全休)</t>
    <phoneticPr fontId="3"/>
  </si>
  <si>
    <t>有休(PM)</t>
    <phoneticPr fontId="3"/>
  </si>
  <si>
    <t>有休(AM)</t>
    <phoneticPr fontId="3"/>
  </si>
  <si>
    <t>代休(PM)</t>
    <phoneticPr fontId="3"/>
  </si>
  <si>
    <t>振休(全休)</t>
    <phoneticPr fontId="3"/>
  </si>
  <si>
    <t>生理休暇(全休)</t>
    <phoneticPr fontId="3"/>
  </si>
  <si>
    <t>生理休暇(AM)</t>
    <phoneticPr fontId="3"/>
  </si>
  <si>
    <t>生理休暇(PM)</t>
    <phoneticPr fontId="3"/>
  </si>
  <si>
    <t>特別休暇(全休)</t>
    <phoneticPr fontId="3"/>
  </si>
  <si>
    <t>特別休暇(AM)</t>
    <phoneticPr fontId="3"/>
  </si>
  <si>
    <t>特別休暇(PM)</t>
    <phoneticPr fontId="3"/>
  </si>
  <si>
    <t>休暇取得</t>
    <rPh sb="0" eb="2">
      <t>キュウカ</t>
    </rPh>
    <rPh sb="2" eb="4">
      <t>シュトク</t>
    </rPh>
    <phoneticPr fontId="3"/>
  </si>
  <si>
    <t>有休計</t>
    <rPh sb="0" eb="2">
      <t>ユウキュウ</t>
    </rPh>
    <rPh sb="2" eb="3">
      <t>ケイ</t>
    </rPh>
    <phoneticPr fontId="3"/>
  </si>
  <si>
    <t>有休残</t>
    <rPh sb="0" eb="2">
      <t>ユウキュウ</t>
    </rPh>
    <rPh sb="2" eb="3">
      <t>ザン</t>
    </rPh>
    <phoneticPr fontId="3"/>
  </si>
  <si>
    <t>繰越有休</t>
    <rPh sb="0" eb="2">
      <t>クリコシ</t>
    </rPh>
    <rPh sb="2" eb="4">
      <t>ユウキュウ</t>
    </rPh>
    <phoneticPr fontId="3"/>
  </si>
  <si>
    <t>他(全休)</t>
    <rPh sb="0" eb="1">
      <t>ホカ</t>
    </rPh>
    <phoneticPr fontId="3"/>
  </si>
  <si>
    <t>他休計</t>
    <rPh sb="0" eb="1">
      <t>ホカ</t>
    </rPh>
    <rPh sb="1" eb="2">
      <t>キュウ</t>
    </rPh>
    <rPh sb="2" eb="3">
      <t>ケイ</t>
    </rPh>
    <phoneticPr fontId="3"/>
  </si>
  <si>
    <t>時給制</t>
    <phoneticPr fontId="3"/>
  </si>
  <si>
    <t>140-180時間制</t>
    <phoneticPr fontId="3"/>
  </si>
  <si>
    <t>120-200時間制</t>
    <phoneticPr fontId="3"/>
  </si>
  <si>
    <t>140-160時間制</t>
    <phoneticPr fontId="3"/>
  </si>
  <si>
    <t>90-96時間制</t>
    <phoneticPr fontId="3"/>
  </si>
  <si>
    <t>90-96時間制（月額制）</t>
    <phoneticPr fontId="3"/>
  </si>
  <si>
    <t>給与体系</t>
    <rPh sb="0" eb="2">
      <t>キュウヨ</t>
    </rPh>
    <rPh sb="2" eb="4">
      <t>タイケイ</t>
    </rPh>
    <phoneticPr fontId="3"/>
  </si>
  <si>
    <t>他(AM休)</t>
    <rPh sb="0" eb="1">
      <t>ホカ</t>
    </rPh>
    <rPh sb="4" eb="5">
      <t>キュウ</t>
    </rPh>
    <phoneticPr fontId="3"/>
  </si>
  <si>
    <t>他(PM休)</t>
    <rPh sb="0" eb="1">
      <t>ホカ</t>
    </rPh>
    <rPh sb="4" eb="5">
      <t>キュウ</t>
    </rPh>
    <phoneticPr fontId="3"/>
  </si>
  <si>
    <t>課税対象手当</t>
    <rPh sb="0" eb="2">
      <t>カゼイ</t>
    </rPh>
    <rPh sb="2" eb="4">
      <t>タイショウ</t>
    </rPh>
    <rPh sb="4" eb="6">
      <t>テアテ</t>
    </rPh>
    <phoneticPr fontId="3"/>
  </si>
  <si>
    <t>立替金</t>
    <phoneticPr fontId="3"/>
  </si>
  <si>
    <t>その他</t>
    <phoneticPr fontId="3"/>
  </si>
  <si>
    <t>非課税精算</t>
    <rPh sb="0" eb="3">
      <t>ヒカゼイ</t>
    </rPh>
    <rPh sb="3" eb="5">
      <t>セイサン</t>
    </rPh>
    <phoneticPr fontId="3"/>
  </si>
  <si>
    <t>顧客請求分</t>
    <rPh sb="0" eb="2">
      <t>コキャク</t>
    </rPh>
    <rPh sb="2" eb="4">
      <t>セイキュウ</t>
    </rPh>
    <rPh sb="4" eb="5">
      <t>ブン</t>
    </rPh>
    <phoneticPr fontId="3"/>
  </si>
  <si>
    <t>有休付与月</t>
    <rPh sb="4" eb="5">
      <t>ツキ</t>
    </rPh>
    <phoneticPr fontId="3"/>
  </si>
  <si>
    <t>140時間</t>
    <rPh sb="3" eb="5">
      <t>ジカン</t>
    </rPh>
    <phoneticPr fontId="3"/>
  </si>
  <si>
    <t>120時間</t>
    <rPh sb="3" eb="5">
      <t>ジカン</t>
    </rPh>
    <phoneticPr fontId="3"/>
  </si>
  <si>
    <t>180時間</t>
    <rPh sb="3" eb="5">
      <t>ジカン</t>
    </rPh>
    <phoneticPr fontId="3"/>
  </si>
  <si>
    <t>200時間</t>
    <rPh sb="3" eb="5">
      <t>ジカン</t>
    </rPh>
    <phoneticPr fontId="3"/>
  </si>
  <si>
    <t>160時間</t>
    <rPh sb="3" eb="5">
      <t>ジカン</t>
    </rPh>
    <phoneticPr fontId="3"/>
  </si>
  <si>
    <t>合計</t>
    <rPh sb="0" eb="2">
      <t>ゴウケイ</t>
    </rPh>
    <phoneticPr fontId="3"/>
  </si>
  <si>
    <t>営業手当</t>
    <phoneticPr fontId="3"/>
  </si>
  <si>
    <t>家賃手当</t>
  </si>
  <si>
    <t>社員紹介料</t>
  </si>
  <si>
    <t>欠勤控除</t>
    <phoneticPr fontId="3"/>
  </si>
  <si>
    <t>時給制は時間単価、月給制は月額⇒</t>
    <rPh sb="0" eb="2">
      <t>ジキュウ</t>
    </rPh>
    <rPh sb="2" eb="3">
      <t>セイ</t>
    </rPh>
    <rPh sb="4" eb="6">
      <t>ジカン</t>
    </rPh>
    <rPh sb="6" eb="8">
      <t>タンカ</t>
    </rPh>
    <rPh sb="9" eb="11">
      <t>ゲッキュウ</t>
    </rPh>
    <rPh sb="11" eb="12">
      <t>セイ</t>
    </rPh>
    <rPh sb="13" eb="15">
      <t>ゲツガク</t>
    </rPh>
    <phoneticPr fontId="3"/>
  </si>
  <si>
    <t>90時間</t>
    <rPh sb="2" eb="4">
      <t>ジカン</t>
    </rPh>
    <phoneticPr fontId="3"/>
  </si>
  <si>
    <t>96時間</t>
    <rPh sb="2" eb="4">
      <t>ジカン</t>
    </rPh>
    <phoneticPr fontId="3"/>
  </si>
  <si>
    <t>96時間(月額)</t>
    <rPh sb="2" eb="4">
      <t>ジカン</t>
    </rPh>
    <rPh sb="5" eb="7">
      <t>ゲツガク</t>
    </rPh>
    <phoneticPr fontId="3"/>
  </si>
  <si>
    <t>特記事項</t>
    <rPh sb="0" eb="2">
      <t>トッキ</t>
    </rPh>
    <rPh sb="2" eb="4">
      <t>ジコウ</t>
    </rPh>
    <phoneticPr fontId="3"/>
  </si>
  <si>
    <t>←消さないで！</t>
    <rPh sb="1" eb="2">
      <t>ケ</t>
    </rPh>
    <phoneticPr fontId="3"/>
  </si>
  <si>
    <t>期初情報</t>
  </si>
  <si>
    <t>有休残日数</t>
  </si>
  <si>
    <t>定期代</t>
  </si>
  <si>
    <t>給与制</t>
  </si>
  <si>
    <t>月総額・時間単金</t>
  </si>
  <si>
    <t>氏名</t>
  </si>
  <si>
    <t>有休付与月</t>
    <rPh sb="0" eb="2">
      <t>ユウキュウ</t>
    </rPh>
    <rPh sb="2" eb="4">
      <t>フヨ</t>
    </rPh>
    <rPh sb="4" eb="5">
      <t>ヅキ</t>
    </rPh>
    <phoneticPr fontId="3"/>
  </si>
  <si>
    <t>消滅有休</t>
    <rPh sb="0" eb="2">
      <t>ショウメツ</t>
    </rPh>
    <rPh sb="2" eb="4">
      <t>ユウキュウ</t>
    </rPh>
    <phoneticPr fontId="3"/>
  </si>
  <si>
    <t>←月末で消滅する数</t>
    <rPh sb="1" eb="3">
      <t>ゲツマツ</t>
    </rPh>
    <rPh sb="4" eb="6">
      <t>ショウメツ</t>
    </rPh>
    <rPh sb="8" eb="9">
      <t>カズ</t>
    </rPh>
    <phoneticPr fontId="3"/>
  </si>
  <si>
    <t>スポーツの日</t>
    <rPh sb="5" eb="6">
      <t>ヒ</t>
    </rPh>
    <phoneticPr fontId="3"/>
  </si>
  <si>
    <t>通勤交通費</t>
    <rPh sb="0" eb="2">
      <t>ツウキン</t>
    </rPh>
    <rPh sb="2" eb="5">
      <t>コウツウヒ</t>
    </rPh>
    <phoneticPr fontId="3"/>
  </si>
  <si>
    <t>↓　</t>
    <phoneticPr fontId="3"/>
  </si>
  <si>
    <t>休業</t>
    <rPh sb="0" eb="2">
      <t>キュウギョウ</t>
    </rPh>
    <phoneticPr fontId="3"/>
  </si>
  <si>
    <t>休職</t>
    <rPh sb="0" eb="2">
      <t>キュウショク</t>
    </rPh>
    <phoneticPr fontId="3"/>
  </si>
  <si>
    <t>←前月末の残数（前月失効加味）</t>
    <rPh sb="1" eb="3">
      <t>ゼンゲツ</t>
    </rPh>
    <rPh sb="3" eb="4">
      <t>マツ</t>
    </rPh>
    <rPh sb="5" eb="7">
      <t>ザンスウ</t>
    </rPh>
    <rPh sb="8" eb="10">
      <t>ゼンゲツ</t>
    </rPh>
    <rPh sb="10" eb="12">
      <t>シッコウ</t>
    </rPh>
    <rPh sb="12" eb="14">
      <t>カミ</t>
    </rPh>
    <phoneticPr fontId="3"/>
  </si>
  <si>
    <t>←翌月に繰り越す日数（今月失効分加味）</t>
    <rPh sb="1" eb="3">
      <t>ヨクゲツ</t>
    </rPh>
    <rPh sb="4" eb="5">
      <t>ク</t>
    </rPh>
    <rPh sb="6" eb="7">
      <t>コ</t>
    </rPh>
    <rPh sb="8" eb="10">
      <t>ニッスウ</t>
    </rPh>
    <rPh sb="11" eb="13">
      <t>コンゲツ</t>
    </rPh>
    <rPh sb="13" eb="15">
      <t>シッコウ</t>
    </rPh>
    <rPh sb="15" eb="16">
      <t>ブン</t>
    </rPh>
    <rPh sb="16" eb="18">
      <t>カミ</t>
    </rPh>
    <phoneticPr fontId="3"/>
  </si>
  <si>
    <t>勤務表を読み込みます</t>
    <rPh sb="0" eb="2">
      <t>キンム</t>
    </rPh>
    <rPh sb="2" eb="3">
      <t>ヒョウ</t>
    </rPh>
    <rPh sb="4" eb="5">
      <t>ヨ</t>
    </rPh>
    <rPh sb="6" eb="7">
      <t>コ</t>
    </rPh>
    <phoneticPr fontId="3"/>
  </si>
  <si>
    <t>有給休暇を設定した日の出退社時刻を入力します</t>
    <rPh sb="0" eb="2">
      <t>ユウキュウ</t>
    </rPh>
    <rPh sb="2" eb="4">
      <t>キュウカ</t>
    </rPh>
    <rPh sb="5" eb="7">
      <t>セッテイ</t>
    </rPh>
    <rPh sb="9" eb="10">
      <t>ヒ</t>
    </rPh>
    <rPh sb="12" eb="14">
      <t>タイシャ</t>
    </rPh>
    <rPh sb="14" eb="16">
      <t>ジコク</t>
    </rPh>
    <rPh sb="17" eb="19">
      <t>ニュウリョク</t>
    </rPh>
    <phoneticPr fontId="3"/>
  </si>
  <si>
    <t>文字や背景の色をリセットします。</t>
    <rPh sb="0" eb="2">
      <t>モジ</t>
    </rPh>
    <rPh sb="3" eb="5">
      <t>ハイケイ</t>
    </rPh>
    <rPh sb="6" eb="7">
      <t>イロ</t>
    </rPh>
    <phoneticPr fontId="3"/>
  </si>
  <si>
    <t>構築時のみ</t>
    <rPh sb="0" eb="2">
      <t>コウチク</t>
    </rPh>
    <rPh sb="2" eb="3">
      <t>ジ</t>
    </rPh>
    <phoneticPr fontId="3"/>
  </si>
  <si>
    <t>振替出勤</t>
    <rPh sb="0" eb="2">
      <t>フリカエ</t>
    </rPh>
    <rPh sb="2" eb="4">
      <t>シュッキン</t>
    </rPh>
    <phoneticPr fontId="3"/>
  </si>
  <si>
    <t>テレワーク手当</t>
    <rPh sb="5" eb="7">
      <t>テアテ</t>
    </rPh>
    <phoneticPr fontId="3"/>
  </si>
  <si>
    <t>定常外業務対応手当</t>
    <rPh sb="0" eb="1">
      <t>テイ</t>
    </rPh>
    <phoneticPr fontId="3"/>
  </si>
  <si>
    <t>手当１</t>
    <rPh sb="0" eb="2">
      <t>テアテ</t>
    </rPh>
    <phoneticPr fontId="3"/>
  </si>
  <si>
    <t>手当２</t>
    <rPh sb="0" eb="2">
      <t>テアテ</t>
    </rPh>
    <phoneticPr fontId="3"/>
  </si>
  <si>
    <t>リーダー手当</t>
    <rPh sb="4" eb="6">
      <t>テアテ</t>
    </rPh>
    <phoneticPr fontId="3"/>
  </si>
  <si>
    <t>法休</t>
  </si>
  <si>
    <t>NMHT年始休み</t>
    <rPh sb="4" eb="6">
      <t>ネンシ</t>
    </rPh>
    <rPh sb="6" eb="7">
      <t>ヤス</t>
    </rPh>
    <phoneticPr fontId="3"/>
  </si>
  <si>
    <t>所休</t>
  </si>
  <si>
    <t>実働時間：</t>
    <rPh sb="0" eb="2">
      <t>ジツドウ</t>
    </rPh>
    <phoneticPr fontId="3"/>
  </si>
  <si>
    <t>請求対象外：</t>
    <rPh sb="0" eb="2">
      <t>セイキュウ</t>
    </rPh>
    <rPh sb="2" eb="4">
      <t>タイショウ</t>
    </rPh>
    <rPh sb="4" eb="5">
      <t>ガイ</t>
    </rPh>
    <phoneticPr fontId="3"/>
  </si>
  <si>
    <t>請求時間：</t>
    <rPh sb="0" eb="2">
      <t>セイキュウ</t>
    </rPh>
    <rPh sb="2" eb="4">
      <t>ジカン</t>
    </rPh>
    <phoneticPr fontId="3"/>
  </si>
  <si>
    <t>←e-learningなど日にちを特定しない時間</t>
    <rPh sb="13" eb="14">
      <t>ヒ</t>
    </rPh>
    <rPh sb="17" eb="19">
      <t>トクテイ</t>
    </rPh>
    <rPh sb="22" eb="24">
      <t>ジカン</t>
    </rPh>
    <phoneticPr fontId="3"/>
  </si>
  <si>
    <t>テレワーク日数</t>
    <rPh sb="5" eb="7">
      <t>ニッスウ</t>
    </rPh>
    <phoneticPr fontId="3"/>
  </si>
  <si>
    <t>←備考欄の”テレワーク”をカウントする。手入力で数字を入れても良い。勤務表読み込み時と化粧直し時に手当２の上欄にテレワーク手当を計算して書き込む。</t>
    <rPh sb="1" eb="3">
      <t>ビコウ</t>
    </rPh>
    <rPh sb="3" eb="4">
      <t>ラン</t>
    </rPh>
    <rPh sb="20" eb="23">
      <t>テニュウリョク</t>
    </rPh>
    <rPh sb="24" eb="26">
      <t>スウジ</t>
    </rPh>
    <rPh sb="27" eb="28">
      <t>イ</t>
    </rPh>
    <rPh sb="31" eb="32">
      <t>ヨ</t>
    </rPh>
    <rPh sb="34" eb="37">
      <t>キンムヒョウ</t>
    </rPh>
    <rPh sb="37" eb="38">
      <t>ヨ</t>
    </rPh>
    <rPh sb="39" eb="40">
      <t>コ</t>
    </rPh>
    <rPh sb="41" eb="42">
      <t>ジ</t>
    </rPh>
    <rPh sb="43" eb="46">
      <t>ケショウナオ</t>
    </rPh>
    <rPh sb="47" eb="48">
      <t>ジ</t>
    </rPh>
    <rPh sb="49" eb="51">
      <t>テアテ</t>
    </rPh>
    <rPh sb="53" eb="55">
      <t>ジョウラン</t>
    </rPh>
    <rPh sb="61" eb="63">
      <t>テアテ</t>
    </rPh>
    <rPh sb="64" eb="66">
      <t>ケイサン</t>
    </rPh>
    <rPh sb="68" eb="69">
      <t>カ</t>
    </rPh>
    <rPh sb="70" eb="71">
      <t>コ</t>
    </rPh>
    <phoneticPr fontId="3"/>
  </si>
  <si>
    <t>１．手当の時間外追加。
２．時間単金計算は小数点以下を四捨五入に変更。
３．勤務時間集計は１分単位（１０進法変更後小数点２桁以下切り捨て）</t>
    <rPh sb="2" eb="4">
      <t>テアテ</t>
    </rPh>
    <rPh sb="5" eb="10">
      <t>ジカンガイツイカ</t>
    </rPh>
    <rPh sb="14" eb="16">
      <t>ジカン</t>
    </rPh>
    <rPh sb="16" eb="18">
      <t>タンキン</t>
    </rPh>
    <rPh sb="18" eb="20">
      <t>ケイサン</t>
    </rPh>
    <rPh sb="21" eb="26">
      <t>ショウスウテンイカ</t>
    </rPh>
    <rPh sb="27" eb="31">
      <t>シシャゴニュウ</t>
    </rPh>
    <rPh sb="32" eb="34">
      <t>ヘンコウ</t>
    </rPh>
    <rPh sb="38" eb="44">
      <t>キンムジカンシュウケイ</t>
    </rPh>
    <rPh sb="46" eb="49">
      <t>フンタンイ</t>
    </rPh>
    <rPh sb="52" eb="54">
      <t>シンホウ</t>
    </rPh>
    <rPh sb="54" eb="57">
      <t>ヘンコウゴ</t>
    </rPh>
    <rPh sb="57" eb="60">
      <t>ショウスウテン</t>
    </rPh>
    <rPh sb="61" eb="62">
      <t>ケタ</t>
    </rPh>
    <rPh sb="62" eb="64">
      <t>イカ</t>
    </rPh>
    <rPh sb="64" eb="65">
      <t>キ</t>
    </rPh>
    <rPh sb="66" eb="67">
      <t>ス</t>
    </rPh>
    <phoneticPr fontId="3"/>
  </si>
  <si>
    <t>賃金規定に合わせる。
・１円未満は四捨五入
・毎日１分未満切り捨て
・合計１５分未満切り捨て</t>
    <rPh sb="0" eb="4">
      <t>チンギンキテイ</t>
    </rPh>
    <rPh sb="5" eb="6">
      <t>ア</t>
    </rPh>
    <rPh sb="13" eb="16">
      <t>エンミマン</t>
    </rPh>
    <rPh sb="17" eb="21">
      <t>シシャゴニュウ</t>
    </rPh>
    <rPh sb="23" eb="25">
      <t>マイニチ</t>
    </rPh>
    <rPh sb="26" eb="30">
      <t>フンミマンキ</t>
    </rPh>
    <rPh sb="31" eb="32">
      <t>ス</t>
    </rPh>
    <rPh sb="35" eb="37">
      <t>ゴウケイ</t>
    </rPh>
    <rPh sb="39" eb="42">
      <t>フンミマン</t>
    </rPh>
    <rPh sb="42" eb="43">
      <t>キ</t>
    </rPh>
    <rPh sb="44" eb="45">
      <t>ス</t>
    </rPh>
    <phoneticPr fontId="3"/>
  </si>
  <si>
    <t>合       計（15分未満切捨て）</t>
    <rPh sb="12" eb="15">
      <t>フンミマン</t>
    </rPh>
    <rPh sb="15" eb="17">
      <t>キリス</t>
    </rPh>
    <phoneticPr fontId="3"/>
  </si>
  <si>
    <t>（合計時間-有休-特休）</t>
    <rPh sb="1" eb="3">
      <t>ゴウケイ</t>
    </rPh>
    <rPh sb="3" eb="5">
      <t>ジカン</t>
    </rPh>
    <rPh sb="6" eb="8">
      <t>ユウキュウ</t>
    </rPh>
    <rPh sb="9" eb="10">
      <t>トク</t>
    </rPh>
    <rPh sb="10" eb="11">
      <t>ヤス</t>
    </rPh>
    <phoneticPr fontId="3"/>
  </si>
  <si>
    <t>e-learning</t>
    <phoneticPr fontId="3"/>
  </si>
  <si>
    <t>(実働時間-請求対象外時間)</t>
    <rPh sb="1" eb="5">
      <t>ジツドウジカン</t>
    </rPh>
    <rPh sb="6" eb="8">
      <t>セイキュウ</t>
    </rPh>
    <rPh sb="8" eb="11">
      <t>タイショウガイ</t>
    </rPh>
    <rPh sb="11" eb="13">
      <t>ジカン</t>
    </rPh>
    <phoneticPr fontId="3"/>
  </si>
  <si>
    <t>非請求日数</t>
    <rPh sb="0" eb="3">
      <t>ヒセイキュウ</t>
    </rPh>
    <rPh sb="3" eb="4">
      <t>ビ</t>
    </rPh>
    <rPh sb="4" eb="5">
      <t>ニッスウ</t>
    </rPh>
    <phoneticPr fontId="3"/>
  </si>
  <si>
    <t>（e-learning+非請求日数✕7.5H）</t>
    <rPh sb="12" eb="15">
      <t>ヒセイキュウ</t>
    </rPh>
    <rPh sb="15" eb="17">
      <t>ニッスウ</t>
    </rPh>
    <phoneticPr fontId="3"/>
  </si>
  <si>
    <t>台帳番号</t>
    <rPh sb="0" eb="2">
      <t>ダイチョウ</t>
    </rPh>
    <rPh sb="2" eb="4">
      <t>バンゴウ</t>
    </rPh>
    <phoneticPr fontId="3"/>
  </si>
  <si>
    <t>通算</t>
    <rPh sb="0" eb="2">
      <t>ツウサン</t>
    </rPh>
    <phoneticPr fontId="3"/>
  </si>
  <si>
    <t>←年度の通算取得数（毎月の表示は同じ）月末に印刷したものはその月までの合計が記録に残る。</t>
    <rPh sb="1" eb="3">
      <t>ネンド</t>
    </rPh>
    <rPh sb="4" eb="6">
      <t>ツウサン</t>
    </rPh>
    <rPh sb="6" eb="9">
      <t>シュトクスウ</t>
    </rPh>
    <rPh sb="10" eb="12">
      <t>マイツキ</t>
    </rPh>
    <rPh sb="13" eb="15">
      <t>ヒョウジ</t>
    </rPh>
    <rPh sb="16" eb="17">
      <t>オナ</t>
    </rPh>
    <rPh sb="19" eb="21">
      <t>ゲツマツ</t>
    </rPh>
    <rPh sb="22" eb="24">
      <t>インサツ</t>
    </rPh>
    <rPh sb="31" eb="32">
      <t>ツキ</t>
    </rPh>
    <rPh sb="35" eb="37">
      <t>ゴウケイ</t>
    </rPh>
    <rPh sb="38" eb="40">
      <t>キロク</t>
    </rPh>
    <rPh sb="41" eb="42">
      <t>ノコ</t>
    </rPh>
    <phoneticPr fontId="3"/>
  </si>
  <si>
    <t>月給制</t>
    <rPh sb="0" eb="3">
      <t>ゲッキュウセイ</t>
    </rPh>
    <phoneticPr fontId="3"/>
  </si>
  <si>
    <t>150時間</t>
    <rPh sb="3" eb="5">
      <t>ジカン</t>
    </rPh>
    <phoneticPr fontId="3"/>
  </si>
  <si>
    <t>月給制の控除</t>
    <rPh sb="0" eb="3">
      <t>ゲッキュウセイ</t>
    </rPh>
    <rPh sb="4" eb="6">
      <t>コウジョ</t>
    </rPh>
    <phoneticPr fontId="3"/>
  </si>
  <si>
    <t>１．欠勤日数×7.5h</t>
    <rPh sb="2" eb="4">
      <t>ケッキン</t>
    </rPh>
    <rPh sb="4" eb="5">
      <t>ビ</t>
    </rPh>
    <rPh sb="5" eb="6">
      <t>スウ</t>
    </rPh>
    <phoneticPr fontId="3"/>
  </si>
  <si>
    <t>２．日毎の欠勤時間</t>
    <rPh sb="2" eb="4">
      <t>ヒゴト</t>
    </rPh>
    <rPh sb="5" eb="7">
      <t>ケッキン</t>
    </rPh>
    <rPh sb="7" eb="9">
      <t>ジカン</t>
    </rPh>
    <phoneticPr fontId="3"/>
  </si>
  <si>
    <t>時間</t>
    <rPh sb="0" eb="2">
      <t>ジカン</t>
    </rPh>
    <phoneticPr fontId="3"/>
  </si>
  <si>
    <t>欠勤時間計</t>
    <rPh sb="0" eb="2">
      <t>ケッキン</t>
    </rPh>
    <rPh sb="2" eb="4">
      <t>ジカン</t>
    </rPh>
    <rPh sb="4" eb="5">
      <t>ケイ</t>
    </rPh>
    <phoneticPr fontId="3"/>
  </si>
  <si>
    <t>振替休日</t>
    <rPh sb="0" eb="4">
      <t>フリカエキュウジツ</t>
    </rPh>
    <phoneticPr fontId="3"/>
  </si>
  <si>
    <t>曜日と祝日に併せて所定休日と法定休日を設定します</t>
    <rPh sb="0" eb="2">
      <t>ヨウビ</t>
    </rPh>
    <rPh sb="3" eb="5">
      <t>シュクジツ</t>
    </rPh>
    <rPh sb="6" eb="7">
      <t>アワ</t>
    </rPh>
    <rPh sb="9" eb="13">
      <t>ショテイキュウジツ</t>
    </rPh>
    <rPh sb="14" eb="18">
      <t>ホウテイキュウジツ</t>
    </rPh>
    <rPh sb="19" eb="21">
      <t>セッテイ</t>
    </rPh>
    <phoneticPr fontId="3"/>
  </si>
  <si>
    <t>勤務表の数式をもとに戻します。</t>
    <rPh sb="0" eb="3">
      <t>キンムヒョウ</t>
    </rPh>
    <rPh sb="4" eb="6">
      <t>スウシキ</t>
    </rPh>
    <rPh sb="10" eb="11">
      <t>モド</t>
    </rPh>
    <phoneticPr fontId="3"/>
  </si>
  <si>
    <t>数式を書き換えてしまったあとでもとに戻したいときに使います</t>
    <rPh sb="0" eb="2">
      <t>スウシキ</t>
    </rPh>
    <rPh sb="3" eb="4">
      <t>カ</t>
    </rPh>
    <rPh sb="5" eb="6">
      <t>カ</t>
    </rPh>
    <rPh sb="18" eb="19">
      <t>モド</t>
    </rPh>
    <rPh sb="25" eb="26">
      <t>ツカ</t>
    </rPh>
    <phoneticPr fontId="3"/>
  </si>
  <si>
    <t>管理監督者</t>
    <rPh sb="0" eb="4">
      <t>カンリカントク</t>
    </rPh>
    <rPh sb="4" eb="5">
      <t>シャ</t>
    </rPh>
    <phoneticPr fontId="3"/>
  </si>
  <si>
    <t>調整手当</t>
    <rPh sb="0" eb="4">
      <t>チョウセイテアテ</t>
    </rPh>
    <phoneticPr fontId="3"/>
  </si>
  <si>
    <t>テレワーク集計後の書き込みに上書き禁止を追加</t>
    <rPh sb="5" eb="7">
      <t>シュウケイ</t>
    </rPh>
    <rPh sb="7" eb="8">
      <t>ゴ</t>
    </rPh>
    <rPh sb="9" eb="10">
      <t>カ</t>
    </rPh>
    <rPh sb="11" eb="12">
      <t>コ</t>
    </rPh>
    <rPh sb="14" eb="16">
      <t>ウワガ</t>
    </rPh>
    <rPh sb="17" eb="19">
      <t>キンシ</t>
    </rPh>
    <rPh sb="20" eb="22">
      <t>ツイカ</t>
    </rPh>
    <phoneticPr fontId="3"/>
  </si>
  <si>
    <t>過不足調整</t>
  </si>
  <si>
    <t>勤務表新フォーマットを取り込めるよう改修</t>
    <rPh sb="0" eb="3">
      <t>キンムヒョウ</t>
    </rPh>
    <rPh sb="3" eb="4">
      <t>シン</t>
    </rPh>
    <rPh sb="11" eb="12">
      <t>ト</t>
    </rPh>
    <rPh sb="13" eb="14">
      <t>コ</t>
    </rPh>
    <rPh sb="18" eb="20">
      <t>カイシュウ</t>
    </rPh>
    <phoneticPr fontId="3"/>
  </si>
  <si>
    <t>大坂</t>
    <rPh sb="0" eb="2">
      <t>オオサカ</t>
    </rPh>
    <phoneticPr fontId="3"/>
  </si>
  <si>
    <t>通勤費</t>
    <rPh sb="0" eb="3">
      <t>ツウキンヒ</t>
    </rPh>
    <phoneticPr fontId="3"/>
  </si>
  <si>
    <t>合計</t>
    <rPh sb="0" eb="2">
      <t>ゴウケイ</t>
    </rPh>
    <phoneticPr fontId="3"/>
  </si>
  <si>
    <t>当番手当</t>
    <rPh sb="0" eb="2">
      <t>トウバン</t>
    </rPh>
    <rPh sb="2" eb="4">
      <t>テアテ</t>
    </rPh>
    <phoneticPr fontId="3"/>
  </si>
  <si>
    <t>テレワーク手当</t>
    <rPh sb="5" eb="7">
      <t>テアテ</t>
    </rPh>
    <phoneticPr fontId="3"/>
  </si>
  <si>
    <t>時給制</t>
    <rPh sb="0" eb="3">
      <t>ジキュウセイ</t>
    </rPh>
    <phoneticPr fontId="3"/>
  </si>
  <si>
    <t>過不足調整</t>
    <rPh sb="0" eb="3">
      <t>カブソク</t>
    </rPh>
    <rPh sb="3" eb="5">
      <t>チョウセイ</t>
    </rPh>
    <phoneticPr fontId="3"/>
  </si>
  <si>
    <t>新</t>
    <rPh sb="0" eb="1">
      <t>シン</t>
    </rPh>
    <phoneticPr fontId="3"/>
  </si>
  <si>
    <t>旧</t>
    <phoneticPr fontId="3"/>
  </si>
  <si>
    <t>J65</t>
    <phoneticPr fontId="3"/>
  </si>
  <si>
    <t>SUM(J60:L64)</t>
    <phoneticPr fontId="3"/>
  </si>
  <si>
    <t>基本給額</t>
  </si>
  <si>
    <t>基本給額*基本給時間</t>
  </si>
  <si>
    <t>ROUND(IF(給与種別=0,時間・月額+手当1金額,IF(給与体系="時給制",時間・月額,(時間・月額+手当1金額)/SUMIF(テーブル_勤務時間,給与体系,テーブル!C:C))),0)</t>
  </si>
  <si>
    <t>ROUND(時間・月額/SUMIF(テーブル_勤務時間,給与体系,テーブル!C:C),0)</t>
  </si>
  <si>
    <t>ROUND(時間・月額/SUMIF(テーブル_勤務時間,給与体系,テーブル!C:C)*SUMIF(テーブル_勤務時間,給与体系,テーブル!E:E),0)</t>
  </si>
  <si>
    <t>ROUND(IF(給与種別=0,0,IF(給与体系="時給制",基本給額*1.6,(1+0.25*(給与体系="140-160時間制"))*時間・月額/SUMIF(テーブル_勤務時間,給与体系,テーブル!J:J))),0)</t>
  </si>
  <si>
    <t>ROUND(IF(給与体系="時給制",((時間・月額+手当1金額)/150)*1.25,(時間・月額+手当1金額)/SUMIF(テーブル_勤務時間,給与体系,テーブル!C:C)*SUMIF(テーブル_勤務時間,給与体系,テーブル!E:E)),0)</t>
  </si>
  <si>
    <t>みなし給額</t>
  </si>
  <si>
    <t>基本給</t>
  </si>
  <si>
    <t>IF(みなし給時間="","",IF(給与体系="時給制",みなし給額*みなし給時間,時間・月額-基本給))</t>
  </si>
  <si>
    <t>みなし給</t>
  </si>
  <si>
    <t>(時間・月額+手当1金額)-みなし給</t>
  </si>
  <si>
    <t>IF(給与体系="時給制",D56*G56,基本給+みなし給)</t>
  </si>
  <si>
    <t>控除単価</t>
  </si>
  <si>
    <t>控除時間</t>
  </si>
  <si>
    <t>超過単価</t>
  </si>
  <si>
    <t>超過時間</t>
  </si>
  <si>
    <t>ROUND(IF(給与種別=0,0,IF(給与体系="時給制",基本給額*1.35,時間・月額/SUMIF(テーブル_勤務時間,給与体系,テーブル!C:C)+SUM(手当1金額:L62)/160)),0)</t>
  </si>
  <si>
    <t>ROUND(IF(給与種別=0,0,IF(給与体系="時給制",((基本給額+手当1金額)/150)*1.35,(時間・月額+手当1金額)/SUMIF(テーブル_勤務時間,給与体系,テーブル!C:C))),0)</t>
  </si>
  <si>
    <t>IF(給与体系="時給制",休日出勤時間計,IF(給与体系="月給制",-1*欠勤時間計,IF(補正勤務時間合計-SUMIF(テーブル_勤務時間,給与体系,テーブル!H:H),0)))</t>
  </si>
  <si>
    <t>IF(給与体系="時給制",休日深夜時間計,MAX(0,合計_15分未満切捨て-SUMIF(テーブル_勤務時間,給与体系,テーブル!I:I)*1.25+MAX(0,深夜残業時間計-SUMIF(テーブル_勤務時間,給与体系,テーブル_みなし時間)*1.5)))</t>
  </si>
  <si>
    <t>IF(給与体系="時給制",休日出勤時間計,IF(給与体系="月給制",-1*欠勤時間計,IF(補正勤務時間&lt;SUMIF(テーブル_勤務時間,給与体系,テーブル!H:H),補正勤務時間-SUMIF(テーブル_勤務時間,給与体系,テーブル!H:H),0)))</t>
  </si>
  <si>
    <t>IF(給与体系="時給制",休日深夜時間計,IF(給与体系="月給制",(補正勤務時間合計-N50),IF(補正勤務時間&gt;SUMIF(テーブル_勤務時間,給与体系,テーブル!I:I),補正勤務時間-SUMIF(テーブル_勤務時間,給与体系,テーブル!I:I),0)))</t>
  </si>
  <si>
    <t>.</t>
    <phoneticPr fontId="3"/>
  </si>
  <si>
    <t>基本給+手当1</t>
    <rPh sb="0" eb="3">
      <t>キホンキュウ</t>
    </rPh>
    <rPh sb="4" eb="6">
      <t>テアテ</t>
    </rPh>
    <phoneticPr fontId="3"/>
  </si>
  <si>
    <t>調整手当</t>
    <rPh sb="0" eb="2">
      <t>チョウセイ</t>
    </rPh>
    <rPh sb="2" eb="4">
      <t>テアテ</t>
    </rPh>
    <phoneticPr fontId="20"/>
  </si>
  <si>
    <t>役職手当</t>
    <rPh sb="0" eb="2">
      <t>ヤクショク</t>
    </rPh>
    <rPh sb="2" eb="4">
      <t>テアテ</t>
    </rPh>
    <phoneticPr fontId="20"/>
  </si>
  <si>
    <t>リーダー手当</t>
    <rPh sb="4" eb="6">
      <t>テアテ</t>
    </rPh>
    <phoneticPr fontId="20"/>
  </si>
  <si>
    <t>営業手当</t>
    <rPh sb="0" eb="2">
      <t>エイギョウ</t>
    </rPh>
    <rPh sb="2" eb="4">
      <t>テアテ</t>
    </rPh>
    <phoneticPr fontId="20"/>
  </si>
  <si>
    <t>役職手当</t>
    <rPh sb="0" eb="4">
      <t>ヤクショクテアテ</t>
    </rPh>
    <phoneticPr fontId="3"/>
  </si>
  <si>
    <t>基給+手当1</t>
  </si>
  <si>
    <t>4月</t>
  </si>
  <si>
    <t>NMHT　社員</t>
    <rPh sb="5" eb="7">
      <t>シャイン</t>
    </rPh>
    <phoneticPr fontId="3"/>
  </si>
  <si>
    <t>株式会社エヌエム・ヒューマテック</t>
    <rPh sb="0" eb="4">
      <t>カブシキガイシャ</t>
    </rPh>
    <phoneticPr fontId="3"/>
  </si>
  <si>
    <t>管理部</t>
    <rPh sb="0" eb="3">
      <t>カンリブ</t>
    </rPh>
    <phoneticPr fontId="3"/>
  </si>
  <si>
    <t>140-180時間制</t>
  </si>
  <si>
    <t>2025年度祝日管理</t>
    <rPh sb="4" eb="5">
      <t>ネン</t>
    </rPh>
    <rPh sb="5" eb="6">
      <t>ド</t>
    </rPh>
    <rPh sb="6" eb="8">
      <t>シュクジツ</t>
    </rPh>
    <rPh sb="8" eb="10">
      <t>カンリ</t>
    </rPh>
    <phoneticPr fontId="3"/>
  </si>
  <si>
    <t>〒104-0061</t>
    <phoneticPr fontId="3"/>
  </si>
  <si>
    <t>東京都中央区銀座5-13-3</t>
    <rPh sb="0" eb="3">
      <t>トウキョウト</t>
    </rPh>
    <rPh sb="3" eb="6">
      <t>チュウオウク</t>
    </rPh>
    <rPh sb="6" eb="8">
      <t>ギンザ</t>
    </rPh>
    <phoneticPr fontId="3"/>
  </si>
  <si>
    <t>いちかわビル　5F</t>
    <phoneticPr fontId="3"/>
  </si>
  <si>
    <t>←前月最終週勤務時間</t>
    <rPh sb="1" eb="3">
      <t>ゼンゲツ</t>
    </rPh>
    <rPh sb="3" eb="6">
      <t>サイシュウシュウ</t>
    </rPh>
    <rPh sb="6" eb="10">
      <t>キンムジカン</t>
    </rPh>
    <phoneticPr fontId="3"/>
  </si>
  <si>
    <t>所休</t>
    <rPh sb="0" eb="2">
      <t>ショキュウ</t>
    </rPh>
    <phoneticPr fontId="3"/>
  </si>
  <si>
    <t>法休</t>
    <rPh sb="0" eb="2">
      <t>ホウキュウ</t>
    </rPh>
    <phoneticPr fontId="3"/>
  </si>
  <si>
    <t>夜間当番手当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</si>
</sst>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76" formatCode="&quot;¥&quot;#,##0_);\(&quot;¥&quot;#,##0\)"/>
    <numFmt numFmtId="177" formatCode="yyyy&quot;　年 &quot;m&quot; 月度勤務報告書&quot;"/>
    <numFmt numFmtId="178" formatCode="m/d;@"/>
    <numFmt numFmtId="179" formatCode="aaa"/>
    <numFmt numFmtId="180" formatCode="0.00_ "/>
    <numFmt numFmtId="181" formatCode="0.00_);[Red]\(0.00\)"/>
    <numFmt numFmtId="182" formatCode="#,##0.00_ "/>
    <numFmt numFmtId="183" formatCode="0_ "/>
    <numFmt numFmtId="184" formatCode="#,##0_ ;[Red]\-#,##0\ "/>
    <numFmt numFmtId="185" formatCode="&quot;合計&quot;\ 0.00"/>
    <numFmt numFmtId="186" formatCode="0.0_ "/>
    <numFmt numFmtId="187" formatCode="#,##0.0_ ;[Red]\-#,##0.0\ "/>
    <numFmt numFmtId="188" formatCode="yyyy/m/d;@"/>
    <numFmt numFmtId="189" formatCode="yyyy"/>
    <numFmt numFmtId="190" formatCode="#0&quot;日&quot;"/>
    <numFmt numFmtId="191" formatCode="#0.0&quot;日&quot;"/>
    <numFmt numFmtId="192" formatCode="m&quot;月&quot;"/>
    <numFmt numFmtId="193" formatCode="0.0&quot;時間&quot;"/>
    <numFmt numFmtId="194" formatCode="m"/>
    <numFmt numFmtId="195" formatCode="0;\-0;;@"/>
    <numFmt numFmtId="196" formatCode="0.0"/>
  </numFmts>
  <fonts count="3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name val="ＭＳ Ｐゴシック"/>
      <family val="3"/>
      <charset val="128"/>
    </font>
    <font>
      <u/>
      <sz val="11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i/>
      <sz val="11"/>
      <color rgb="FFFF0000"/>
      <name val="ＭＳ Ｐゴシック"/>
      <family val="3"/>
      <charset val="128"/>
    </font>
    <font>
      <b/>
      <i/>
      <sz val="11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u/>
      <sz val="14"/>
      <color rgb="FFFF000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rgb="FF000000"/>
      <name val="ＭＳ Ｐゴシック"/>
      <family val="3"/>
      <charset val="128"/>
    </font>
    <font>
      <sz val="10"/>
      <color rgb="FF5B5B5B"/>
      <name val="メイリオ"/>
      <family val="3"/>
      <charset val="128"/>
    </font>
    <font>
      <sz val="8"/>
      <name val="ＭＳ Ｐゴシック"/>
      <family val="3"/>
      <charset val="128"/>
    </font>
    <font>
      <sz val="11"/>
      <color rgb="FF000000"/>
      <name val="メイリオ"/>
      <family val="3"/>
      <charset val="128"/>
    </font>
    <font>
      <sz val="10"/>
      <color rgb="FF333333"/>
      <name val="Arial"/>
      <family val="2"/>
    </font>
    <font>
      <sz val="11"/>
      <color rgb="FF000000"/>
      <name val="ＭＳ Ｐゴシック"/>
      <family val="3"/>
      <charset val="128"/>
    </font>
    <font>
      <sz val="8"/>
      <color rgb="FF000000"/>
      <name val="ＭＳ Ｐゴシック"/>
      <family val="3"/>
      <charset val="128"/>
    </font>
    <font>
      <sz val="6"/>
      <color rgb="FF000000"/>
      <name val="ＭＳ Ｐゴシック"/>
      <family val="3"/>
      <charset val="128"/>
    </font>
    <font>
      <sz val="10"/>
      <color theme="0" tint="-0.34998626667073579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FDE9D9"/>
        <bgColor indexed="64"/>
      </patternFill>
    </fill>
  </fills>
  <borders count="1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22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double">
        <color indexed="64"/>
      </right>
      <top style="thin">
        <color indexed="64"/>
      </top>
      <bottom style="thin">
        <color theme="0" tint="-0.24994659260841701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double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 style="double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double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double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  <border>
      <left style="double">
        <color indexed="64"/>
      </left>
      <right/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auto="1"/>
      </top>
      <bottom style="double">
        <color auto="1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</borders>
  <cellStyleXfs count="7">
    <xf numFmtId="0" fontId="0" fillId="0" borderId="0"/>
    <xf numFmtId="38" fontId="1" fillId="0" borderId="0" applyFont="0" applyFill="0" applyBorder="0" applyAlignment="0" applyProtection="0"/>
    <xf numFmtId="0" fontId="1" fillId="0" borderId="0"/>
    <xf numFmtId="38" fontId="1" fillId="0" borderId="0" applyFont="0" applyFill="0" applyBorder="0" applyAlignment="0" applyProtection="0"/>
    <xf numFmtId="0" fontId="1" fillId="0" borderId="0"/>
    <xf numFmtId="38" fontId="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/>
  </cellStyleXfs>
  <cellXfs count="482">
    <xf numFmtId="0" fontId="0" fillId="0" borderId="0" xfId="0"/>
    <xf numFmtId="179" fontId="6" fillId="0" borderId="16" xfId="0" applyNumberFormat="1" applyFont="1" applyBorder="1" applyAlignment="1" applyProtection="1">
      <alignment horizontal="center"/>
      <protection locked="0"/>
    </xf>
    <xf numFmtId="0" fontId="7" fillId="0" borderId="0" xfId="0" applyFont="1"/>
    <xf numFmtId="0" fontId="0" fillId="0" borderId="0" xfId="0" applyAlignment="1" applyProtection="1">
      <alignment horizontal="centerContinuous"/>
      <protection locked="0"/>
    </xf>
    <xf numFmtId="0" fontId="0" fillId="0" borderId="0" xfId="0" applyProtection="1">
      <protection locked="0"/>
    </xf>
    <xf numFmtId="0" fontId="10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/>
    <xf numFmtId="0" fontId="12" fillId="0" borderId="0" xfId="0" applyFont="1"/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4" fillId="0" borderId="0" xfId="0" applyFont="1" applyAlignment="1">
      <alignment horizontal="center"/>
    </xf>
    <xf numFmtId="0" fontId="14" fillId="0" borderId="0" xfId="0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46" fontId="0" fillId="0" borderId="0" xfId="0" applyNumberFormat="1" applyProtection="1">
      <protection locked="0"/>
    </xf>
    <xf numFmtId="0" fontId="0" fillId="0" borderId="1" xfId="0" applyBorder="1"/>
    <xf numFmtId="40" fontId="1" fillId="0" borderId="0" xfId="1" applyNumberFormat="1" applyFont="1" applyAlignment="1" applyProtection="1">
      <protection locked="0"/>
    </xf>
    <xf numFmtId="0" fontId="6" fillId="0" borderId="29" xfId="0" applyFont="1" applyBorder="1" applyProtection="1">
      <protection locked="0"/>
    </xf>
    <xf numFmtId="0" fontId="6" fillId="0" borderId="30" xfId="0" applyFont="1" applyBorder="1" applyProtection="1">
      <protection locked="0"/>
    </xf>
    <xf numFmtId="183" fontId="6" fillId="0" borderId="29" xfId="0" applyNumberFormat="1" applyFont="1" applyBorder="1"/>
    <xf numFmtId="0" fontId="6" fillId="0" borderId="30" xfId="0" applyFont="1" applyBorder="1"/>
    <xf numFmtId="184" fontId="6" fillId="0" borderId="29" xfId="1" applyNumberFormat="1" applyFont="1" applyBorder="1" applyAlignment="1" applyProtection="1">
      <protection locked="0"/>
    </xf>
    <xf numFmtId="184" fontId="6" fillId="0" borderId="32" xfId="1" applyNumberFormat="1" applyFont="1" applyBorder="1" applyAlignment="1" applyProtection="1">
      <protection locked="0"/>
    </xf>
    <xf numFmtId="0" fontId="15" fillId="0" borderId="0" xfId="0" applyFont="1" applyAlignment="1" applyProtection="1">
      <alignment horizontal="center"/>
      <protection locked="0"/>
    </xf>
    <xf numFmtId="40" fontId="6" fillId="0" borderId="0" xfId="1" applyNumberFormat="1" applyFont="1" applyAlignment="1" applyProtection="1">
      <protection locked="0"/>
    </xf>
    <xf numFmtId="184" fontId="6" fillId="0" borderId="0" xfId="1" applyNumberFormat="1" applyFont="1" applyAlignment="1" applyProtection="1">
      <protection locked="0"/>
    </xf>
    <xf numFmtId="0" fontId="6" fillId="0" borderId="40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0" fillId="0" borderId="0" xfId="0" applyAlignment="1">
      <alignment horizontal="center"/>
    </xf>
    <xf numFmtId="40" fontId="10" fillId="0" borderId="0" xfId="1" applyNumberFormat="1" applyFont="1" applyAlignment="1" applyProtection="1">
      <alignment horizontal="left"/>
      <protection locked="0"/>
    </xf>
    <xf numFmtId="0" fontId="0" fillId="3" borderId="35" xfId="0" applyFill="1" applyBorder="1"/>
    <xf numFmtId="0" fontId="0" fillId="3" borderId="34" xfId="0" applyFill="1" applyBorder="1"/>
    <xf numFmtId="0" fontId="6" fillId="0" borderId="16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left"/>
      <protection locked="0"/>
    </xf>
    <xf numFmtId="0" fontId="0" fillId="4" borderId="85" xfId="0" applyFill="1" applyBorder="1" applyAlignment="1">
      <alignment horizontal="center"/>
    </xf>
    <xf numFmtId="0" fontId="0" fillId="0" borderId="85" xfId="0" applyBorder="1" applyAlignment="1">
      <alignment horizontal="center" vertical="center"/>
    </xf>
    <xf numFmtId="186" fontId="0" fillId="0" borderId="85" xfId="0" applyNumberFormat="1" applyBorder="1" applyAlignment="1">
      <alignment horizontal="left" vertical="center"/>
    </xf>
    <xf numFmtId="0" fontId="0" fillId="0" borderId="85" xfId="0" applyBorder="1" applyAlignment="1">
      <alignment horizontal="left" vertical="center"/>
    </xf>
    <xf numFmtId="14" fontId="0" fillId="0" borderId="85" xfId="0" applyNumberFormat="1" applyBorder="1" applyAlignment="1">
      <alignment horizontal="left" vertical="center"/>
    </xf>
    <xf numFmtId="0" fontId="1" fillId="4" borderId="85" xfId="2" applyFill="1" applyBorder="1" applyAlignment="1">
      <alignment horizontal="center"/>
    </xf>
    <xf numFmtId="0" fontId="1" fillId="0" borderId="85" xfId="2" applyBorder="1" applyAlignment="1">
      <alignment horizontal="left" vertical="center"/>
    </xf>
    <xf numFmtId="0" fontId="1" fillId="0" borderId="0" xfId="2"/>
    <xf numFmtId="0" fontId="0" fillId="0" borderId="85" xfId="0" applyBorder="1" applyAlignment="1">
      <alignment horizontal="left" vertical="top"/>
    </xf>
    <xf numFmtId="0" fontId="0" fillId="0" borderId="85" xfId="2" applyFont="1" applyBorder="1" applyAlignment="1">
      <alignment horizontal="left" vertical="center"/>
    </xf>
    <xf numFmtId="0" fontId="0" fillId="0" borderId="85" xfId="0" applyBorder="1" applyAlignment="1">
      <alignment horizontal="left" vertical="top" wrapText="1"/>
    </xf>
    <xf numFmtId="188" fontId="0" fillId="0" borderId="0" xfId="0" applyNumberFormat="1"/>
    <xf numFmtId="0" fontId="0" fillId="0" borderId="90" xfId="0" applyBorder="1"/>
    <xf numFmtId="188" fontId="0" fillId="0" borderId="90" xfId="0" applyNumberFormat="1" applyBorder="1"/>
    <xf numFmtId="14" fontId="0" fillId="0" borderId="0" xfId="0" applyNumberFormat="1"/>
    <xf numFmtId="0" fontId="25" fillId="0" borderId="0" xfId="0" applyFont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189" fontId="0" fillId="0" borderId="0" xfId="0" applyNumberFormat="1"/>
    <xf numFmtId="20" fontId="0" fillId="0" borderId="0" xfId="0" applyNumberFormat="1"/>
    <xf numFmtId="178" fontId="0" fillId="0" borderId="0" xfId="0" applyNumberFormat="1"/>
    <xf numFmtId="0" fontId="27" fillId="0" borderId="0" xfId="0" applyFont="1"/>
    <xf numFmtId="0" fontId="16" fillId="0" borderId="0" xfId="0" applyFont="1"/>
    <xf numFmtId="187" fontId="6" fillId="0" borderId="0" xfId="1" applyNumberFormat="1" applyFont="1" applyBorder="1" applyAlignment="1" applyProtection="1">
      <protection locked="0"/>
    </xf>
    <xf numFmtId="184" fontId="6" fillId="0" borderId="0" xfId="1" applyNumberFormat="1" applyFont="1" applyBorder="1" applyAlignment="1" applyProtection="1">
      <protection locked="0"/>
    </xf>
    <xf numFmtId="191" fontId="6" fillId="0" borderId="106" xfId="0" applyNumberFormat="1" applyFont="1" applyBorder="1" applyProtection="1">
      <protection locked="0"/>
    </xf>
    <xf numFmtId="191" fontId="6" fillId="0" borderId="107" xfId="0" applyNumberFormat="1" applyFont="1" applyBorder="1" applyProtection="1">
      <protection locked="0"/>
    </xf>
    <xf numFmtId="0" fontId="10" fillId="0" borderId="85" xfId="0" applyFont="1" applyBorder="1" applyAlignment="1">
      <alignment horizontal="center"/>
    </xf>
    <xf numFmtId="0" fontId="30" fillId="0" borderId="0" xfId="0" applyFont="1"/>
    <xf numFmtId="14" fontId="0" fillId="0" borderId="92" xfId="0" applyNumberFormat="1" applyBorder="1"/>
    <xf numFmtId="20" fontId="16" fillId="0" borderId="0" xfId="0" applyNumberFormat="1" applyFont="1"/>
    <xf numFmtId="0" fontId="0" fillId="0" borderId="113" xfId="0" applyBorder="1"/>
    <xf numFmtId="0" fontId="0" fillId="0" borderId="114" xfId="0" applyBorder="1"/>
    <xf numFmtId="0" fontId="0" fillId="0" borderId="115" xfId="0" applyBorder="1"/>
    <xf numFmtId="0" fontId="29" fillId="0" borderId="116" xfId="0" applyFont="1" applyBorder="1" applyAlignment="1">
      <alignment vertical="center"/>
    </xf>
    <xf numFmtId="0" fontId="0" fillId="0" borderId="117" xfId="0" applyBorder="1"/>
    <xf numFmtId="0" fontId="0" fillId="0" borderId="116" xfId="0" applyBorder="1"/>
    <xf numFmtId="20" fontId="0" fillId="0" borderId="0" xfId="0" applyNumberFormat="1" applyAlignment="1">
      <alignment horizontal="right"/>
    </xf>
    <xf numFmtId="0" fontId="0" fillId="0" borderId="118" xfId="0" applyBorder="1"/>
    <xf numFmtId="20" fontId="0" fillId="0" borderId="119" xfId="0" applyNumberFormat="1" applyBorder="1"/>
    <xf numFmtId="0" fontId="0" fillId="0" borderId="120" xfId="0" applyBorder="1"/>
    <xf numFmtId="179" fontId="5" fillId="0" borderId="94" xfId="0" applyNumberFormat="1" applyFont="1" applyBorder="1" applyAlignment="1">
      <alignment horizontal="center"/>
    </xf>
    <xf numFmtId="14" fontId="2" fillId="0" borderId="94" xfId="0" applyNumberFormat="1" applyFont="1" applyBorder="1"/>
    <xf numFmtId="179" fontId="5" fillId="0" borderId="16" xfId="0" applyNumberFormat="1" applyFont="1" applyBorder="1" applyAlignment="1">
      <alignment horizontal="center"/>
    </xf>
    <xf numFmtId="14" fontId="2" fillId="0" borderId="16" xfId="0" applyNumberFormat="1" applyFont="1" applyBorder="1"/>
    <xf numFmtId="20" fontId="2" fillId="0" borderId="16" xfId="0" applyNumberFormat="1" applyFont="1" applyBorder="1"/>
    <xf numFmtId="0" fontId="6" fillId="0" borderId="90" xfId="0" applyFont="1" applyBorder="1" applyAlignment="1">
      <alignment horizontal="center"/>
    </xf>
    <xf numFmtId="0" fontId="6" fillId="0" borderId="123" xfId="0" applyFont="1" applyBorder="1" applyAlignment="1">
      <alignment horizontal="center"/>
    </xf>
    <xf numFmtId="194" fontId="0" fillId="0" borderId="0" xfId="0" applyNumberFormat="1"/>
    <xf numFmtId="190" fontId="0" fillId="7" borderId="131" xfId="0" applyNumberFormat="1" applyFill="1" applyBorder="1"/>
    <xf numFmtId="0" fontId="0" fillId="8" borderId="132" xfId="0" applyFill="1" applyBorder="1" applyAlignment="1">
      <alignment shrinkToFit="1"/>
    </xf>
    <xf numFmtId="192" fontId="0" fillId="9" borderId="108" xfId="0" applyNumberFormat="1" applyFill="1" applyBorder="1" applyAlignment="1">
      <alignment horizontal="center"/>
    </xf>
    <xf numFmtId="0" fontId="0" fillId="0" borderId="85" xfId="0" applyBorder="1"/>
    <xf numFmtId="0" fontId="0" fillId="7" borderId="85" xfId="0" applyFill="1" applyBorder="1"/>
    <xf numFmtId="0" fontId="27" fillId="7" borderId="85" xfId="0" applyFont="1" applyFill="1" applyBorder="1"/>
    <xf numFmtId="0" fontId="3" fillId="0" borderId="0" xfId="0" applyFont="1"/>
    <xf numFmtId="186" fontId="16" fillId="0" borderId="0" xfId="0" applyNumberFormat="1" applyFont="1" applyAlignment="1">
      <alignment horizontal="left"/>
    </xf>
    <xf numFmtId="0" fontId="0" fillId="10" borderId="132" xfId="0" applyFill="1" applyBorder="1"/>
    <xf numFmtId="193" fontId="0" fillId="7" borderId="131" xfId="0" applyNumberFormat="1" applyFill="1" applyBorder="1"/>
    <xf numFmtId="0" fontId="0" fillId="11" borderId="0" xfId="0" applyFill="1"/>
    <xf numFmtId="0" fontId="27" fillId="0" borderId="0" xfId="0" quotePrefix="1" applyFont="1"/>
    <xf numFmtId="180" fontId="7" fillId="12" borderId="0" xfId="0" applyNumberFormat="1" applyFont="1" applyFill="1"/>
    <xf numFmtId="0" fontId="6" fillId="0" borderId="49" xfId="0" applyFont="1" applyBorder="1" applyAlignment="1">
      <alignment horizontal="center"/>
    </xf>
    <xf numFmtId="0" fontId="6" fillId="0" borderId="89" xfId="0" applyFont="1" applyBorder="1" applyAlignment="1">
      <alignment horizontal="center"/>
    </xf>
    <xf numFmtId="0" fontId="6" fillId="0" borderId="98" xfId="0" applyFont="1" applyBorder="1" applyAlignment="1">
      <alignment horizontal="center"/>
    </xf>
    <xf numFmtId="0" fontId="6" fillId="0" borderId="127" xfId="0" applyFont="1" applyBorder="1" applyAlignment="1">
      <alignment horizontal="center"/>
    </xf>
    <xf numFmtId="14" fontId="0" fillId="7" borderId="85" xfId="0" applyNumberFormat="1" applyFill="1" applyBorder="1"/>
    <xf numFmtId="0" fontId="0" fillId="7" borderId="9" xfId="0" applyFill="1" applyBorder="1"/>
    <xf numFmtId="0" fontId="0" fillId="13" borderId="85" xfId="0" applyFill="1" applyBorder="1"/>
    <xf numFmtId="0" fontId="0" fillId="14" borderId="85" xfId="0" applyFill="1" applyBorder="1"/>
    <xf numFmtId="0" fontId="0" fillId="15" borderId="85" xfId="0" applyFill="1" applyBorder="1"/>
    <xf numFmtId="0" fontId="35" fillId="0" borderId="0" xfId="6"/>
    <xf numFmtId="0" fontId="6" fillId="6" borderId="61" xfId="0" applyFont="1" applyFill="1" applyBorder="1" applyAlignment="1">
      <alignment horizontal="center"/>
    </xf>
    <xf numFmtId="0" fontId="6" fillId="6" borderId="62" xfId="0" applyFont="1" applyFill="1" applyBorder="1" applyAlignment="1">
      <alignment horizontal="center"/>
    </xf>
    <xf numFmtId="0" fontId="6" fillId="6" borderId="63" xfId="0" applyFont="1" applyFill="1" applyBorder="1" applyAlignment="1">
      <alignment horizontal="center"/>
    </xf>
    <xf numFmtId="176" fontId="6" fillId="6" borderId="64" xfId="0" applyNumberFormat="1" applyFont="1" applyFill="1" applyBorder="1"/>
    <xf numFmtId="176" fontId="6" fillId="6" borderId="62" xfId="0" applyNumberFormat="1" applyFont="1" applyFill="1" applyBorder="1"/>
    <xf numFmtId="176" fontId="6" fillId="6" borderId="65" xfId="0" applyNumberFormat="1" applyFont="1" applyFill="1" applyBorder="1"/>
    <xf numFmtId="0" fontId="6" fillId="0" borderId="60" xfId="0" applyFont="1" applyBorder="1" applyAlignment="1" applyProtection="1">
      <alignment vertical="top"/>
      <protection locked="0"/>
    </xf>
    <xf numFmtId="0" fontId="6" fillId="0" borderId="0" xfId="0" applyFont="1" applyAlignment="1" applyProtection="1">
      <alignment vertical="top"/>
      <protection locked="0"/>
    </xf>
    <xf numFmtId="0" fontId="6" fillId="0" borderId="26" xfId="0" applyFont="1" applyBorder="1" applyAlignment="1" applyProtection="1">
      <alignment vertical="top"/>
      <protection locked="0"/>
    </xf>
    <xf numFmtId="0" fontId="6" fillId="0" borderId="110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6" fillId="0" borderId="109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6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/>
      <protection locked="0"/>
    </xf>
    <xf numFmtId="0" fontId="6" fillId="0" borderId="9" xfId="0" applyFont="1" applyBorder="1" applyAlignment="1" applyProtection="1">
      <alignment horizontal="center"/>
      <protection locked="0"/>
    </xf>
    <xf numFmtId="176" fontId="6" fillId="0" borderId="7" xfId="0" applyNumberFormat="1" applyFont="1" applyBorder="1" applyProtection="1">
      <protection locked="0"/>
    </xf>
    <xf numFmtId="176" fontId="6" fillId="0" borderId="8" xfId="0" applyNumberFormat="1" applyFont="1" applyBorder="1" applyProtection="1">
      <protection locked="0"/>
    </xf>
    <xf numFmtId="176" fontId="6" fillId="0" borderId="59" xfId="0" applyNumberFormat="1" applyFont="1" applyBorder="1" applyProtection="1">
      <protection locked="0"/>
    </xf>
    <xf numFmtId="176" fontId="6" fillId="0" borderId="7" xfId="0" applyNumberFormat="1" applyFont="1" applyBorder="1" applyAlignment="1" applyProtection="1">
      <alignment horizontal="right"/>
      <protection locked="0"/>
    </xf>
    <xf numFmtId="176" fontId="6" fillId="0" borderId="8" xfId="0" applyNumberFormat="1" applyFont="1" applyBorder="1" applyAlignment="1" applyProtection="1">
      <alignment horizontal="right"/>
      <protection locked="0"/>
    </xf>
    <xf numFmtId="176" fontId="6" fillId="0" borderId="59" xfId="0" applyNumberFormat="1" applyFont="1" applyBorder="1" applyAlignment="1" applyProtection="1">
      <alignment horizontal="right"/>
      <protection locked="0"/>
    </xf>
    <xf numFmtId="0" fontId="6" fillId="0" borderId="5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left"/>
      <protection locked="0"/>
    </xf>
    <xf numFmtId="0" fontId="6" fillId="0" borderId="8" xfId="0" applyFont="1" applyBorder="1" applyAlignment="1" applyProtection="1">
      <alignment horizontal="left"/>
      <protection locked="0"/>
    </xf>
    <xf numFmtId="0" fontId="6" fillId="0" borderId="9" xfId="0" applyFont="1" applyBorder="1" applyAlignment="1" applyProtection="1">
      <alignment horizontal="left"/>
      <protection locked="0"/>
    </xf>
    <xf numFmtId="0" fontId="6" fillId="6" borderId="5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/>
      <protection locked="0"/>
    </xf>
    <xf numFmtId="0" fontId="6" fillId="6" borderId="9" xfId="0" applyFont="1" applyFill="1" applyBorder="1" applyAlignment="1" applyProtection="1">
      <alignment horizontal="center"/>
      <protection locked="0"/>
    </xf>
    <xf numFmtId="176" fontId="6" fillId="6" borderId="7" xfId="0" applyNumberFormat="1" applyFont="1" applyFill="1" applyBorder="1" applyProtection="1">
      <protection locked="0"/>
    </xf>
    <xf numFmtId="176" fontId="6" fillId="6" borderId="8" xfId="0" applyNumberFormat="1" applyFont="1" applyFill="1" applyBorder="1" applyProtection="1">
      <protection locked="0"/>
    </xf>
    <xf numFmtId="176" fontId="6" fillId="6" borderId="59" xfId="0" applyNumberFormat="1" applyFont="1" applyFill="1" applyBorder="1" applyProtection="1">
      <protection locked="0"/>
    </xf>
    <xf numFmtId="0" fontId="34" fillId="0" borderId="60" xfId="0" applyFont="1" applyBorder="1" applyAlignment="1" applyProtection="1">
      <alignment vertical="top"/>
      <protection locked="0"/>
    </xf>
    <xf numFmtId="0" fontId="34" fillId="0" borderId="0" xfId="0" applyFont="1" applyAlignment="1" applyProtection="1">
      <alignment vertical="top"/>
      <protection locked="0"/>
    </xf>
    <xf numFmtId="0" fontId="34" fillId="0" borderId="26" xfId="0" applyFont="1" applyBorder="1" applyAlignment="1" applyProtection="1">
      <alignment vertical="top"/>
      <protection locked="0"/>
    </xf>
    <xf numFmtId="0" fontId="6" fillId="6" borderId="109" xfId="0" applyFont="1" applyFill="1" applyBorder="1" applyAlignment="1" applyProtection="1">
      <alignment horizontal="center"/>
      <protection locked="0"/>
    </xf>
    <xf numFmtId="0" fontId="6" fillId="6" borderId="1" xfId="0" applyFont="1" applyFill="1" applyBorder="1" applyAlignment="1" applyProtection="1">
      <alignment horizontal="center"/>
      <protection locked="0"/>
    </xf>
    <xf numFmtId="0" fontId="6" fillId="6" borderId="6" xfId="0" applyFont="1" applyFill="1" applyBorder="1" applyAlignment="1" applyProtection="1">
      <alignment horizontal="center"/>
      <protection locked="0"/>
    </xf>
    <xf numFmtId="176" fontId="5" fillId="6" borderId="5" xfId="0" applyNumberFormat="1" applyFont="1" applyFill="1" applyBorder="1" applyAlignment="1" applyProtection="1">
      <alignment horizontal="center"/>
      <protection locked="0"/>
    </xf>
    <xf numFmtId="176" fontId="5" fillId="6" borderId="1" xfId="0" applyNumberFormat="1" applyFont="1" applyFill="1" applyBorder="1" applyAlignment="1" applyProtection="1">
      <alignment horizontal="center"/>
      <protection locked="0"/>
    </xf>
    <xf numFmtId="176" fontId="5" fillId="6" borderId="6" xfId="0" applyNumberFormat="1" applyFont="1" applyFill="1" applyBorder="1" applyAlignment="1" applyProtection="1">
      <alignment horizontal="center"/>
      <protection locked="0"/>
    </xf>
    <xf numFmtId="176" fontId="6" fillId="6" borderId="5" xfId="0" applyNumberFormat="1" applyFont="1" applyFill="1" applyBorder="1" applyAlignment="1" applyProtection="1">
      <alignment horizontal="right"/>
      <protection locked="0"/>
    </xf>
    <xf numFmtId="176" fontId="6" fillId="6" borderId="1" xfId="0" applyNumberFormat="1" applyFont="1" applyFill="1" applyBorder="1" applyAlignment="1" applyProtection="1">
      <alignment horizontal="right"/>
      <protection locked="0"/>
    </xf>
    <xf numFmtId="176" fontId="6" fillId="6" borderId="11" xfId="0" applyNumberFormat="1" applyFont="1" applyFill="1" applyBorder="1" applyAlignment="1" applyProtection="1">
      <alignment horizontal="right"/>
      <protection locked="0"/>
    </xf>
    <xf numFmtId="0" fontId="6" fillId="0" borderId="2" xfId="0" applyFont="1" applyBorder="1" applyAlignment="1" applyProtection="1">
      <alignment vertical="top"/>
      <protection locked="0"/>
    </xf>
    <xf numFmtId="0" fontId="6" fillId="0" borderId="4" xfId="0" applyFont="1" applyBorder="1" applyAlignment="1" applyProtection="1">
      <alignment vertical="top"/>
      <protection locked="0"/>
    </xf>
    <xf numFmtId="0" fontId="6" fillId="0" borderId="3" xfId="0" applyFont="1" applyBorder="1" applyAlignment="1" applyProtection="1">
      <alignment vertical="top"/>
      <protection locked="0"/>
    </xf>
    <xf numFmtId="0" fontId="6" fillId="0" borderId="121" xfId="0" applyFont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0" borderId="9" xfId="0" applyFont="1" applyBorder="1" applyAlignment="1" applyProtection="1">
      <alignment horizontal="center" vertical="center"/>
      <protection locked="0"/>
    </xf>
    <xf numFmtId="195" fontId="6" fillId="0" borderId="7" xfId="0" applyNumberFormat="1" applyFont="1" applyBorder="1" applyAlignment="1" applyProtection="1">
      <alignment horizontal="left"/>
      <protection locked="0"/>
    </xf>
    <xf numFmtId="195" fontId="6" fillId="0" borderId="8" xfId="0" applyNumberFormat="1" applyFont="1" applyBorder="1" applyAlignment="1" applyProtection="1">
      <alignment horizontal="left"/>
      <protection locked="0"/>
    </xf>
    <xf numFmtId="195" fontId="6" fillId="0" borderId="9" xfId="0" applyNumberFormat="1" applyFont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60" xfId="0" applyFont="1" applyBorder="1" applyAlignment="1" applyProtection="1">
      <alignment horizontal="center" vertical="center"/>
      <protection locked="0"/>
    </xf>
    <xf numFmtId="0" fontId="6" fillId="0" borderId="26" xfId="0" applyFont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90" fontId="6" fillId="0" borderId="102" xfId="0" applyNumberFormat="1" applyFont="1" applyBorder="1" applyAlignment="1">
      <alignment horizontal="center"/>
    </xf>
    <xf numFmtId="190" fontId="6" fillId="0" borderId="30" xfId="0" applyNumberFormat="1" applyFont="1" applyBorder="1" applyAlignment="1">
      <alignment horizontal="center"/>
    </xf>
    <xf numFmtId="0" fontId="28" fillId="0" borderId="31" xfId="0" applyFont="1" applyBorder="1" applyAlignment="1" applyProtection="1">
      <alignment horizontal="center"/>
      <protection locked="0"/>
    </xf>
    <xf numFmtId="0" fontId="28" fillId="0" borderId="28" xfId="0" applyFont="1" applyBorder="1" applyAlignment="1" applyProtection="1">
      <alignment horizontal="center"/>
      <protection locked="0"/>
    </xf>
    <xf numFmtId="191" fontId="6" fillId="0" borderId="102" xfId="0" applyNumberFormat="1" applyFont="1" applyBorder="1" applyAlignment="1">
      <alignment horizontal="center"/>
    </xf>
    <xf numFmtId="191" fontId="6" fillId="0" borderId="30" xfId="0" applyNumberFormat="1" applyFont="1" applyBorder="1" applyAlignment="1">
      <alignment horizontal="center"/>
    </xf>
    <xf numFmtId="0" fontId="6" fillId="0" borderId="126" xfId="0" applyFont="1" applyBorder="1" applyProtection="1">
      <protection locked="0"/>
    </xf>
    <xf numFmtId="0" fontId="6" fillId="0" borderId="98" xfId="0" applyFont="1" applyBorder="1" applyProtection="1">
      <protection locked="0"/>
    </xf>
    <xf numFmtId="0" fontId="6" fillId="0" borderId="127" xfId="0" applyFont="1" applyBorder="1" applyProtection="1">
      <protection locked="0"/>
    </xf>
    <xf numFmtId="176" fontId="5" fillId="0" borderId="48" xfId="0" applyNumberFormat="1" applyFont="1" applyBorder="1" applyAlignment="1" applyProtection="1">
      <alignment shrinkToFit="1"/>
      <protection locked="0"/>
    </xf>
    <xf numFmtId="176" fontId="5" fillId="0" borderId="49" xfId="0" applyNumberFormat="1" applyFont="1" applyBorder="1" applyAlignment="1" applyProtection="1">
      <alignment shrinkToFit="1"/>
      <protection locked="0"/>
    </xf>
    <xf numFmtId="182" fontId="6" fillId="0" borderId="98" xfId="0" applyNumberFormat="1" applyFont="1" applyBorder="1" applyAlignment="1">
      <alignment horizontal="right"/>
    </xf>
    <xf numFmtId="176" fontId="6" fillId="0" borderId="97" xfId="0" applyNumberFormat="1" applyFont="1" applyBorder="1" applyProtection="1">
      <protection locked="0"/>
    </xf>
    <xf numFmtId="176" fontId="6" fillId="0" borderId="98" xfId="0" applyNumberFormat="1" applyFont="1" applyBorder="1" applyProtection="1">
      <protection locked="0"/>
    </xf>
    <xf numFmtId="176" fontId="6" fillId="0" borderId="99" xfId="0" applyNumberFormat="1" applyFont="1" applyBorder="1" applyProtection="1">
      <protection locked="0"/>
    </xf>
    <xf numFmtId="0" fontId="6" fillId="0" borderId="7" xfId="0" applyFont="1" applyBorder="1" applyAlignment="1" applyProtection="1">
      <alignment horizontal="center"/>
      <protection locked="0"/>
    </xf>
    <xf numFmtId="0" fontId="6" fillId="0" borderId="122" xfId="0" applyFont="1" applyBorder="1" applyProtection="1">
      <protection locked="0"/>
    </xf>
    <xf numFmtId="0" fontId="6" fillId="0" borderId="90" xfId="0" applyFont="1" applyBorder="1" applyProtection="1">
      <protection locked="0"/>
    </xf>
    <xf numFmtId="0" fontId="6" fillId="0" borderId="123" xfId="0" applyFont="1" applyBorder="1" applyProtection="1">
      <protection locked="0"/>
    </xf>
    <xf numFmtId="176" fontId="5" fillId="0" borderId="124" xfId="0" applyNumberFormat="1" applyFont="1" applyBorder="1" applyProtection="1">
      <protection locked="0"/>
    </xf>
    <xf numFmtId="176" fontId="5" fillId="0" borderId="90" xfId="0" applyNumberFormat="1" applyFont="1" applyBorder="1" applyProtection="1">
      <protection locked="0"/>
    </xf>
    <xf numFmtId="182" fontId="6" fillId="0" borderId="90" xfId="0" applyNumberFormat="1" applyFont="1" applyBorder="1" applyAlignment="1">
      <alignment horizontal="right"/>
    </xf>
    <xf numFmtId="176" fontId="6" fillId="0" borderId="124" xfId="0" applyNumberFormat="1" applyFont="1" applyBorder="1" applyProtection="1">
      <protection locked="0"/>
    </xf>
    <xf numFmtId="176" fontId="6" fillId="0" borderId="90" xfId="0" applyNumberFormat="1" applyFont="1" applyBorder="1" applyProtection="1">
      <protection locked="0"/>
    </xf>
    <xf numFmtId="176" fontId="6" fillId="0" borderId="125" xfId="0" applyNumberFormat="1" applyFont="1" applyBorder="1" applyProtection="1">
      <protection locked="0"/>
    </xf>
    <xf numFmtId="0" fontId="6" fillId="0" borderId="88" xfId="0" applyFont="1" applyBorder="1" applyProtection="1">
      <protection locked="0"/>
    </xf>
    <xf numFmtId="0" fontId="6" fillId="0" borderId="49" xfId="0" applyFont="1" applyBorder="1" applyProtection="1">
      <protection locked="0"/>
    </xf>
    <xf numFmtId="0" fontId="6" fillId="0" borderId="89" xfId="0" applyFont="1" applyBorder="1" applyProtection="1">
      <protection locked="0"/>
    </xf>
    <xf numFmtId="182" fontId="6" fillId="0" borderId="49" xfId="0" applyNumberFormat="1" applyFont="1" applyBorder="1" applyAlignment="1">
      <alignment horizontal="right"/>
    </xf>
    <xf numFmtId="0" fontId="6" fillId="0" borderId="103" xfId="0" applyFont="1" applyBorder="1" applyAlignment="1">
      <alignment horizontal="center"/>
    </xf>
    <xf numFmtId="0" fontId="6" fillId="0" borderId="104" xfId="0" applyFont="1" applyBorder="1" applyAlignment="1">
      <alignment horizontal="center"/>
    </xf>
    <xf numFmtId="0" fontId="0" fillId="9" borderId="104" xfId="0" applyFill="1" applyBorder="1" applyAlignment="1">
      <alignment horizontal="center"/>
    </xf>
    <xf numFmtId="0" fontId="0" fillId="9" borderId="105" xfId="0" applyFill="1" applyBorder="1" applyAlignment="1">
      <alignment horizontal="center"/>
    </xf>
    <xf numFmtId="176" fontId="5" fillId="0" borderId="48" xfId="0" applyNumberFormat="1" applyFont="1" applyBorder="1" applyAlignment="1" applyProtection="1">
      <alignment horizontal="right" shrinkToFit="1"/>
      <protection locked="0"/>
    </xf>
    <xf numFmtId="176" fontId="5" fillId="0" borderId="49" xfId="0" applyNumberFormat="1" applyFont="1" applyBorder="1" applyAlignment="1" applyProtection="1">
      <alignment horizontal="right" shrinkToFit="1"/>
      <protection locked="0"/>
    </xf>
    <xf numFmtId="0" fontId="0" fillId="0" borderId="27" xfId="0" applyBorder="1" applyAlignment="1" applyProtection="1">
      <alignment horizontal="distributed"/>
      <protection locked="0"/>
    </xf>
    <xf numFmtId="0" fontId="0" fillId="0" borderId="29" xfId="0" applyBorder="1" applyAlignment="1" applyProtection="1">
      <alignment horizontal="distributed"/>
      <protection locked="0"/>
    </xf>
    <xf numFmtId="193" fontId="6" fillId="0" borderId="133" xfId="0" applyNumberFormat="1" applyFont="1" applyBorder="1" applyAlignment="1">
      <alignment horizontal="right"/>
    </xf>
    <xf numFmtId="193" fontId="6" fillId="0" borderId="29" xfId="0" applyNumberFormat="1" applyFont="1" applyBorder="1" applyAlignment="1">
      <alignment horizontal="right"/>
    </xf>
    <xf numFmtId="0" fontId="0" fillId="0" borderId="29" xfId="0" applyBorder="1"/>
    <xf numFmtId="0" fontId="0" fillId="0" borderId="32" xfId="0" applyBorder="1"/>
    <xf numFmtId="181" fontId="6" fillId="0" borderId="31" xfId="1" applyNumberFormat="1" applyFont="1" applyFill="1" applyBorder="1" applyAlignment="1" applyProtection="1">
      <alignment horizontal="center"/>
      <protection locked="0"/>
    </xf>
    <xf numFmtId="181" fontId="6" fillId="0" borderId="28" xfId="1" applyNumberFormat="1" applyFont="1" applyFill="1" applyBorder="1" applyAlignment="1" applyProtection="1">
      <alignment horizontal="center"/>
      <protection locked="0"/>
    </xf>
    <xf numFmtId="176" fontId="5" fillId="0" borderId="95" xfId="0" applyNumberFormat="1" applyFont="1" applyBorder="1" applyAlignment="1" applyProtection="1">
      <alignment shrinkToFit="1"/>
      <protection locked="0"/>
    </xf>
    <xf numFmtId="176" fontId="5" fillId="0" borderId="96" xfId="0" applyNumberFormat="1" applyFont="1" applyBorder="1" applyAlignment="1" applyProtection="1">
      <alignment shrinkToFit="1"/>
      <protection locked="0"/>
    </xf>
    <xf numFmtId="176" fontId="6" fillId="0" borderId="48" xfId="0" applyNumberFormat="1" applyFont="1" applyBorder="1" applyProtection="1">
      <protection locked="0"/>
    </xf>
    <xf numFmtId="176" fontId="6" fillId="0" borderId="49" xfId="0" applyNumberFormat="1" applyFont="1" applyBorder="1" applyProtection="1">
      <protection locked="0"/>
    </xf>
    <xf numFmtId="176" fontId="6" fillId="0" borderId="50" xfId="0" applyNumberFormat="1" applyFont="1" applyBorder="1" applyProtection="1">
      <protection locked="0"/>
    </xf>
    <xf numFmtId="0" fontId="6" fillId="0" borderId="27" xfId="0" applyFont="1" applyBorder="1" applyAlignment="1" applyProtection="1">
      <alignment horizontal="distributed"/>
      <protection locked="0"/>
    </xf>
    <xf numFmtId="0" fontId="6" fillId="0" borderId="29" xfId="0" applyFont="1" applyBorder="1" applyAlignment="1" applyProtection="1">
      <alignment horizontal="distributed"/>
      <protection locked="0"/>
    </xf>
    <xf numFmtId="0" fontId="6" fillId="0" borderId="87" xfId="0" applyFont="1" applyBorder="1" applyProtection="1">
      <protection locked="0"/>
    </xf>
    <xf numFmtId="0" fontId="6" fillId="0" borderId="44" xfId="0" applyFont="1" applyBorder="1" applyProtection="1">
      <protection locked="0"/>
    </xf>
    <xf numFmtId="176" fontId="6" fillId="0" borderId="43" xfId="0" applyNumberFormat="1" applyFont="1" applyBorder="1" applyAlignment="1" applyProtection="1">
      <alignment shrinkToFit="1"/>
      <protection locked="0"/>
    </xf>
    <xf numFmtId="176" fontId="6" fillId="0" borderId="44" xfId="0" applyNumberFormat="1" applyFont="1" applyBorder="1" applyAlignment="1" applyProtection="1">
      <alignment shrinkToFit="1"/>
      <protection locked="0"/>
    </xf>
    <xf numFmtId="176" fontId="6" fillId="0" borderId="43" xfId="0" applyNumberFormat="1" applyFont="1" applyBorder="1" applyProtection="1">
      <protection locked="0"/>
    </xf>
    <xf numFmtId="176" fontId="6" fillId="0" borderId="44" xfId="0" applyNumberFormat="1" applyFont="1" applyBorder="1" applyProtection="1">
      <protection locked="0"/>
    </xf>
    <xf numFmtId="176" fontId="6" fillId="0" borderId="45" xfId="0" applyNumberFormat="1" applyFont="1" applyBorder="1" applyProtection="1">
      <protection locked="0"/>
    </xf>
    <xf numFmtId="0" fontId="0" fillId="3" borderId="33" xfId="0" applyFill="1" applyBorder="1"/>
    <xf numFmtId="0" fontId="0" fillId="3" borderId="35" xfId="0" applyFill="1" applyBorder="1"/>
    <xf numFmtId="0" fontId="0" fillId="3" borderId="34" xfId="0" applyFill="1" applyBorder="1"/>
    <xf numFmtId="0" fontId="6" fillId="3" borderId="36" xfId="0" applyFont="1" applyFill="1" applyBorder="1" applyAlignment="1">
      <alignment horizontal="center"/>
    </xf>
    <xf numFmtId="0" fontId="6" fillId="3" borderId="35" xfId="0" applyFont="1" applyFill="1" applyBorder="1" applyAlignment="1">
      <alignment horizontal="center"/>
    </xf>
    <xf numFmtId="0" fontId="0" fillId="3" borderId="36" xfId="0" applyFill="1" applyBorder="1"/>
    <xf numFmtId="0" fontId="0" fillId="3" borderId="37" xfId="0" applyFill="1" applyBorder="1"/>
    <xf numFmtId="181" fontId="6" fillId="0" borderId="0" xfId="1" applyNumberFormat="1" applyFont="1" applyFill="1" applyBorder="1" applyAlignment="1" applyProtection="1">
      <alignment horizontal="center"/>
      <protection locked="0"/>
    </xf>
    <xf numFmtId="0" fontId="6" fillId="0" borderId="27" xfId="0" applyFont="1" applyBorder="1" applyAlignment="1" applyProtection="1">
      <alignment horizontal="center"/>
      <protection locked="0"/>
    </xf>
    <xf numFmtId="0" fontId="6" fillId="0" borderId="29" xfId="0" applyFont="1" applyBorder="1" applyAlignment="1" applyProtection="1">
      <alignment horizontal="center"/>
      <protection locked="0"/>
    </xf>
    <xf numFmtId="191" fontId="6" fillId="0" borderId="29" xfId="0" applyNumberFormat="1" applyFont="1" applyBorder="1" applyAlignment="1" applyProtection="1">
      <alignment horizontal="center"/>
      <protection locked="0"/>
    </xf>
    <xf numFmtId="191" fontId="6" fillId="0" borderId="30" xfId="0" applyNumberFormat="1" applyFont="1" applyBorder="1" applyAlignment="1" applyProtection="1">
      <alignment horizontal="center"/>
      <protection locked="0"/>
    </xf>
    <xf numFmtId="0" fontId="6" fillId="0" borderId="31" xfId="0" applyFont="1" applyBorder="1" applyAlignment="1" applyProtection="1">
      <alignment horizontal="center"/>
      <protection locked="0"/>
    </xf>
    <xf numFmtId="190" fontId="6" fillId="0" borderId="29" xfId="0" applyNumberFormat="1" applyFont="1" applyBorder="1" applyAlignment="1" applyProtection="1">
      <alignment horizontal="center"/>
      <protection locked="0"/>
    </xf>
    <xf numFmtId="190" fontId="6" fillId="0" borderId="30" xfId="0" applyNumberFormat="1" applyFont="1" applyBorder="1" applyAlignment="1" applyProtection="1">
      <alignment horizontal="center"/>
      <protection locked="0"/>
    </xf>
    <xf numFmtId="0" fontId="0" fillId="9" borderId="29" xfId="0" applyFill="1" applyBorder="1" applyAlignment="1" applyProtection="1">
      <alignment horizontal="center" shrinkToFit="1"/>
      <protection locked="0"/>
    </xf>
    <xf numFmtId="38" fontId="0" fillId="9" borderId="29" xfId="5" applyFont="1" applyFill="1" applyBorder="1" applyAlignment="1" applyProtection="1">
      <alignment horizontal="center"/>
      <protection locked="0"/>
    </xf>
    <xf numFmtId="38" fontId="0" fillId="9" borderId="30" xfId="5" applyFont="1" applyFill="1" applyBorder="1" applyAlignment="1" applyProtection="1">
      <alignment horizontal="center"/>
      <protection locked="0"/>
    </xf>
    <xf numFmtId="181" fontId="6" fillId="2" borderId="7" xfId="0" applyNumberFormat="1" applyFont="1" applyFill="1" applyBorder="1" applyAlignment="1">
      <alignment horizontal="right"/>
    </xf>
    <xf numFmtId="181" fontId="0" fillId="2" borderId="9" xfId="0" applyNumberFormat="1" applyFill="1" applyBorder="1" applyAlignment="1">
      <alignment horizontal="right"/>
    </xf>
    <xf numFmtId="185" fontId="6" fillId="2" borderId="7" xfId="0" applyNumberFormat="1" applyFont="1" applyFill="1" applyBorder="1"/>
    <xf numFmtId="185" fontId="6" fillId="2" borderId="8" xfId="0" applyNumberFormat="1" applyFont="1" applyFill="1" applyBorder="1"/>
    <xf numFmtId="0" fontId="6" fillId="2" borderId="85" xfId="0" applyFont="1" applyFill="1" applyBorder="1" applyAlignment="1" applyProtection="1">
      <alignment horizontal="center"/>
      <protection locked="0"/>
    </xf>
    <xf numFmtId="2" fontId="9" fillId="2" borderId="7" xfId="0" applyNumberFormat="1" applyFont="1" applyFill="1" applyBorder="1" applyAlignment="1">
      <alignment horizontal="right"/>
    </xf>
    <xf numFmtId="2" fontId="9" fillId="2" borderId="59" xfId="0" applyNumberFormat="1" applyFont="1" applyFill="1" applyBorder="1" applyAlignment="1">
      <alignment horizontal="right"/>
    </xf>
    <xf numFmtId="180" fontId="6" fillId="2" borderId="58" xfId="0" applyNumberFormat="1" applyFont="1" applyFill="1" applyBorder="1" applyAlignment="1" applyProtection="1">
      <alignment horizontal="right"/>
      <protection locked="0"/>
    </xf>
    <xf numFmtId="180" fontId="0" fillId="2" borderId="8" xfId="0" applyNumberFormat="1" applyFill="1" applyBorder="1" applyAlignment="1">
      <alignment horizontal="right"/>
    </xf>
    <xf numFmtId="180" fontId="6" fillId="2" borderId="85" xfId="0" applyNumberFormat="1" applyFont="1" applyFill="1" applyBorder="1" applyAlignment="1" applyProtection="1">
      <alignment horizontal="right"/>
      <protection locked="0"/>
    </xf>
    <xf numFmtId="180" fontId="0" fillId="2" borderId="85" xfId="0" applyNumberFormat="1" applyFill="1" applyBorder="1" applyAlignment="1">
      <alignment horizontal="right"/>
    </xf>
    <xf numFmtId="185" fontId="9" fillId="2" borderId="7" xfId="0" applyNumberFormat="1" applyFont="1" applyFill="1" applyBorder="1"/>
    <xf numFmtId="185" fontId="9" fillId="2" borderId="8" xfId="0" applyNumberFormat="1" applyFont="1" applyFill="1" applyBorder="1"/>
    <xf numFmtId="0" fontId="6" fillId="2" borderId="7" xfId="0" applyFont="1" applyFill="1" applyBorder="1" applyAlignment="1" applyProtection="1">
      <alignment horizont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0" fontId="6" fillId="2" borderId="9" xfId="0" applyFont="1" applyFill="1" applyBorder="1" applyAlignment="1" applyProtection="1">
      <alignment horizontal="center"/>
      <protection locked="0"/>
    </xf>
    <xf numFmtId="182" fontId="6" fillId="2" borderId="7" xfId="0" applyNumberFormat="1" applyFont="1" applyFill="1" applyBorder="1" applyAlignment="1">
      <alignment horizontal="right"/>
    </xf>
    <xf numFmtId="182" fontId="6" fillId="2" borderId="59" xfId="0" applyNumberFormat="1" applyFont="1" applyFill="1" applyBorder="1" applyAlignment="1">
      <alignment horizontal="right"/>
    </xf>
    <xf numFmtId="180" fontId="6" fillId="2" borderId="1" xfId="0" applyNumberFormat="1" applyFont="1" applyFill="1" applyBorder="1" applyAlignment="1" applyProtection="1">
      <alignment horizontal="right"/>
      <protection locked="0"/>
    </xf>
    <xf numFmtId="180" fontId="0" fillId="2" borderId="6" xfId="0" applyNumberFormat="1" applyFill="1" applyBorder="1" applyAlignment="1">
      <alignment horizontal="right"/>
    </xf>
    <xf numFmtId="180" fontId="6" fillId="2" borderId="7" xfId="0" applyNumberFormat="1" applyFont="1" applyFill="1" applyBorder="1" applyAlignment="1">
      <alignment horizontal="right"/>
    </xf>
    <xf numFmtId="180" fontId="6" fillId="2" borderId="9" xfId="0" applyNumberFormat="1" applyFont="1" applyFill="1" applyBorder="1" applyAlignment="1">
      <alignment horizontal="right"/>
    </xf>
    <xf numFmtId="181" fontId="6" fillId="2" borderId="9" xfId="0" applyNumberFormat="1" applyFont="1" applyFill="1" applyBorder="1" applyAlignment="1">
      <alignment horizontal="right"/>
    </xf>
    <xf numFmtId="181" fontId="6" fillId="7" borderId="129" xfId="0" applyNumberFormat="1" applyFont="1" applyFill="1" applyBorder="1" applyAlignment="1" applyProtection="1">
      <alignment horizontal="right"/>
      <protection locked="0"/>
    </xf>
    <xf numFmtId="181" fontId="6" fillId="7" borderId="130" xfId="0" applyNumberFormat="1" applyFont="1" applyFill="1" applyBorder="1" applyAlignment="1" applyProtection="1">
      <alignment horizontal="right"/>
      <protection locked="0"/>
    </xf>
    <xf numFmtId="181" fontId="6" fillId="0" borderId="20" xfId="0" applyNumberFormat="1" applyFont="1" applyBorder="1" applyAlignment="1">
      <alignment horizontal="right" shrinkToFit="1"/>
    </xf>
    <xf numFmtId="181" fontId="6" fillId="0" borderId="13" xfId="0" applyNumberFormat="1" applyFont="1" applyBorder="1" applyAlignment="1">
      <alignment horizontal="right" shrinkToFit="1"/>
    </xf>
    <xf numFmtId="182" fontId="6" fillId="0" borderId="15" xfId="0" applyNumberFormat="1" applyFont="1" applyBorder="1" applyAlignment="1" applyProtection="1">
      <alignment horizontal="right"/>
      <protection locked="0"/>
    </xf>
    <xf numFmtId="182" fontId="6" fillId="0" borderId="15" xfId="0" applyNumberFormat="1" applyFont="1" applyBorder="1" applyAlignment="1">
      <alignment horizontal="right"/>
    </xf>
    <xf numFmtId="0" fontId="6" fillId="0" borderId="21" xfId="0" applyFont="1" applyBorder="1"/>
    <xf numFmtId="0" fontId="6" fillId="0" borderId="91" xfId="0" applyFont="1" applyBorder="1"/>
    <xf numFmtId="0" fontId="6" fillId="0" borderId="22" xfId="0" applyFont="1" applyBorder="1"/>
    <xf numFmtId="49" fontId="6" fillId="0" borderId="21" xfId="0" applyNumberFormat="1" applyFont="1" applyBorder="1" applyAlignment="1" applyProtection="1">
      <alignment horizontal="right"/>
      <protection locked="0"/>
    </xf>
    <xf numFmtId="49" fontId="6" fillId="0" borderId="22" xfId="0" applyNumberFormat="1" applyFont="1" applyBorder="1" applyAlignment="1" applyProtection="1">
      <alignment horizontal="right"/>
      <protection locked="0"/>
    </xf>
    <xf numFmtId="20" fontId="6" fillId="0" borderId="21" xfId="0" applyNumberFormat="1" applyFont="1" applyBorder="1" applyAlignment="1" applyProtection="1">
      <alignment horizontal="right"/>
      <protection locked="0"/>
    </xf>
    <xf numFmtId="20" fontId="6" fillId="0" borderId="22" xfId="0" applyNumberFormat="1" applyFont="1" applyBorder="1" applyAlignment="1" applyProtection="1">
      <alignment horizontal="right"/>
      <protection locked="0"/>
    </xf>
    <xf numFmtId="20" fontId="6" fillId="0" borderId="86" xfId="0" applyNumberFormat="1" applyFont="1" applyBorder="1" applyAlignment="1" applyProtection="1">
      <alignment horizontal="right"/>
      <protection locked="0"/>
    </xf>
    <xf numFmtId="20" fontId="6" fillId="0" borderId="135" xfId="0" applyNumberFormat="1" applyFont="1" applyBorder="1" applyAlignment="1">
      <alignment horizontal="right"/>
    </xf>
    <xf numFmtId="20" fontId="6" fillId="0" borderId="22" xfId="0" applyNumberFormat="1" applyFont="1" applyBorder="1" applyAlignment="1">
      <alignment horizontal="right"/>
    </xf>
    <xf numFmtId="180" fontId="6" fillId="0" borderId="21" xfId="0" applyNumberFormat="1" applyFont="1" applyBorder="1" applyAlignment="1">
      <alignment horizontal="right" shrinkToFit="1"/>
    </xf>
    <xf numFmtId="180" fontId="6" fillId="0" borderId="134" xfId="0" applyNumberFormat="1" applyFont="1" applyBorder="1" applyAlignment="1">
      <alignment horizontal="right" shrinkToFit="1"/>
    </xf>
    <xf numFmtId="2" fontId="5" fillId="0" borderId="128" xfId="0" applyNumberFormat="1" applyFont="1" applyBorder="1" applyAlignment="1">
      <alignment horizontal="right" vertical="center"/>
    </xf>
    <xf numFmtId="2" fontId="5" fillId="0" borderId="25" xfId="0" applyNumberFormat="1" applyFont="1" applyBorder="1" applyAlignment="1">
      <alignment horizontal="right" vertical="center"/>
    </xf>
    <xf numFmtId="2" fontId="5" fillId="0" borderId="12" xfId="0" applyNumberFormat="1" applyFont="1" applyBorder="1" applyAlignment="1">
      <alignment horizontal="right" vertical="center"/>
    </xf>
    <xf numFmtId="2" fontId="5" fillId="0" borderId="13" xfId="0" applyNumberFormat="1" applyFont="1" applyBorder="1" applyAlignment="1">
      <alignment horizontal="right" vertical="center"/>
    </xf>
    <xf numFmtId="0" fontId="2" fillId="0" borderId="12" xfId="0" applyFont="1" applyBorder="1" applyAlignment="1" applyProtection="1">
      <alignment shrinkToFit="1"/>
      <protection locked="0"/>
    </xf>
    <xf numFmtId="0" fontId="2" fillId="0" borderId="20" xfId="0" applyFont="1" applyBorder="1" applyAlignment="1" applyProtection="1">
      <alignment shrinkToFit="1"/>
      <protection locked="0"/>
    </xf>
    <xf numFmtId="0" fontId="2" fillId="0" borderId="13" xfId="0" applyFont="1" applyBorder="1" applyAlignment="1" applyProtection="1">
      <alignment shrinkToFit="1"/>
      <protection locked="0"/>
    </xf>
    <xf numFmtId="178" fontId="5" fillId="0" borderId="12" xfId="0" applyNumberFormat="1" applyFont="1" applyBorder="1" applyAlignment="1">
      <alignment horizontal="center"/>
    </xf>
    <xf numFmtId="178" fontId="5" fillId="0" borderId="13" xfId="0" applyNumberFormat="1" applyFont="1" applyBorder="1" applyAlignment="1">
      <alignment horizontal="center"/>
    </xf>
    <xf numFmtId="20" fontId="5" fillId="0" borderId="16" xfId="0" applyNumberFormat="1" applyFont="1" applyBorder="1" applyAlignment="1" applyProtection="1">
      <alignment vertical="center"/>
      <protection hidden="1"/>
    </xf>
    <xf numFmtId="20" fontId="5" fillId="0" borderId="76" xfId="0" applyNumberFormat="1" applyFont="1" applyBorder="1" applyAlignment="1" applyProtection="1">
      <alignment vertical="center"/>
      <protection hidden="1"/>
    </xf>
    <xf numFmtId="20" fontId="5" fillId="0" borderId="81" xfId="0" applyNumberFormat="1" applyFont="1" applyBorder="1" applyAlignment="1">
      <alignment horizontal="right" vertical="center"/>
    </xf>
    <xf numFmtId="20" fontId="5" fillId="0" borderId="16" xfId="0" applyNumberFormat="1" applyFont="1" applyBorder="1" applyAlignment="1">
      <alignment horizontal="right" vertical="center"/>
    </xf>
    <xf numFmtId="2" fontId="5" fillId="0" borderId="19" xfId="0" applyNumberFormat="1" applyFont="1" applyBorder="1" applyAlignment="1">
      <alignment horizontal="right" vertical="center"/>
    </xf>
    <xf numFmtId="2" fontId="5" fillId="0" borderId="14" xfId="0" applyNumberFormat="1" applyFont="1" applyBorder="1" applyAlignment="1">
      <alignment horizontal="right" vertical="center"/>
    </xf>
    <xf numFmtId="20" fontId="5" fillId="0" borderId="77" xfId="0" applyNumberFormat="1" applyFont="1" applyBorder="1" applyAlignment="1">
      <alignment horizontal="right" vertical="center"/>
    </xf>
    <xf numFmtId="2" fontId="5" fillId="0" borderId="74" xfId="0" applyNumberFormat="1" applyFont="1" applyBorder="1" applyAlignment="1">
      <alignment horizontal="right" vertical="center"/>
    </xf>
    <xf numFmtId="2" fontId="5" fillId="0" borderId="75" xfId="0" applyNumberFormat="1" applyFont="1" applyBorder="1" applyAlignment="1">
      <alignment horizontal="right" vertical="center"/>
    </xf>
    <xf numFmtId="0" fontId="2" fillId="0" borderId="74" xfId="0" applyFont="1" applyBorder="1" applyAlignment="1" applyProtection="1">
      <alignment shrinkToFit="1"/>
      <protection locked="0"/>
    </xf>
    <xf numFmtId="0" fontId="2" fillId="0" borderId="112" xfId="0" applyFont="1" applyBorder="1" applyAlignment="1" applyProtection="1">
      <alignment shrinkToFit="1"/>
      <protection locked="0"/>
    </xf>
    <xf numFmtId="0" fontId="2" fillId="0" borderId="75" xfId="0" applyFont="1" applyBorder="1" applyAlignment="1" applyProtection="1">
      <alignment shrinkToFit="1"/>
      <protection locked="0"/>
    </xf>
    <xf numFmtId="0" fontId="10" fillId="2" borderId="2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10" fillId="5" borderId="100" xfId="0" applyFont="1" applyFill="1" applyBorder="1" applyAlignment="1">
      <alignment horizontal="center" vertical="center"/>
    </xf>
    <xf numFmtId="0" fontId="10" fillId="5" borderId="101" xfId="0" applyFont="1" applyFill="1" applyBorder="1" applyAlignment="1">
      <alignment horizontal="center" vertical="center"/>
    </xf>
    <xf numFmtId="0" fontId="10" fillId="2" borderId="7" xfId="0" applyFont="1" applyFill="1" applyBorder="1" applyAlignment="1" applyProtection="1">
      <alignment horizontal="center"/>
      <protection locked="0"/>
    </xf>
    <xf numFmtId="0" fontId="10" fillId="2" borderId="9" xfId="0" applyFont="1" applyFill="1" applyBorder="1" applyAlignment="1" applyProtection="1">
      <alignment horizontal="center"/>
      <protection locked="0"/>
    </xf>
    <xf numFmtId="0" fontId="10" fillId="2" borderId="2" xfId="0" applyFont="1" applyFill="1" applyBorder="1" applyAlignment="1" applyProtection="1">
      <alignment horizontal="center" wrapText="1"/>
      <protection locked="0"/>
    </xf>
    <xf numFmtId="0" fontId="10" fillId="2" borderId="3" xfId="0" applyFont="1" applyFill="1" applyBorder="1" applyAlignment="1">
      <alignment horizontal="center" wrapText="1"/>
    </xf>
    <xf numFmtId="0" fontId="10" fillId="2" borderId="5" xfId="0" applyFont="1" applyFill="1" applyBorder="1" applyAlignment="1">
      <alignment horizontal="center" wrapText="1"/>
    </xf>
    <xf numFmtId="0" fontId="10" fillId="2" borderId="6" xfId="0" applyFont="1" applyFill="1" applyBorder="1" applyAlignment="1">
      <alignment horizontal="center" wrapText="1"/>
    </xf>
    <xf numFmtId="178" fontId="5" fillId="0" borderId="74" xfId="0" applyNumberFormat="1" applyFont="1" applyBorder="1" applyAlignment="1">
      <alignment horizontal="center"/>
    </xf>
    <xf numFmtId="178" fontId="5" fillId="0" borderId="75" xfId="0" applyNumberFormat="1" applyFont="1" applyBorder="1" applyAlignment="1">
      <alignment horizontal="center"/>
    </xf>
    <xf numFmtId="20" fontId="5" fillId="0" borderId="94" xfId="0" applyNumberFormat="1" applyFont="1" applyBorder="1" applyAlignment="1" applyProtection="1">
      <alignment vertical="center"/>
      <protection hidden="1"/>
    </xf>
    <xf numFmtId="20" fontId="5" fillId="0" borderId="93" xfId="0" applyNumberFormat="1" applyFont="1" applyBorder="1" applyAlignment="1" applyProtection="1">
      <alignment vertical="center"/>
      <protection hidden="1"/>
    </xf>
    <xf numFmtId="20" fontId="5" fillId="0" borderId="78" xfId="0" applyNumberFormat="1" applyFont="1" applyBorder="1" applyAlignment="1">
      <alignment horizontal="right" vertical="center"/>
    </xf>
    <xf numFmtId="20" fontId="5" fillId="0" borderId="79" xfId="0" applyNumberFormat="1" applyFont="1" applyBorder="1" applyAlignment="1">
      <alignment horizontal="right" vertical="center"/>
    </xf>
    <xf numFmtId="2" fontId="5" fillId="0" borderId="80" xfId="0" applyNumberFormat="1" applyFont="1" applyBorder="1" applyAlignment="1">
      <alignment horizontal="right" vertical="center"/>
    </xf>
    <xf numFmtId="0" fontId="10" fillId="2" borderId="10" xfId="0" applyFont="1" applyFill="1" applyBorder="1" applyAlignment="1" applyProtection="1">
      <alignment horizontal="center" wrapText="1"/>
      <protection locked="0"/>
    </xf>
    <xf numFmtId="0" fontId="10" fillId="2" borderId="5" xfId="0" applyFont="1" applyFill="1" applyBorder="1" applyAlignment="1" applyProtection="1">
      <alignment horizontal="center" wrapText="1"/>
      <protection locked="0"/>
    </xf>
    <xf numFmtId="0" fontId="10" fillId="2" borderId="11" xfId="0" applyFont="1" applyFill="1" applyBorder="1" applyAlignment="1" applyProtection="1">
      <alignment horizontal="center" wrapText="1"/>
      <protection locked="0"/>
    </xf>
    <xf numFmtId="0" fontId="10" fillId="2" borderId="4" xfId="0" applyFont="1" applyFill="1" applyBorder="1" applyAlignment="1" applyProtection="1">
      <alignment horizontal="center" wrapText="1"/>
      <protection locked="0"/>
    </xf>
    <xf numFmtId="0" fontId="10" fillId="2" borderId="1" xfId="0" applyFont="1" applyFill="1" applyBorder="1" applyAlignment="1">
      <alignment horizontal="center" wrapText="1"/>
    </xf>
    <xf numFmtId="2" fontId="5" fillId="0" borderId="111" xfId="0" applyNumberFormat="1" applyFont="1" applyBorder="1" applyAlignment="1">
      <alignment horizontal="right" vertical="center"/>
    </xf>
    <xf numFmtId="179" fontId="5" fillId="0" borderId="2" xfId="0" applyNumberFormat="1" applyFont="1" applyBorder="1" applyAlignment="1" applyProtection="1">
      <alignment horizontal="left" vertical="center" wrapText="1"/>
      <protection locked="0"/>
    </xf>
    <xf numFmtId="0" fontId="5" fillId="0" borderId="4" xfId="0" applyFont="1" applyBorder="1" applyAlignment="1" applyProtection="1">
      <alignment horizontal="left" vertical="center" wrapText="1"/>
      <protection locked="0"/>
    </xf>
    <xf numFmtId="0" fontId="5" fillId="0" borderId="4" xfId="0" applyFont="1" applyBorder="1" applyAlignment="1">
      <alignment vertical="center" wrapText="1"/>
    </xf>
    <xf numFmtId="0" fontId="2" fillId="0" borderId="3" xfId="0" applyFont="1" applyBorder="1" applyAlignment="1">
      <alignment wrapText="1"/>
    </xf>
    <xf numFmtId="0" fontId="5" fillId="0" borderId="5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>
      <alignment vertical="center" wrapText="1"/>
    </xf>
    <xf numFmtId="0" fontId="2" fillId="0" borderId="6" xfId="0" applyFont="1" applyBorder="1" applyAlignment="1">
      <alignment wrapText="1"/>
    </xf>
    <xf numFmtId="0" fontId="10" fillId="2" borderId="2" xfId="0" applyFont="1" applyFill="1" applyBorder="1" applyAlignment="1" applyProtection="1">
      <alignment horizontal="center" vertical="center"/>
      <protection locked="0"/>
    </xf>
    <xf numFmtId="0" fontId="10" fillId="2" borderId="3" xfId="0" applyFont="1" applyFill="1" applyBorder="1" applyAlignment="1" applyProtection="1">
      <alignment horizontal="center" vertical="center"/>
      <protection locked="0"/>
    </xf>
    <xf numFmtId="0" fontId="10" fillId="2" borderId="5" xfId="0" applyFont="1" applyFill="1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 applyProtection="1">
      <alignment horizontal="center" vertical="center"/>
      <protection locked="0"/>
    </xf>
    <xf numFmtId="0" fontId="10" fillId="2" borderId="8" xfId="0" applyFont="1" applyFill="1" applyBorder="1" applyAlignment="1" applyProtection="1">
      <alignment horizontal="center"/>
      <protection locked="0"/>
    </xf>
    <xf numFmtId="0" fontId="10" fillId="2" borderId="68" xfId="0" applyFont="1" applyFill="1" applyBorder="1" applyAlignment="1" applyProtection="1">
      <alignment horizontal="center" wrapText="1"/>
      <protection locked="0"/>
    </xf>
    <xf numFmtId="0" fontId="10" fillId="2" borderId="69" xfId="0" applyFont="1" applyFill="1" applyBorder="1" applyAlignment="1" applyProtection="1">
      <alignment horizontal="center" wrapText="1"/>
      <protection locked="0"/>
    </xf>
    <xf numFmtId="0" fontId="10" fillId="2" borderId="71" xfId="0" applyFont="1" applyFill="1" applyBorder="1" applyAlignment="1" applyProtection="1">
      <alignment horizontal="center" wrapText="1"/>
      <protection locked="0"/>
    </xf>
    <xf numFmtId="0" fontId="10" fillId="2" borderId="72" xfId="0" applyFont="1" applyFill="1" applyBorder="1" applyAlignment="1" applyProtection="1">
      <alignment horizontal="center" wrapText="1"/>
      <protection locked="0"/>
    </xf>
    <xf numFmtId="0" fontId="10" fillId="2" borderId="70" xfId="0" applyFont="1" applyFill="1" applyBorder="1" applyAlignment="1" applyProtection="1">
      <alignment horizontal="center" wrapText="1"/>
      <protection locked="0"/>
    </xf>
    <xf numFmtId="0" fontId="10" fillId="2" borderId="73" xfId="0" applyFont="1" applyFill="1" applyBorder="1" applyAlignment="1" applyProtection="1">
      <alignment horizontal="center" wrapText="1"/>
      <protection locked="0"/>
    </xf>
    <xf numFmtId="0" fontId="5" fillId="0" borderId="2" xfId="0" applyFont="1" applyBorder="1" applyAlignment="1" applyProtection="1">
      <alignment horizontal="left" vertical="center" shrinkToFit="1"/>
      <protection locked="0"/>
    </xf>
    <xf numFmtId="0" fontId="5" fillId="0" borderId="4" xfId="0" applyFont="1" applyBorder="1" applyAlignment="1" applyProtection="1">
      <alignment horizontal="left" vertical="center" shrinkToFit="1"/>
      <protection locked="0"/>
    </xf>
    <xf numFmtId="0" fontId="5" fillId="0" borderId="4" xfId="0" applyFont="1" applyBorder="1" applyAlignment="1">
      <alignment vertical="center" shrinkToFit="1"/>
    </xf>
    <xf numFmtId="0" fontId="2" fillId="0" borderId="3" xfId="0" applyFont="1" applyBorder="1" applyAlignment="1">
      <alignment shrinkToFit="1"/>
    </xf>
    <xf numFmtId="0" fontId="5" fillId="0" borderId="5" xfId="0" applyFont="1" applyBorder="1" applyAlignment="1" applyProtection="1">
      <alignment horizontal="left" vertical="center" shrinkToFit="1"/>
      <protection locked="0"/>
    </xf>
    <xf numFmtId="0" fontId="5" fillId="0" borderId="1" xfId="0" applyFont="1" applyBorder="1" applyAlignment="1" applyProtection="1">
      <alignment horizontal="left" vertical="center" shrinkToFit="1"/>
      <protection locked="0"/>
    </xf>
    <xf numFmtId="0" fontId="5" fillId="0" borderId="1" xfId="0" applyFont="1" applyBorder="1" applyAlignment="1">
      <alignment vertical="center" shrinkToFit="1"/>
    </xf>
    <xf numFmtId="0" fontId="2" fillId="0" borderId="6" xfId="0" applyFont="1" applyBorder="1" applyAlignment="1">
      <alignment shrinkToFit="1"/>
    </xf>
    <xf numFmtId="0" fontId="25" fillId="0" borderId="0" xfId="0" applyFont="1"/>
    <xf numFmtId="0" fontId="5" fillId="0" borderId="2" xfId="0" applyFont="1" applyBorder="1" applyAlignment="1" applyProtection="1">
      <alignment horizontal="left" vertical="center" wrapText="1"/>
      <protection locked="0"/>
    </xf>
    <xf numFmtId="0" fontId="25" fillId="0" borderId="0" xfId="0" applyFont="1" applyAlignment="1">
      <alignment horizontal="center"/>
    </xf>
    <xf numFmtId="186" fontId="0" fillId="0" borderId="0" xfId="0" applyNumberFormat="1" applyAlignment="1">
      <alignment horizontal="left"/>
    </xf>
    <xf numFmtId="177" fontId="4" fillId="0" borderId="0" xfId="0" applyNumberFormat="1" applyFont="1" applyAlignment="1" applyProtection="1">
      <alignment horizontal="center"/>
      <protection locked="0"/>
    </xf>
    <xf numFmtId="0" fontId="0" fillId="0" borderId="85" xfId="0" applyBorder="1" applyAlignment="1">
      <alignment horizontal="center"/>
    </xf>
    <xf numFmtId="0" fontId="11" fillId="0" borderId="0" xfId="0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11" fillId="0" borderId="85" xfId="0" applyFont="1" applyBorder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196" fontId="0" fillId="0" borderId="0" xfId="0" applyNumberFormat="1"/>
    <xf numFmtId="0" fontId="9" fillId="0" borderId="2" xfId="0" applyFont="1" applyBorder="1" applyAlignment="1" applyProtection="1">
      <alignment horizontal="left" vertical="center" wrapText="1"/>
      <protection locked="0"/>
    </xf>
    <xf numFmtId="0" fontId="9" fillId="0" borderId="4" xfId="0" applyFont="1" applyBorder="1" applyAlignment="1" applyProtection="1">
      <alignment horizontal="left" vertical="center" wrapText="1"/>
      <protection locked="0"/>
    </xf>
    <xf numFmtId="0" fontId="9" fillId="0" borderId="4" xfId="0" applyFont="1" applyBorder="1" applyAlignment="1">
      <alignment vertical="center" wrapText="1"/>
    </xf>
    <xf numFmtId="0" fontId="9" fillId="0" borderId="3" xfId="0" applyFont="1" applyBorder="1" applyAlignment="1">
      <alignment wrapText="1"/>
    </xf>
    <xf numFmtId="0" fontId="9" fillId="0" borderId="5" xfId="0" applyFont="1" applyBorder="1" applyAlignment="1" applyProtection="1">
      <alignment horizontal="left" vertical="center" wrapText="1"/>
      <protection locked="0"/>
    </xf>
    <xf numFmtId="0" fontId="9" fillId="0" borderId="1" xfId="0" applyFont="1" applyBorder="1" applyAlignment="1" applyProtection="1">
      <alignment horizontal="left" vertical="center" wrapText="1"/>
      <protection locked="0"/>
    </xf>
    <xf numFmtId="0" fontId="9" fillId="0" borderId="1" xfId="0" applyFont="1" applyBorder="1" applyAlignment="1">
      <alignment vertical="center" wrapText="1"/>
    </xf>
    <xf numFmtId="0" fontId="9" fillId="0" borderId="6" xfId="0" applyFont="1" applyBorder="1" applyAlignment="1">
      <alignment wrapText="1"/>
    </xf>
    <xf numFmtId="0" fontId="10" fillId="0" borderId="0" xfId="0" applyFont="1" applyAlignment="1">
      <alignment horizontal="right"/>
    </xf>
    <xf numFmtId="0" fontId="0" fillId="0" borderId="0" xfId="0" applyAlignment="1">
      <alignment horizontal="right"/>
    </xf>
    <xf numFmtId="0" fontId="9" fillId="0" borderId="2" xfId="0" applyFont="1" applyBorder="1" applyAlignment="1" applyProtection="1">
      <alignment horizontal="left" vertical="center"/>
      <protection locked="0"/>
    </xf>
    <xf numFmtId="0" fontId="9" fillId="0" borderId="4" xfId="0" applyFont="1" applyBorder="1" applyAlignment="1" applyProtection="1">
      <alignment horizontal="left" vertical="center"/>
      <protection locked="0"/>
    </xf>
    <xf numFmtId="0" fontId="9" fillId="0" borderId="4" xfId="0" applyFont="1" applyBorder="1" applyAlignment="1">
      <alignment vertical="center"/>
    </xf>
    <xf numFmtId="0" fontId="9" fillId="0" borderId="3" xfId="0" applyFont="1" applyBorder="1"/>
    <xf numFmtId="0" fontId="9" fillId="0" borderId="5" xfId="0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>
      <alignment vertical="center"/>
    </xf>
    <xf numFmtId="0" fontId="9" fillId="0" borderId="6" xfId="0" applyFont="1" applyBorder="1"/>
    <xf numFmtId="177" fontId="21" fillId="0" borderId="0" xfId="0" applyNumberFormat="1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19" fillId="0" borderId="1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14" fillId="0" borderId="0" xfId="0" applyFont="1" applyAlignment="1" applyProtection="1">
      <alignment horizontal="right"/>
      <protection locked="0"/>
    </xf>
    <xf numFmtId="181" fontId="6" fillId="0" borderId="14" xfId="0" applyNumberFormat="1" applyFont="1" applyBorder="1" applyAlignment="1" applyProtection="1">
      <alignment horizontal="right"/>
      <protection locked="0"/>
    </xf>
    <xf numFmtId="181" fontId="6" fillId="0" borderId="13" xfId="0" applyNumberFormat="1" applyFont="1" applyBorder="1" applyAlignment="1" applyProtection="1">
      <alignment horizontal="right"/>
      <protection locked="0"/>
    </xf>
    <xf numFmtId="181" fontId="6" fillId="0" borderId="12" xfId="0" applyNumberFormat="1" applyFont="1" applyBorder="1" applyAlignment="1">
      <alignment horizontal="right"/>
    </xf>
    <xf numFmtId="181" fontId="6" fillId="0" borderId="13" xfId="0" applyNumberFormat="1" applyFont="1" applyBorder="1" applyAlignment="1">
      <alignment horizontal="right"/>
    </xf>
    <xf numFmtId="2" fontId="6" fillId="0" borderId="16" xfId="0" applyNumberFormat="1" applyFont="1" applyBorder="1" applyAlignment="1" applyProtection="1">
      <alignment horizontal="right"/>
      <protection locked="0"/>
    </xf>
    <xf numFmtId="2" fontId="6" fillId="0" borderId="16" xfId="0" applyNumberFormat="1" applyFont="1" applyBorder="1" applyAlignment="1">
      <alignment horizontal="right"/>
    </xf>
    <xf numFmtId="0" fontId="6" fillId="0" borderId="20" xfId="0" applyFont="1" applyBorder="1" applyAlignment="1">
      <alignment horizontal="left"/>
    </xf>
    <xf numFmtId="0" fontId="0" fillId="0" borderId="13" xfId="0" applyBorder="1"/>
    <xf numFmtId="0" fontId="6" fillId="0" borderId="12" xfId="0" applyFont="1" applyBorder="1"/>
    <xf numFmtId="0" fontId="6" fillId="0" borderId="20" xfId="0" applyFont="1" applyBorder="1"/>
    <xf numFmtId="0" fontId="6" fillId="0" borderId="13" xfId="0" applyFont="1" applyBorder="1"/>
    <xf numFmtId="178" fontId="6" fillId="0" borderId="74" xfId="0" applyNumberFormat="1" applyFont="1" applyBorder="1" applyAlignment="1" applyProtection="1">
      <alignment horizontal="center"/>
      <protection locked="0"/>
    </xf>
    <xf numFmtId="178" fontId="6" fillId="0" borderId="75" xfId="0" applyNumberFormat="1" applyFont="1" applyBorder="1" applyAlignment="1" applyProtection="1">
      <alignment horizontal="center"/>
      <protection locked="0"/>
    </xf>
    <xf numFmtId="20" fontId="6" fillId="0" borderId="74" xfId="0" applyNumberFormat="1" applyFont="1" applyBorder="1" applyAlignment="1" applyProtection="1">
      <alignment horizontal="right"/>
      <protection locked="0"/>
    </xf>
    <xf numFmtId="20" fontId="6" fillId="0" borderId="75" xfId="0" applyNumberFormat="1" applyFont="1" applyBorder="1" applyAlignment="1" applyProtection="1">
      <alignment horizontal="right"/>
      <protection locked="0"/>
    </xf>
    <xf numFmtId="20" fontId="6" fillId="0" borderId="76" xfId="0" applyNumberFormat="1" applyFont="1" applyBorder="1" applyAlignment="1" applyProtection="1">
      <alignment horizontal="right"/>
      <protection locked="0"/>
    </xf>
    <xf numFmtId="20" fontId="6" fillId="0" borderId="77" xfId="0" applyNumberFormat="1" applyFont="1" applyBorder="1" applyAlignment="1" applyProtection="1">
      <alignment horizontal="right"/>
      <protection locked="0"/>
    </xf>
    <xf numFmtId="20" fontId="6" fillId="0" borderId="78" xfId="0" applyNumberFormat="1" applyFont="1" applyBorder="1" applyAlignment="1">
      <alignment horizontal="right"/>
    </xf>
    <xf numFmtId="20" fontId="6" fillId="0" borderId="79" xfId="0" applyNumberFormat="1" applyFont="1" applyBorder="1" applyAlignment="1">
      <alignment horizontal="right"/>
    </xf>
    <xf numFmtId="180" fontId="6" fillId="0" borderId="74" xfId="0" applyNumberFormat="1" applyFont="1" applyBorder="1" applyAlignment="1">
      <alignment horizontal="right"/>
    </xf>
    <xf numFmtId="180" fontId="6" fillId="0" borderId="80" xfId="0" applyNumberFormat="1" applyFont="1" applyBorder="1" applyAlignment="1">
      <alignment horizontal="right"/>
    </xf>
    <xf numFmtId="178" fontId="6" fillId="0" borderId="12" xfId="0" applyNumberFormat="1" applyFont="1" applyBorder="1" applyAlignment="1" applyProtection="1">
      <alignment horizontal="center"/>
      <protection locked="0"/>
    </xf>
    <xf numFmtId="178" fontId="6" fillId="0" borderId="13" xfId="0" applyNumberFormat="1" applyFont="1" applyBorder="1" applyAlignment="1" applyProtection="1">
      <alignment horizontal="center"/>
      <protection locked="0"/>
    </xf>
    <xf numFmtId="20" fontId="6" fillId="0" borderId="17" xfId="0" applyNumberFormat="1" applyFont="1" applyBorder="1" applyAlignment="1" applyProtection="1">
      <alignment horizontal="right"/>
      <protection locked="0"/>
    </xf>
    <xf numFmtId="20" fontId="6" fillId="0" borderId="18" xfId="0" applyNumberFormat="1" applyFont="1" applyBorder="1" applyAlignment="1" applyProtection="1">
      <alignment horizontal="right"/>
      <protection locked="0"/>
    </xf>
    <xf numFmtId="20" fontId="6" fillId="0" borderId="77" xfId="0" applyNumberFormat="1" applyFont="1" applyBorder="1" applyAlignment="1">
      <alignment horizontal="right"/>
    </xf>
    <xf numFmtId="20" fontId="6" fillId="0" borderId="81" xfId="0" applyNumberFormat="1" applyFont="1" applyBorder="1" applyAlignment="1">
      <alignment horizontal="right"/>
    </xf>
    <xf numFmtId="180" fontId="6" fillId="0" borderId="12" xfId="0" applyNumberFormat="1" applyFont="1" applyBorder="1" applyAlignment="1">
      <alignment horizontal="right"/>
    </xf>
    <xf numFmtId="180" fontId="6" fillId="0" borderId="19" xfId="0" applyNumberFormat="1" applyFont="1" applyBorder="1" applyAlignment="1">
      <alignment horizontal="right"/>
    </xf>
    <xf numFmtId="20" fontId="6" fillId="0" borderId="12" xfId="0" applyNumberFormat="1" applyFont="1" applyBorder="1" applyAlignment="1" applyProtection="1">
      <alignment horizontal="right"/>
      <protection locked="0"/>
    </xf>
    <xf numFmtId="20" fontId="6" fillId="0" borderId="13" xfId="0" applyNumberFormat="1" applyFont="1" applyBorder="1" applyAlignment="1" applyProtection="1">
      <alignment horizontal="right"/>
      <protection locked="0"/>
    </xf>
    <xf numFmtId="181" fontId="6" fillId="0" borderId="20" xfId="0" applyNumberFormat="1" applyFont="1" applyBorder="1" applyAlignment="1">
      <alignment horizontal="right"/>
    </xf>
    <xf numFmtId="181" fontId="0" fillId="0" borderId="13" xfId="0" applyNumberFormat="1" applyBorder="1" applyAlignment="1">
      <alignment horizontal="right"/>
    </xf>
    <xf numFmtId="181" fontId="6" fillId="0" borderId="24" xfId="0" applyNumberFormat="1" applyFont="1" applyBorder="1" applyAlignment="1" applyProtection="1">
      <alignment horizontal="right"/>
      <protection locked="0"/>
    </xf>
    <xf numFmtId="181" fontId="0" fillId="0" borderId="25" xfId="0" applyNumberFormat="1" applyBorder="1" applyAlignment="1">
      <alignment horizontal="right"/>
    </xf>
    <xf numFmtId="181" fontId="6" fillId="0" borderId="23" xfId="0" applyNumberFormat="1" applyFont="1" applyBorder="1" applyAlignment="1">
      <alignment horizontal="right"/>
    </xf>
    <xf numFmtId="181" fontId="6" fillId="0" borderId="25" xfId="0" applyNumberFormat="1" applyFont="1" applyBorder="1" applyAlignment="1">
      <alignment horizontal="right"/>
    </xf>
    <xf numFmtId="181" fontId="6" fillId="0" borderId="24" xfId="0" applyNumberFormat="1" applyFont="1" applyBorder="1" applyAlignment="1">
      <alignment horizontal="right"/>
    </xf>
    <xf numFmtId="0" fontId="6" fillId="0" borderId="23" xfId="0" applyFont="1" applyBorder="1"/>
    <xf numFmtId="0" fontId="6" fillId="0" borderId="24" xfId="0" applyFont="1" applyBorder="1"/>
    <xf numFmtId="0" fontId="6" fillId="0" borderId="25" xfId="0" applyFont="1" applyBorder="1"/>
    <xf numFmtId="20" fontId="6" fillId="0" borderId="82" xfId="0" applyNumberFormat="1" applyFont="1" applyBorder="1" applyAlignment="1" applyProtection="1">
      <alignment horizontal="right"/>
      <protection locked="0"/>
    </xf>
    <xf numFmtId="20" fontId="6" fillId="0" borderId="83" xfId="0" applyNumberFormat="1" applyFont="1" applyBorder="1" applyAlignment="1" applyProtection="1">
      <alignment horizontal="right"/>
      <protection locked="0"/>
    </xf>
    <xf numFmtId="20" fontId="6" fillId="0" borderId="83" xfId="0" applyNumberFormat="1" applyFont="1" applyBorder="1" applyAlignment="1">
      <alignment horizontal="right"/>
    </xf>
    <xf numFmtId="20" fontId="6" fillId="0" borderId="84" xfId="0" applyNumberFormat="1" applyFont="1" applyBorder="1" applyAlignment="1">
      <alignment horizontal="right"/>
    </xf>
    <xf numFmtId="185" fontId="6" fillId="2" borderId="9" xfId="0" applyNumberFormat="1" applyFont="1" applyFill="1" applyBorder="1"/>
    <xf numFmtId="0" fontId="6" fillId="0" borderId="28" xfId="0" applyFont="1" applyBorder="1" applyAlignment="1" applyProtection="1">
      <alignment horizontal="center"/>
      <protection locked="0"/>
    </xf>
    <xf numFmtId="180" fontId="6" fillId="2" borderId="8" xfId="0" applyNumberFormat="1" applyFont="1" applyFill="1" applyBorder="1" applyAlignment="1" applyProtection="1">
      <alignment horizontal="right"/>
      <protection locked="0"/>
    </xf>
    <xf numFmtId="180" fontId="0" fillId="2" borderId="9" xfId="0" applyNumberFormat="1" applyFill="1" applyBorder="1" applyAlignment="1">
      <alignment horizontal="right"/>
    </xf>
    <xf numFmtId="0" fontId="6" fillId="0" borderId="38" xfId="0" applyFont="1" applyBorder="1" applyProtection="1">
      <protection locked="0"/>
    </xf>
    <xf numFmtId="0" fontId="6" fillId="0" borderId="41" xfId="0" applyFont="1" applyBorder="1" applyProtection="1">
      <protection locked="0"/>
    </xf>
    <xf numFmtId="0" fontId="6" fillId="0" borderId="39" xfId="0" applyFont="1" applyBorder="1" applyProtection="1">
      <protection locked="0"/>
    </xf>
    <xf numFmtId="176" fontId="9" fillId="0" borderId="66" xfId="0" applyNumberFormat="1" applyFont="1" applyBorder="1" applyProtection="1">
      <protection locked="0"/>
    </xf>
    <xf numFmtId="176" fontId="9" fillId="0" borderId="41" xfId="0" applyNumberFormat="1" applyFont="1" applyBorder="1" applyProtection="1">
      <protection locked="0"/>
    </xf>
    <xf numFmtId="182" fontId="6" fillId="0" borderId="41" xfId="0" applyNumberFormat="1" applyFont="1" applyBorder="1" applyAlignment="1">
      <alignment horizontal="center"/>
    </xf>
    <xf numFmtId="0" fontId="6" fillId="0" borderId="46" xfId="0" applyFont="1" applyBorder="1" applyProtection="1">
      <protection locked="0"/>
    </xf>
    <xf numFmtId="0" fontId="6" fillId="0" borderId="47" xfId="0" applyFont="1" applyBorder="1" applyProtection="1">
      <protection locked="0"/>
    </xf>
    <xf numFmtId="0" fontId="6" fillId="0" borderId="51" xfId="0" applyFont="1" applyBorder="1" applyProtection="1">
      <protection locked="0"/>
    </xf>
    <xf numFmtId="176" fontId="5" fillId="0" borderId="67" xfId="0" applyNumberFormat="1" applyFont="1" applyBorder="1" applyProtection="1">
      <protection locked="0"/>
    </xf>
    <xf numFmtId="176" fontId="5" fillId="0" borderId="47" xfId="0" applyNumberFormat="1" applyFont="1" applyBorder="1" applyProtection="1">
      <protection locked="0"/>
    </xf>
    <xf numFmtId="182" fontId="6" fillId="0" borderId="47" xfId="0" applyNumberFormat="1" applyFont="1" applyBorder="1" applyAlignment="1">
      <alignment horizontal="center"/>
    </xf>
    <xf numFmtId="0" fontId="6" fillId="0" borderId="52" xfId="0" applyFont="1" applyBorder="1" applyProtection="1">
      <protection locked="0"/>
    </xf>
    <xf numFmtId="0" fontId="6" fillId="0" borderId="54" xfId="0" applyFont="1" applyBorder="1" applyProtection="1">
      <protection locked="0"/>
    </xf>
    <xf numFmtId="0" fontId="6" fillId="0" borderId="53" xfId="0" applyFont="1" applyBorder="1" applyProtection="1">
      <protection locked="0"/>
    </xf>
    <xf numFmtId="182" fontId="6" fillId="0" borderId="54" xfId="0" applyNumberFormat="1" applyFont="1" applyBorder="1" applyAlignment="1">
      <alignment horizontal="center"/>
    </xf>
    <xf numFmtId="176" fontId="6" fillId="0" borderId="55" xfId="0" applyNumberFormat="1" applyFont="1" applyBorder="1" applyProtection="1">
      <protection locked="0"/>
    </xf>
    <xf numFmtId="176" fontId="6" fillId="0" borderId="56" xfId="0" applyNumberFormat="1" applyFont="1" applyBorder="1" applyProtection="1">
      <protection locked="0"/>
    </xf>
    <xf numFmtId="176" fontId="6" fillId="0" borderId="57" xfId="0" applyNumberFormat="1" applyFont="1" applyBorder="1" applyProtection="1">
      <protection locked="0"/>
    </xf>
    <xf numFmtId="0" fontId="6" fillId="0" borderId="61" xfId="0" applyFont="1" applyBorder="1" applyAlignment="1">
      <alignment horizontal="center"/>
    </xf>
    <xf numFmtId="0" fontId="6" fillId="0" borderId="62" xfId="0" applyFont="1" applyBorder="1" applyAlignment="1">
      <alignment horizontal="center"/>
    </xf>
    <xf numFmtId="0" fontId="6" fillId="0" borderId="63" xfId="0" applyFont="1" applyBorder="1" applyAlignment="1">
      <alignment horizontal="center"/>
    </xf>
    <xf numFmtId="176" fontId="6" fillId="0" borderId="64" xfId="0" applyNumberFormat="1" applyFont="1" applyBorder="1"/>
    <xf numFmtId="176" fontId="6" fillId="0" borderId="62" xfId="0" applyNumberFormat="1" applyFont="1" applyBorder="1"/>
    <xf numFmtId="176" fontId="6" fillId="0" borderId="65" xfId="0" applyNumberFormat="1" applyFont="1" applyBorder="1"/>
    <xf numFmtId="176" fontId="8" fillId="0" borderId="0" xfId="0" applyNumberFormat="1" applyFont="1" applyAlignment="1">
      <alignment horizontal="center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10" fillId="0" borderId="4" xfId="0" applyFont="1" applyBorder="1" applyAlignment="1" applyProtection="1">
      <alignment horizontal="center" vertical="center"/>
      <protection locked="0"/>
    </xf>
    <xf numFmtId="0" fontId="10" fillId="0" borderId="3" xfId="0" applyFont="1" applyBorder="1" applyAlignment="1" applyProtection="1">
      <alignment horizontal="center" vertical="center"/>
      <protection locked="0"/>
    </xf>
    <xf numFmtId="0" fontId="10" fillId="0" borderId="60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26" xfId="0" applyFont="1" applyBorder="1" applyAlignment="1" applyProtection="1">
      <alignment horizontal="center" vertical="center"/>
      <protection locked="0"/>
    </xf>
    <xf numFmtId="0" fontId="10" fillId="0" borderId="5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6" xfId="0" applyFont="1" applyBorder="1" applyAlignment="1" applyProtection="1">
      <alignment horizontal="center" vertical="center"/>
      <protection locked="0"/>
    </xf>
    <xf numFmtId="176" fontId="9" fillId="0" borderId="7" xfId="0" applyNumberFormat="1" applyFont="1" applyBorder="1" applyProtection="1">
      <protection locked="0"/>
    </xf>
    <xf numFmtId="176" fontId="9" fillId="0" borderId="8" xfId="0" applyNumberFormat="1" applyFont="1" applyBorder="1" applyProtection="1">
      <protection locked="0"/>
    </xf>
    <xf numFmtId="176" fontId="9" fillId="0" borderId="59" xfId="0" applyNumberFormat="1" applyFont="1" applyBorder="1" applyProtection="1">
      <protection locked="0"/>
    </xf>
  </cellXfs>
  <cellStyles count="7">
    <cellStyle name="ハイパーリンク" xfId="6" builtinId="8"/>
    <cellStyle name="桁区切り" xfId="5" builtinId="6"/>
    <cellStyle name="桁区切り 2" xfId="1" xr:uid="{00000000-0005-0000-0000-000000000000}"/>
    <cellStyle name="桁区切り 2 2" xfId="3" xr:uid="{00000000-0005-0000-0000-000001000000}"/>
    <cellStyle name="標準" xfId="0" builtinId="0"/>
    <cellStyle name="標準 2" xfId="2" xr:uid="{00000000-0005-0000-0000-000003000000}"/>
    <cellStyle name="標準 2 2" xfId="4" xr:uid="{00000000-0005-0000-0000-000004000000}"/>
  </cellStyles>
  <dxfs count="376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ill>
        <patternFill>
          <fgColor indexed="64"/>
          <bgColor rgb="FFF9CFD6"/>
        </patternFill>
      </fill>
    </dxf>
    <dxf>
      <fill>
        <patternFill>
          <fgColor indexed="64"/>
          <bgColor rgb="FFCFF9F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ill>
        <patternFill>
          <fgColor indexed="64"/>
          <bgColor rgb="FFCFF9F9"/>
        </patternFill>
      </fill>
    </dxf>
    <dxf>
      <fill>
        <patternFill>
          <fgColor indexed="64"/>
          <bgColor rgb="FFF9CFD6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ill>
        <patternFill>
          <fgColor indexed="64"/>
          <bgColor rgb="FFF9CFD6"/>
        </patternFill>
      </fill>
    </dxf>
    <dxf>
      <fill>
        <patternFill>
          <fgColor indexed="64"/>
          <bgColor rgb="FFCFF9F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ill>
        <patternFill>
          <fgColor indexed="64"/>
          <bgColor rgb="FFF9CFD6"/>
        </patternFill>
      </fill>
    </dxf>
    <dxf>
      <fill>
        <patternFill>
          <fgColor indexed="64"/>
          <bgColor rgb="FFCFF9F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ill>
        <patternFill>
          <fgColor indexed="64"/>
          <bgColor rgb="FFF9CFD6"/>
        </patternFill>
      </fill>
    </dxf>
    <dxf>
      <fill>
        <patternFill>
          <fgColor indexed="64"/>
          <bgColor rgb="FFCFF9F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ill>
        <patternFill>
          <fgColor indexed="64"/>
          <bgColor rgb="FFF9CFD6"/>
        </patternFill>
      </fill>
    </dxf>
    <dxf>
      <fill>
        <patternFill>
          <fgColor indexed="64"/>
          <bgColor rgb="FFCFF9F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ill>
        <patternFill>
          <fgColor indexed="64"/>
          <bgColor rgb="FFF9CFD6"/>
        </patternFill>
      </fill>
    </dxf>
    <dxf>
      <fill>
        <patternFill>
          <fgColor indexed="64"/>
          <bgColor rgb="FFCFF9F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ill>
        <patternFill>
          <fgColor indexed="64"/>
          <bgColor rgb="FFF9CFD6"/>
        </patternFill>
      </fill>
    </dxf>
    <dxf>
      <fill>
        <patternFill>
          <fgColor indexed="64"/>
          <bgColor rgb="FFCFF9F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ill>
        <patternFill>
          <fgColor indexed="64"/>
          <bgColor rgb="FFF9CFD6"/>
        </patternFill>
      </fill>
    </dxf>
    <dxf>
      <fill>
        <patternFill>
          <fgColor indexed="64"/>
          <bgColor rgb="FFCFF9F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ill>
        <patternFill>
          <fgColor indexed="64"/>
          <bgColor rgb="FFF9CFD6"/>
        </patternFill>
      </fill>
    </dxf>
    <dxf>
      <fill>
        <patternFill>
          <fgColor indexed="64"/>
          <bgColor rgb="FFCFF9F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ill>
        <patternFill>
          <fgColor indexed="64"/>
          <bgColor rgb="FFF9CFD6"/>
        </patternFill>
      </fill>
    </dxf>
    <dxf>
      <fill>
        <patternFill>
          <fgColor indexed="64"/>
          <bgColor rgb="FFCFF9F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CFF9F9"/>
      </font>
      <fill>
        <patternFill>
          <fgColor indexed="64"/>
          <bgColor rgb="FFCFF9F9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FFFFF"/>
      </font>
      <fill>
        <patternFill>
          <fgColor indexed="64"/>
          <bgColor rgb="FFFFFFFF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ont>
        <color rgb="FFF9CFD6"/>
      </font>
      <fill>
        <patternFill>
          <fgColor indexed="64"/>
          <bgColor rgb="FFF9CFD6"/>
        </patternFill>
      </fill>
    </dxf>
    <dxf>
      <fill>
        <patternFill>
          <fgColor indexed="64"/>
          <bgColor rgb="FFF9CFD6"/>
        </patternFill>
      </fill>
    </dxf>
    <dxf>
      <fill>
        <patternFill>
          <fgColor indexed="64"/>
          <bgColor rgb="FFCFF9F9"/>
        </patternFill>
      </fill>
    </dxf>
  </dxfs>
  <tableStyles count="0" defaultTableStyle="TableStyleMedium2" defaultPivotStyle="PivotStyleLight16"/>
  <colors>
    <mruColors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6350</xdr:colOff>
      <xdr:row>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B3C725-7543-4BF9-A2F0-FE2582FAD6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20875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61793" name="Button 1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00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61794" name="Button 2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:a16="http://schemas.microsoft.com/office/drawing/2014/main" id="{00000000-0008-0000-0000-00000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61795" name="Button 3" hidden="1">
              <a:extLst>
                <a:ext uri="{63B3BB69-23CF-44E3-9099-C40C66FF867C}">
                  <a14:compatExt spid="_x0000_s161795"/>
                </a:ext>
                <a:ext uri="{FF2B5EF4-FFF2-40B4-BE49-F238E27FC236}">
                  <a16:creationId xmlns:a16="http://schemas.microsoft.com/office/drawing/2014/main" id="{00000000-0008-0000-0000-00000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61796" name="Button 4" hidden="1">
              <a:extLst>
                <a:ext uri="{63B3BB69-23CF-44E3-9099-C40C66FF867C}">
                  <a14:compatExt spid="_x0000_s161796"/>
                </a:ext>
                <a:ext uri="{FF2B5EF4-FFF2-40B4-BE49-F238E27FC236}">
                  <a16:creationId xmlns:a16="http://schemas.microsoft.com/office/drawing/2014/main" id="{00000000-0008-0000-0000-00000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61797" name="Button 5" hidden="1">
              <a:extLst>
                <a:ext uri="{63B3BB69-23CF-44E3-9099-C40C66FF867C}">
                  <a14:compatExt spid="_x0000_s161797"/>
                </a:ext>
                <a:ext uri="{FF2B5EF4-FFF2-40B4-BE49-F238E27FC236}">
                  <a16:creationId xmlns:a16="http://schemas.microsoft.com/office/drawing/2014/main" id="{00000000-0008-0000-0000-00000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61798" name="Button 6" hidden="1">
              <a:extLst>
                <a:ext uri="{63B3BB69-23CF-44E3-9099-C40C66FF867C}">
                  <a14:compatExt spid="_x0000_s161798"/>
                </a:ext>
                <a:ext uri="{FF2B5EF4-FFF2-40B4-BE49-F238E27FC236}">
                  <a16:creationId xmlns:a16="http://schemas.microsoft.com/office/drawing/2014/main" id="{00000000-0008-0000-0000-00000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25</xdr:row>
          <xdr:rowOff>69850</xdr:rowOff>
        </xdr:from>
        <xdr:to>
          <xdr:col>28</xdr:col>
          <xdr:colOff>266700</xdr:colOff>
          <xdr:row>26</xdr:row>
          <xdr:rowOff>146050</xdr:rowOff>
        </xdr:to>
        <xdr:sp macro="" textlink="">
          <xdr:nvSpPr>
            <xdr:cNvPr id="161799" name="Button 7" hidden="1">
              <a:extLst>
                <a:ext uri="{63B3BB69-23CF-44E3-9099-C40C66FF867C}">
                  <a14:compatExt spid="_x0000_s161799"/>
                </a:ext>
                <a:ext uri="{FF2B5EF4-FFF2-40B4-BE49-F238E27FC236}">
                  <a16:creationId xmlns:a16="http://schemas.microsoft.com/office/drawing/2014/main" id="{00000000-0008-0000-0000-000007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533400</xdr:colOff>
          <xdr:row>32</xdr:row>
          <xdr:rowOff>31750</xdr:rowOff>
        </xdr:from>
        <xdr:to>
          <xdr:col>28</xdr:col>
          <xdr:colOff>419100</xdr:colOff>
          <xdr:row>33</xdr:row>
          <xdr:rowOff>114300</xdr:rowOff>
        </xdr:to>
        <xdr:sp macro="" textlink="">
          <xdr:nvSpPr>
            <xdr:cNvPr id="161800" name="Button 8" hidden="1">
              <a:extLst>
                <a:ext uri="{63B3BB69-23CF-44E3-9099-C40C66FF867C}">
                  <a14:compatExt spid="_x0000_s161800"/>
                </a:ext>
                <a:ext uri="{FF2B5EF4-FFF2-40B4-BE49-F238E27FC236}">
                  <a16:creationId xmlns:a16="http://schemas.microsoft.com/office/drawing/2014/main" id="{00000000-0008-0000-0000-000008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250190</xdr:colOff>
      <xdr:row>2</xdr:row>
      <xdr:rowOff>63500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8D37CB7-3671-4D1D-A8B1-7AE2B57DF3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7540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35</xdr:row>
          <xdr:rowOff>69850</xdr:rowOff>
        </xdr:from>
        <xdr:to>
          <xdr:col>29</xdr:col>
          <xdr:colOff>603250</xdr:colOff>
          <xdr:row>40</xdr:row>
          <xdr:rowOff>114300</xdr:rowOff>
        </xdr:to>
        <xdr:sp macro="" textlink="">
          <xdr:nvSpPr>
            <xdr:cNvPr id="161801" name="Button 9" hidden="1">
              <a:extLst>
                <a:ext uri="{63B3BB69-23CF-44E3-9099-C40C66FF867C}">
                  <a14:compatExt spid="_x0000_s161801"/>
                </a:ext>
                <a:ext uri="{FF2B5EF4-FFF2-40B4-BE49-F238E27FC236}">
                  <a16:creationId xmlns:a16="http://schemas.microsoft.com/office/drawing/2014/main" id="{00000000-0008-0000-0000-000009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6月以降のシートを作成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59</xdr:row>
          <xdr:rowOff>19050</xdr:rowOff>
        </xdr:from>
        <xdr:to>
          <xdr:col>26</xdr:col>
          <xdr:colOff>673100</xdr:colOff>
          <xdr:row>60</xdr:row>
          <xdr:rowOff>139700</xdr:rowOff>
        </xdr:to>
        <xdr:sp macro="" textlink="">
          <xdr:nvSpPr>
            <xdr:cNvPr id="161802" name="Button 10" hidden="1">
              <a:extLst>
                <a:ext uri="{63B3BB69-23CF-44E3-9099-C40C66FF867C}">
                  <a14:compatExt spid="_x0000_s161802"/>
                </a:ext>
                <a:ext uri="{FF2B5EF4-FFF2-40B4-BE49-F238E27FC236}">
                  <a16:creationId xmlns:a16="http://schemas.microsoft.com/office/drawing/2014/main" id="{00000000-0008-0000-0000-00000A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61</xdr:row>
          <xdr:rowOff>19050</xdr:rowOff>
        </xdr:from>
        <xdr:to>
          <xdr:col>26</xdr:col>
          <xdr:colOff>673100</xdr:colOff>
          <xdr:row>62</xdr:row>
          <xdr:rowOff>152400</xdr:rowOff>
        </xdr:to>
        <xdr:sp macro="" textlink="">
          <xdr:nvSpPr>
            <xdr:cNvPr id="161803" name="Button 11" hidden="1">
              <a:extLst>
                <a:ext uri="{63B3BB69-23CF-44E3-9099-C40C66FF867C}">
                  <a14:compatExt spid="_x0000_s161803"/>
                </a:ext>
                <a:ext uri="{FF2B5EF4-FFF2-40B4-BE49-F238E27FC236}">
                  <a16:creationId xmlns:a16="http://schemas.microsoft.com/office/drawing/2014/main" id="{00000000-0008-0000-0000-00000B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69850</xdr:colOff>
          <xdr:row>63</xdr:row>
          <xdr:rowOff>31750</xdr:rowOff>
        </xdr:from>
        <xdr:to>
          <xdr:col>26</xdr:col>
          <xdr:colOff>679450</xdr:colOff>
          <xdr:row>64</xdr:row>
          <xdr:rowOff>171450</xdr:rowOff>
        </xdr:to>
        <xdr:sp macro="" textlink="">
          <xdr:nvSpPr>
            <xdr:cNvPr id="161804" name="Button 12" hidden="1">
              <a:extLst>
                <a:ext uri="{63B3BB69-23CF-44E3-9099-C40C66FF867C}">
                  <a14:compatExt spid="_x0000_s161804"/>
                </a:ext>
                <a:ext uri="{FF2B5EF4-FFF2-40B4-BE49-F238E27FC236}">
                  <a16:creationId xmlns:a16="http://schemas.microsoft.com/office/drawing/2014/main" id="{00000000-0008-0000-0000-00000C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146050</xdr:colOff>
          <xdr:row>65</xdr:row>
          <xdr:rowOff>69850</xdr:rowOff>
        </xdr:from>
        <xdr:to>
          <xdr:col>26</xdr:col>
          <xdr:colOff>641350</xdr:colOff>
          <xdr:row>66</xdr:row>
          <xdr:rowOff>152400</xdr:rowOff>
        </xdr:to>
        <xdr:sp macro="" textlink="">
          <xdr:nvSpPr>
            <xdr:cNvPr id="161805" name="Button 13" hidden="1">
              <a:extLst>
                <a:ext uri="{63B3BB69-23CF-44E3-9099-C40C66FF867C}">
                  <a14:compatExt spid="_x0000_s161805"/>
                </a:ext>
                <a:ext uri="{FF2B5EF4-FFF2-40B4-BE49-F238E27FC236}">
                  <a16:creationId xmlns:a16="http://schemas.microsoft.com/office/drawing/2014/main" id="{00000000-0008-0000-0000-00000D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67</xdr:row>
          <xdr:rowOff>88900</xdr:rowOff>
        </xdr:from>
        <xdr:to>
          <xdr:col>26</xdr:col>
          <xdr:colOff>666750</xdr:colOff>
          <xdr:row>69</xdr:row>
          <xdr:rowOff>12700</xdr:rowOff>
        </xdr:to>
        <xdr:sp macro="" textlink="">
          <xdr:nvSpPr>
            <xdr:cNvPr id="161806" name="Button 14" hidden="1">
              <a:extLst>
                <a:ext uri="{63B3BB69-23CF-44E3-9099-C40C66FF867C}">
                  <a14:compatExt spid="_x0000_s161806"/>
                </a:ext>
                <a:ext uri="{FF2B5EF4-FFF2-40B4-BE49-F238E27FC236}">
                  <a16:creationId xmlns:a16="http://schemas.microsoft.com/office/drawing/2014/main" id="{00000000-0008-0000-0000-00000E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6350</xdr:colOff>
      <xdr:row>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8B8FC9-9633-4687-8858-4EC983F5A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20875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60769" name="Button 1" hidden="1">
              <a:extLst>
                <a:ext uri="{63B3BB69-23CF-44E3-9099-C40C66FF867C}">
                  <a14:compatExt spid="_x0000_s160769"/>
                </a:ext>
                <a:ext uri="{FF2B5EF4-FFF2-40B4-BE49-F238E27FC236}">
                  <a16:creationId xmlns:a16="http://schemas.microsoft.com/office/drawing/2014/main" id="{00000000-0008-0000-0100-000001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60770" name="Button 2" hidden="1">
              <a:extLst>
                <a:ext uri="{63B3BB69-23CF-44E3-9099-C40C66FF867C}">
                  <a14:compatExt spid="_x0000_s160770"/>
                </a:ext>
                <a:ext uri="{FF2B5EF4-FFF2-40B4-BE49-F238E27FC236}">
                  <a16:creationId xmlns:a16="http://schemas.microsoft.com/office/drawing/2014/main" id="{00000000-0008-0000-0100-000002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60771" name="Button 3" hidden="1">
              <a:extLst>
                <a:ext uri="{63B3BB69-23CF-44E3-9099-C40C66FF867C}">
                  <a14:compatExt spid="_x0000_s160771"/>
                </a:ext>
                <a:ext uri="{FF2B5EF4-FFF2-40B4-BE49-F238E27FC236}">
                  <a16:creationId xmlns:a16="http://schemas.microsoft.com/office/drawing/2014/main" id="{00000000-0008-0000-0100-000003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60772" name="Button 4" hidden="1">
              <a:extLst>
                <a:ext uri="{63B3BB69-23CF-44E3-9099-C40C66FF867C}">
                  <a14:compatExt spid="_x0000_s160772"/>
                </a:ext>
                <a:ext uri="{FF2B5EF4-FFF2-40B4-BE49-F238E27FC236}">
                  <a16:creationId xmlns:a16="http://schemas.microsoft.com/office/drawing/2014/main" id="{00000000-0008-0000-0100-000004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60773" name="Button 5" hidden="1">
              <a:extLst>
                <a:ext uri="{63B3BB69-23CF-44E3-9099-C40C66FF867C}">
                  <a14:compatExt spid="_x0000_s160773"/>
                </a:ext>
                <a:ext uri="{FF2B5EF4-FFF2-40B4-BE49-F238E27FC236}">
                  <a16:creationId xmlns:a16="http://schemas.microsoft.com/office/drawing/2014/main" id="{00000000-0008-0000-0100-000005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60774" name="Button 6" hidden="1">
              <a:extLst>
                <a:ext uri="{63B3BB69-23CF-44E3-9099-C40C66FF867C}">
                  <a14:compatExt spid="_x0000_s160774"/>
                </a:ext>
                <a:ext uri="{FF2B5EF4-FFF2-40B4-BE49-F238E27FC236}">
                  <a16:creationId xmlns:a16="http://schemas.microsoft.com/office/drawing/2014/main" id="{00000000-0008-0000-0100-000006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25</xdr:row>
          <xdr:rowOff>69850</xdr:rowOff>
        </xdr:from>
        <xdr:to>
          <xdr:col>28</xdr:col>
          <xdr:colOff>266700</xdr:colOff>
          <xdr:row>26</xdr:row>
          <xdr:rowOff>146050</xdr:rowOff>
        </xdr:to>
        <xdr:sp macro="" textlink="">
          <xdr:nvSpPr>
            <xdr:cNvPr id="160775" name="Button 7" hidden="1">
              <a:extLst>
                <a:ext uri="{63B3BB69-23CF-44E3-9099-C40C66FF867C}">
                  <a14:compatExt spid="_x0000_s160775"/>
                </a:ext>
                <a:ext uri="{FF2B5EF4-FFF2-40B4-BE49-F238E27FC236}">
                  <a16:creationId xmlns:a16="http://schemas.microsoft.com/office/drawing/2014/main" id="{00000000-0008-0000-0100-000007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533400</xdr:colOff>
          <xdr:row>32</xdr:row>
          <xdr:rowOff>31750</xdr:rowOff>
        </xdr:from>
        <xdr:to>
          <xdr:col>28</xdr:col>
          <xdr:colOff>419100</xdr:colOff>
          <xdr:row>33</xdr:row>
          <xdr:rowOff>114300</xdr:rowOff>
        </xdr:to>
        <xdr:sp macro="" textlink="">
          <xdr:nvSpPr>
            <xdr:cNvPr id="160776" name="Button 8" hidden="1">
              <a:extLst>
                <a:ext uri="{63B3BB69-23CF-44E3-9099-C40C66FF867C}">
                  <a14:compatExt spid="_x0000_s160776"/>
                </a:ext>
                <a:ext uri="{FF2B5EF4-FFF2-40B4-BE49-F238E27FC236}">
                  <a16:creationId xmlns:a16="http://schemas.microsoft.com/office/drawing/2014/main" id="{00000000-0008-0000-0100-000008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250190</xdr:colOff>
      <xdr:row>2</xdr:row>
      <xdr:rowOff>63500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8D181E45-F2A4-47FB-A9AD-A68AB01B4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7540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35</xdr:row>
          <xdr:rowOff>69850</xdr:rowOff>
        </xdr:from>
        <xdr:to>
          <xdr:col>29</xdr:col>
          <xdr:colOff>603250</xdr:colOff>
          <xdr:row>40</xdr:row>
          <xdr:rowOff>114300</xdr:rowOff>
        </xdr:to>
        <xdr:sp macro="" textlink="">
          <xdr:nvSpPr>
            <xdr:cNvPr id="160777" name="Button 9" hidden="1">
              <a:extLst>
                <a:ext uri="{63B3BB69-23CF-44E3-9099-C40C66FF867C}">
                  <a14:compatExt spid="_x0000_s160777"/>
                </a:ext>
                <a:ext uri="{FF2B5EF4-FFF2-40B4-BE49-F238E27FC236}">
                  <a16:creationId xmlns:a16="http://schemas.microsoft.com/office/drawing/2014/main" id="{00000000-0008-0000-0100-000009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6月以降のシートを作成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59</xdr:row>
          <xdr:rowOff>19050</xdr:rowOff>
        </xdr:from>
        <xdr:to>
          <xdr:col>26</xdr:col>
          <xdr:colOff>673100</xdr:colOff>
          <xdr:row>60</xdr:row>
          <xdr:rowOff>139700</xdr:rowOff>
        </xdr:to>
        <xdr:sp macro="" textlink="">
          <xdr:nvSpPr>
            <xdr:cNvPr id="160778" name="Button 10" hidden="1">
              <a:extLst>
                <a:ext uri="{63B3BB69-23CF-44E3-9099-C40C66FF867C}">
                  <a14:compatExt spid="_x0000_s160778"/>
                </a:ext>
                <a:ext uri="{FF2B5EF4-FFF2-40B4-BE49-F238E27FC236}">
                  <a16:creationId xmlns:a16="http://schemas.microsoft.com/office/drawing/2014/main" id="{00000000-0008-0000-0100-00000A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61</xdr:row>
          <xdr:rowOff>19050</xdr:rowOff>
        </xdr:from>
        <xdr:to>
          <xdr:col>26</xdr:col>
          <xdr:colOff>673100</xdr:colOff>
          <xdr:row>62</xdr:row>
          <xdr:rowOff>152400</xdr:rowOff>
        </xdr:to>
        <xdr:sp macro="" textlink="">
          <xdr:nvSpPr>
            <xdr:cNvPr id="160779" name="Button 11" hidden="1">
              <a:extLst>
                <a:ext uri="{63B3BB69-23CF-44E3-9099-C40C66FF867C}">
                  <a14:compatExt spid="_x0000_s160779"/>
                </a:ext>
                <a:ext uri="{FF2B5EF4-FFF2-40B4-BE49-F238E27FC236}">
                  <a16:creationId xmlns:a16="http://schemas.microsoft.com/office/drawing/2014/main" id="{00000000-0008-0000-0100-00000B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69850</xdr:colOff>
          <xdr:row>63</xdr:row>
          <xdr:rowOff>31750</xdr:rowOff>
        </xdr:from>
        <xdr:to>
          <xdr:col>26</xdr:col>
          <xdr:colOff>679450</xdr:colOff>
          <xdr:row>64</xdr:row>
          <xdr:rowOff>171450</xdr:rowOff>
        </xdr:to>
        <xdr:sp macro="" textlink="">
          <xdr:nvSpPr>
            <xdr:cNvPr id="160780" name="Button 12" hidden="1">
              <a:extLst>
                <a:ext uri="{63B3BB69-23CF-44E3-9099-C40C66FF867C}">
                  <a14:compatExt spid="_x0000_s160780"/>
                </a:ext>
                <a:ext uri="{FF2B5EF4-FFF2-40B4-BE49-F238E27FC236}">
                  <a16:creationId xmlns:a16="http://schemas.microsoft.com/office/drawing/2014/main" id="{00000000-0008-0000-0100-00000C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146050</xdr:colOff>
          <xdr:row>65</xdr:row>
          <xdr:rowOff>69850</xdr:rowOff>
        </xdr:from>
        <xdr:to>
          <xdr:col>26</xdr:col>
          <xdr:colOff>641350</xdr:colOff>
          <xdr:row>66</xdr:row>
          <xdr:rowOff>152400</xdr:rowOff>
        </xdr:to>
        <xdr:sp macro="" textlink="">
          <xdr:nvSpPr>
            <xdr:cNvPr id="160781" name="Button 13" hidden="1">
              <a:extLst>
                <a:ext uri="{63B3BB69-23CF-44E3-9099-C40C66FF867C}">
                  <a14:compatExt spid="_x0000_s160781"/>
                </a:ext>
                <a:ext uri="{FF2B5EF4-FFF2-40B4-BE49-F238E27FC236}">
                  <a16:creationId xmlns:a16="http://schemas.microsoft.com/office/drawing/2014/main" id="{00000000-0008-0000-0100-00000D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67</xdr:row>
          <xdr:rowOff>88900</xdr:rowOff>
        </xdr:from>
        <xdr:to>
          <xdr:col>26</xdr:col>
          <xdr:colOff>666750</xdr:colOff>
          <xdr:row>69</xdr:row>
          <xdr:rowOff>12700</xdr:rowOff>
        </xdr:to>
        <xdr:sp macro="" textlink="">
          <xdr:nvSpPr>
            <xdr:cNvPr id="160782" name="Button 14" hidden="1">
              <a:extLst>
                <a:ext uri="{63B3BB69-23CF-44E3-9099-C40C66FF867C}">
                  <a14:compatExt spid="_x0000_s160782"/>
                </a:ext>
                <a:ext uri="{FF2B5EF4-FFF2-40B4-BE49-F238E27FC236}">
                  <a16:creationId xmlns:a16="http://schemas.microsoft.com/office/drawing/2014/main" id="{00000000-0008-0000-0100-00000E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6350</xdr:colOff>
      <xdr:row>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643F63-AF4C-4367-9AFA-F9BB05643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20875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02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59746" name="Button 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02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59747" name="Button 3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00000000-0008-0000-0200-00000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59748" name="Button 4" hidden="1">
              <a:extLst>
                <a:ext uri="{63B3BB69-23CF-44E3-9099-C40C66FF867C}">
                  <a14:compatExt spid="_x0000_s159748"/>
                </a:ext>
                <a:ext uri="{FF2B5EF4-FFF2-40B4-BE49-F238E27FC236}">
                  <a16:creationId xmlns:a16="http://schemas.microsoft.com/office/drawing/2014/main" id="{00000000-0008-0000-0200-00000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59749" name="Button 5" hidden="1">
              <a:extLst>
                <a:ext uri="{63B3BB69-23CF-44E3-9099-C40C66FF867C}">
                  <a14:compatExt spid="_x0000_s159749"/>
                </a:ext>
                <a:ext uri="{FF2B5EF4-FFF2-40B4-BE49-F238E27FC236}">
                  <a16:creationId xmlns:a16="http://schemas.microsoft.com/office/drawing/2014/main" id="{00000000-0008-0000-0200-000005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59750" name="Button 6" hidden="1">
              <a:extLst>
                <a:ext uri="{63B3BB69-23CF-44E3-9099-C40C66FF867C}">
                  <a14:compatExt spid="_x0000_s159750"/>
                </a:ext>
                <a:ext uri="{FF2B5EF4-FFF2-40B4-BE49-F238E27FC236}">
                  <a16:creationId xmlns:a16="http://schemas.microsoft.com/office/drawing/2014/main" id="{00000000-0008-0000-0200-000006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25</xdr:row>
          <xdr:rowOff>69850</xdr:rowOff>
        </xdr:from>
        <xdr:to>
          <xdr:col>28</xdr:col>
          <xdr:colOff>266700</xdr:colOff>
          <xdr:row>26</xdr:row>
          <xdr:rowOff>146050</xdr:rowOff>
        </xdr:to>
        <xdr:sp macro="" textlink="">
          <xdr:nvSpPr>
            <xdr:cNvPr id="159751" name="Button 7" hidden="1">
              <a:extLst>
                <a:ext uri="{63B3BB69-23CF-44E3-9099-C40C66FF867C}">
                  <a14:compatExt spid="_x0000_s159751"/>
                </a:ext>
                <a:ext uri="{FF2B5EF4-FFF2-40B4-BE49-F238E27FC236}">
                  <a16:creationId xmlns:a16="http://schemas.microsoft.com/office/drawing/2014/main" id="{00000000-0008-0000-0200-000007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533400</xdr:colOff>
          <xdr:row>32</xdr:row>
          <xdr:rowOff>31750</xdr:rowOff>
        </xdr:from>
        <xdr:to>
          <xdr:col>28</xdr:col>
          <xdr:colOff>419100</xdr:colOff>
          <xdr:row>33</xdr:row>
          <xdr:rowOff>114300</xdr:rowOff>
        </xdr:to>
        <xdr:sp macro="" textlink="">
          <xdr:nvSpPr>
            <xdr:cNvPr id="159752" name="Button 8" hidden="1">
              <a:extLst>
                <a:ext uri="{63B3BB69-23CF-44E3-9099-C40C66FF867C}">
                  <a14:compatExt spid="_x0000_s159752"/>
                </a:ext>
                <a:ext uri="{FF2B5EF4-FFF2-40B4-BE49-F238E27FC236}">
                  <a16:creationId xmlns:a16="http://schemas.microsoft.com/office/drawing/2014/main" id="{00000000-0008-0000-0200-000008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250190</xdr:colOff>
      <xdr:row>2</xdr:row>
      <xdr:rowOff>63500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DCC376E-1EC9-477F-930B-69460DC900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7540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35</xdr:row>
          <xdr:rowOff>69850</xdr:rowOff>
        </xdr:from>
        <xdr:to>
          <xdr:col>29</xdr:col>
          <xdr:colOff>603250</xdr:colOff>
          <xdr:row>40</xdr:row>
          <xdr:rowOff>114300</xdr:rowOff>
        </xdr:to>
        <xdr:sp macro="" textlink="">
          <xdr:nvSpPr>
            <xdr:cNvPr id="159753" name="Button 9" hidden="1">
              <a:extLst>
                <a:ext uri="{63B3BB69-23CF-44E3-9099-C40C66FF867C}">
                  <a14:compatExt spid="_x0000_s159753"/>
                </a:ext>
                <a:ext uri="{FF2B5EF4-FFF2-40B4-BE49-F238E27FC236}">
                  <a16:creationId xmlns:a16="http://schemas.microsoft.com/office/drawing/2014/main" id="{00000000-0008-0000-0200-000009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6月以降のシートを作成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59</xdr:row>
          <xdr:rowOff>19050</xdr:rowOff>
        </xdr:from>
        <xdr:to>
          <xdr:col>26</xdr:col>
          <xdr:colOff>673100</xdr:colOff>
          <xdr:row>60</xdr:row>
          <xdr:rowOff>139700</xdr:rowOff>
        </xdr:to>
        <xdr:sp macro="" textlink="">
          <xdr:nvSpPr>
            <xdr:cNvPr id="159754" name="Button 10" hidden="1">
              <a:extLst>
                <a:ext uri="{63B3BB69-23CF-44E3-9099-C40C66FF867C}">
                  <a14:compatExt spid="_x0000_s159754"/>
                </a:ext>
                <a:ext uri="{FF2B5EF4-FFF2-40B4-BE49-F238E27FC236}">
                  <a16:creationId xmlns:a16="http://schemas.microsoft.com/office/drawing/2014/main" id="{00000000-0008-0000-0200-00000A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61</xdr:row>
          <xdr:rowOff>19050</xdr:rowOff>
        </xdr:from>
        <xdr:to>
          <xdr:col>26</xdr:col>
          <xdr:colOff>673100</xdr:colOff>
          <xdr:row>62</xdr:row>
          <xdr:rowOff>152400</xdr:rowOff>
        </xdr:to>
        <xdr:sp macro="" textlink="">
          <xdr:nvSpPr>
            <xdr:cNvPr id="159755" name="Button 11" hidden="1">
              <a:extLst>
                <a:ext uri="{63B3BB69-23CF-44E3-9099-C40C66FF867C}">
                  <a14:compatExt spid="_x0000_s159755"/>
                </a:ext>
                <a:ext uri="{FF2B5EF4-FFF2-40B4-BE49-F238E27FC236}">
                  <a16:creationId xmlns:a16="http://schemas.microsoft.com/office/drawing/2014/main" id="{00000000-0008-0000-0200-00000B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69850</xdr:colOff>
          <xdr:row>63</xdr:row>
          <xdr:rowOff>31750</xdr:rowOff>
        </xdr:from>
        <xdr:to>
          <xdr:col>26</xdr:col>
          <xdr:colOff>679450</xdr:colOff>
          <xdr:row>64</xdr:row>
          <xdr:rowOff>171450</xdr:rowOff>
        </xdr:to>
        <xdr:sp macro="" textlink="">
          <xdr:nvSpPr>
            <xdr:cNvPr id="159756" name="Button 12" hidden="1">
              <a:extLst>
                <a:ext uri="{63B3BB69-23CF-44E3-9099-C40C66FF867C}">
                  <a14:compatExt spid="_x0000_s159756"/>
                </a:ext>
                <a:ext uri="{FF2B5EF4-FFF2-40B4-BE49-F238E27FC236}">
                  <a16:creationId xmlns:a16="http://schemas.microsoft.com/office/drawing/2014/main" id="{00000000-0008-0000-0200-00000C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146050</xdr:colOff>
          <xdr:row>65</xdr:row>
          <xdr:rowOff>69850</xdr:rowOff>
        </xdr:from>
        <xdr:to>
          <xdr:col>26</xdr:col>
          <xdr:colOff>641350</xdr:colOff>
          <xdr:row>66</xdr:row>
          <xdr:rowOff>152400</xdr:rowOff>
        </xdr:to>
        <xdr:sp macro="" textlink="">
          <xdr:nvSpPr>
            <xdr:cNvPr id="159757" name="Button 13" hidden="1">
              <a:extLst>
                <a:ext uri="{63B3BB69-23CF-44E3-9099-C40C66FF867C}">
                  <a14:compatExt spid="_x0000_s159757"/>
                </a:ext>
                <a:ext uri="{FF2B5EF4-FFF2-40B4-BE49-F238E27FC236}">
                  <a16:creationId xmlns:a16="http://schemas.microsoft.com/office/drawing/2014/main" id="{00000000-0008-0000-0200-00000D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67</xdr:row>
          <xdr:rowOff>88900</xdr:rowOff>
        </xdr:from>
        <xdr:to>
          <xdr:col>26</xdr:col>
          <xdr:colOff>666750</xdr:colOff>
          <xdr:row>69</xdr:row>
          <xdr:rowOff>12700</xdr:rowOff>
        </xdr:to>
        <xdr:sp macro="" textlink="">
          <xdr:nvSpPr>
            <xdr:cNvPr id="159758" name="Button 14" hidden="1">
              <a:extLst>
                <a:ext uri="{63B3BB69-23CF-44E3-9099-C40C66FF867C}">
                  <a14:compatExt spid="_x0000_s159758"/>
                </a:ext>
                <a:ext uri="{FF2B5EF4-FFF2-40B4-BE49-F238E27FC236}">
                  <a16:creationId xmlns:a16="http://schemas.microsoft.com/office/drawing/2014/main" id="{00000000-0008-0000-0200-00000E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6350</xdr:colOff>
      <xdr:row>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E801C0-5E73-46B6-88E5-27D172EA6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20875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3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00000000-0008-0000-0300-00000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58723" name="Button 3" hidden="1">
              <a:extLst>
                <a:ext uri="{63B3BB69-23CF-44E3-9099-C40C66FF867C}">
                  <a14:compatExt spid="_x0000_s158723"/>
                </a:ext>
                <a:ext uri="{FF2B5EF4-FFF2-40B4-BE49-F238E27FC236}">
                  <a16:creationId xmlns:a16="http://schemas.microsoft.com/office/drawing/2014/main" id="{00000000-0008-0000-0300-00000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58724" name="Button 4" hidden="1">
              <a:extLst>
                <a:ext uri="{63B3BB69-23CF-44E3-9099-C40C66FF867C}">
                  <a14:compatExt spid="_x0000_s158724"/>
                </a:ext>
                <a:ext uri="{FF2B5EF4-FFF2-40B4-BE49-F238E27FC236}">
                  <a16:creationId xmlns:a16="http://schemas.microsoft.com/office/drawing/2014/main" id="{00000000-0008-0000-0300-00000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58725" name="Button 5" hidden="1">
              <a:extLst>
                <a:ext uri="{63B3BB69-23CF-44E3-9099-C40C66FF867C}">
                  <a14:compatExt spid="_x0000_s158725"/>
                </a:ext>
                <a:ext uri="{FF2B5EF4-FFF2-40B4-BE49-F238E27FC236}">
                  <a16:creationId xmlns:a16="http://schemas.microsoft.com/office/drawing/2014/main" id="{00000000-0008-0000-0300-000005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58726" name="Button 6" hidden="1">
              <a:extLst>
                <a:ext uri="{63B3BB69-23CF-44E3-9099-C40C66FF867C}">
                  <a14:compatExt spid="_x0000_s158726"/>
                </a:ext>
                <a:ext uri="{FF2B5EF4-FFF2-40B4-BE49-F238E27FC236}">
                  <a16:creationId xmlns:a16="http://schemas.microsoft.com/office/drawing/2014/main" id="{00000000-0008-0000-0300-000006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25</xdr:row>
          <xdr:rowOff>69850</xdr:rowOff>
        </xdr:from>
        <xdr:to>
          <xdr:col>28</xdr:col>
          <xdr:colOff>266700</xdr:colOff>
          <xdr:row>26</xdr:row>
          <xdr:rowOff>146050</xdr:rowOff>
        </xdr:to>
        <xdr:sp macro="" textlink="">
          <xdr:nvSpPr>
            <xdr:cNvPr id="158727" name="Button 7" hidden="1">
              <a:extLst>
                <a:ext uri="{63B3BB69-23CF-44E3-9099-C40C66FF867C}">
                  <a14:compatExt spid="_x0000_s158727"/>
                </a:ext>
                <a:ext uri="{FF2B5EF4-FFF2-40B4-BE49-F238E27FC236}">
                  <a16:creationId xmlns:a16="http://schemas.microsoft.com/office/drawing/2014/main" id="{00000000-0008-0000-0300-000007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533400</xdr:colOff>
          <xdr:row>32</xdr:row>
          <xdr:rowOff>31750</xdr:rowOff>
        </xdr:from>
        <xdr:to>
          <xdr:col>28</xdr:col>
          <xdr:colOff>419100</xdr:colOff>
          <xdr:row>33</xdr:row>
          <xdr:rowOff>114300</xdr:rowOff>
        </xdr:to>
        <xdr:sp macro="" textlink="">
          <xdr:nvSpPr>
            <xdr:cNvPr id="158728" name="Button 8" hidden="1">
              <a:extLst>
                <a:ext uri="{63B3BB69-23CF-44E3-9099-C40C66FF867C}">
                  <a14:compatExt spid="_x0000_s158728"/>
                </a:ext>
                <a:ext uri="{FF2B5EF4-FFF2-40B4-BE49-F238E27FC236}">
                  <a16:creationId xmlns:a16="http://schemas.microsoft.com/office/drawing/2014/main" id="{00000000-0008-0000-0300-000008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250190</xdr:colOff>
      <xdr:row>2</xdr:row>
      <xdr:rowOff>63500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D17F284-4C5A-4AFB-80FB-A089F8613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7540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35</xdr:row>
          <xdr:rowOff>69850</xdr:rowOff>
        </xdr:from>
        <xdr:to>
          <xdr:col>29</xdr:col>
          <xdr:colOff>603250</xdr:colOff>
          <xdr:row>40</xdr:row>
          <xdr:rowOff>114300</xdr:rowOff>
        </xdr:to>
        <xdr:sp macro="" textlink="">
          <xdr:nvSpPr>
            <xdr:cNvPr id="158729" name="Button 9" hidden="1">
              <a:extLst>
                <a:ext uri="{63B3BB69-23CF-44E3-9099-C40C66FF867C}">
                  <a14:compatExt spid="_x0000_s158729"/>
                </a:ext>
                <a:ext uri="{FF2B5EF4-FFF2-40B4-BE49-F238E27FC236}">
                  <a16:creationId xmlns:a16="http://schemas.microsoft.com/office/drawing/2014/main" id="{00000000-0008-0000-0300-000009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6月以降のシートを作成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59</xdr:row>
          <xdr:rowOff>19050</xdr:rowOff>
        </xdr:from>
        <xdr:to>
          <xdr:col>26</xdr:col>
          <xdr:colOff>673100</xdr:colOff>
          <xdr:row>60</xdr:row>
          <xdr:rowOff>139700</xdr:rowOff>
        </xdr:to>
        <xdr:sp macro="" textlink="">
          <xdr:nvSpPr>
            <xdr:cNvPr id="158730" name="Button 10" hidden="1">
              <a:extLst>
                <a:ext uri="{63B3BB69-23CF-44E3-9099-C40C66FF867C}">
                  <a14:compatExt spid="_x0000_s158730"/>
                </a:ext>
                <a:ext uri="{FF2B5EF4-FFF2-40B4-BE49-F238E27FC236}">
                  <a16:creationId xmlns:a16="http://schemas.microsoft.com/office/drawing/2014/main" id="{00000000-0008-0000-0300-00000A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61</xdr:row>
          <xdr:rowOff>19050</xdr:rowOff>
        </xdr:from>
        <xdr:to>
          <xdr:col>26</xdr:col>
          <xdr:colOff>673100</xdr:colOff>
          <xdr:row>62</xdr:row>
          <xdr:rowOff>152400</xdr:rowOff>
        </xdr:to>
        <xdr:sp macro="" textlink="">
          <xdr:nvSpPr>
            <xdr:cNvPr id="158731" name="Button 11" hidden="1">
              <a:extLst>
                <a:ext uri="{63B3BB69-23CF-44E3-9099-C40C66FF867C}">
                  <a14:compatExt spid="_x0000_s158731"/>
                </a:ext>
                <a:ext uri="{FF2B5EF4-FFF2-40B4-BE49-F238E27FC236}">
                  <a16:creationId xmlns:a16="http://schemas.microsoft.com/office/drawing/2014/main" id="{00000000-0008-0000-0300-00000B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69850</xdr:colOff>
          <xdr:row>63</xdr:row>
          <xdr:rowOff>31750</xdr:rowOff>
        </xdr:from>
        <xdr:to>
          <xdr:col>26</xdr:col>
          <xdr:colOff>679450</xdr:colOff>
          <xdr:row>64</xdr:row>
          <xdr:rowOff>171450</xdr:rowOff>
        </xdr:to>
        <xdr:sp macro="" textlink="">
          <xdr:nvSpPr>
            <xdr:cNvPr id="158732" name="Button 12" hidden="1">
              <a:extLst>
                <a:ext uri="{63B3BB69-23CF-44E3-9099-C40C66FF867C}">
                  <a14:compatExt spid="_x0000_s158732"/>
                </a:ext>
                <a:ext uri="{FF2B5EF4-FFF2-40B4-BE49-F238E27FC236}">
                  <a16:creationId xmlns:a16="http://schemas.microsoft.com/office/drawing/2014/main" id="{00000000-0008-0000-0300-00000C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146050</xdr:colOff>
          <xdr:row>65</xdr:row>
          <xdr:rowOff>69850</xdr:rowOff>
        </xdr:from>
        <xdr:to>
          <xdr:col>26</xdr:col>
          <xdr:colOff>641350</xdr:colOff>
          <xdr:row>66</xdr:row>
          <xdr:rowOff>152400</xdr:rowOff>
        </xdr:to>
        <xdr:sp macro="" textlink="">
          <xdr:nvSpPr>
            <xdr:cNvPr id="158733" name="Button 13" hidden="1">
              <a:extLst>
                <a:ext uri="{63B3BB69-23CF-44E3-9099-C40C66FF867C}">
                  <a14:compatExt spid="_x0000_s158733"/>
                </a:ext>
                <a:ext uri="{FF2B5EF4-FFF2-40B4-BE49-F238E27FC236}">
                  <a16:creationId xmlns:a16="http://schemas.microsoft.com/office/drawing/2014/main" id="{00000000-0008-0000-0300-00000D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67</xdr:row>
          <xdr:rowOff>88900</xdr:rowOff>
        </xdr:from>
        <xdr:to>
          <xdr:col>26</xdr:col>
          <xdr:colOff>666750</xdr:colOff>
          <xdr:row>69</xdr:row>
          <xdr:rowOff>12700</xdr:rowOff>
        </xdr:to>
        <xdr:sp macro="" textlink="">
          <xdr:nvSpPr>
            <xdr:cNvPr id="158734" name="Button 14" hidden="1">
              <a:extLst>
                <a:ext uri="{63B3BB69-23CF-44E3-9099-C40C66FF867C}">
                  <a14:compatExt spid="_x0000_s158734"/>
                </a:ext>
                <a:ext uri="{FF2B5EF4-FFF2-40B4-BE49-F238E27FC236}">
                  <a16:creationId xmlns:a16="http://schemas.microsoft.com/office/drawing/2014/main" id="{00000000-0008-0000-0300-00000E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6350</xdr:colOff>
      <xdr:row>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77FE51-1148-4C95-B8A9-7F7109B40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20875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4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57698" name="Button 2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4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57699" name="Button 3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4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57700" name="Button 4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4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57701" name="Button 5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4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57702" name="Button 6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4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25</xdr:row>
          <xdr:rowOff>69850</xdr:rowOff>
        </xdr:from>
        <xdr:to>
          <xdr:col>28</xdr:col>
          <xdr:colOff>266700</xdr:colOff>
          <xdr:row>26</xdr:row>
          <xdr:rowOff>146050</xdr:rowOff>
        </xdr:to>
        <xdr:sp macro="" textlink="">
          <xdr:nvSpPr>
            <xdr:cNvPr id="157703" name="Button 7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4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533400</xdr:colOff>
          <xdr:row>32</xdr:row>
          <xdr:rowOff>31750</xdr:rowOff>
        </xdr:from>
        <xdr:to>
          <xdr:col>28</xdr:col>
          <xdr:colOff>419100</xdr:colOff>
          <xdr:row>33</xdr:row>
          <xdr:rowOff>114300</xdr:rowOff>
        </xdr:to>
        <xdr:sp macro="" textlink="">
          <xdr:nvSpPr>
            <xdr:cNvPr id="157704" name="Button 8" hidden="1">
              <a:extLst>
                <a:ext uri="{63B3BB69-23CF-44E3-9099-C40C66FF867C}">
                  <a14:compatExt spid="_x0000_s157704"/>
                </a:ext>
                <a:ext uri="{FF2B5EF4-FFF2-40B4-BE49-F238E27FC236}">
                  <a16:creationId xmlns:a16="http://schemas.microsoft.com/office/drawing/2014/main" id="{00000000-0008-0000-0400-00000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250190</xdr:colOff>
      <xdr:row>2</xdr:row>
      <xdr:rowOff>63500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44F49B8-E964-48C2-AE69-43E92EE0CB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7540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35</xdr:row>
          <xdr:rowOff>69850</xdr:rowOff>
        </xdr:from>
        <xdr:to>
          <xdr:col>29</xdr:col>
          <xdr:colOff>603250</xdr:colOff>
          <xdr:row>40</xdr:row>
          <xdr:rowOff>114300</xdr:rowOff>
        </xdr:to>
        <xdr:sp macro="" textlink="">
          <xdr:nvSpPr>
            <xdr:cNvPr id="157705" name="Button 9" hidden="1">
              <a:extLst>
                <a:ext uri="{63B3BB69-23CF-44E3-9099-C40C66FF867C}">
                  <a14:compatExt spid="_x0000_s157705"/>
                </a:ext>
                <a:ext uri="{FF2B5EF4-FFF2-40B4-BE49-F238E27FC236}">
                  <a16:creationId xmlns:a16="http://schemas.microsoft.com/office/drawing/2014/main" id="{00000000-0008-0000-0400-000009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6月以降のシートを作成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59</xdr:row>
          <xdr:rowOff>19050</xdr:rowOff>
        </xdr:from>
        <xdr:to>
          <xdr:col>26</xdr:col>
          <xdr:colOff>673100</xdr:colOff>
          <xdr:row>60</xdr:row>
          <xdr:rowOff>139700</xdr:rowOff>
        </xdr:to>
        <xdr:sp macro="" textlink="">
          <xdr:nvSpPr>
            <xdr:cNvPr id="157706" name="Button 10" hidden="1">
              <a:extLst>
                <a:ext uri="{63B3BB69-23CF-44E3-9099-C40C66FF867C}">
                  <a14:compatExt spid="_x0000_s157706"/>
                </a:ext>
                <a:ext uri="{FF2B5EF4-FFF2-40B4-BE49-F238E27FC236}">
                  <a16:creationId xmlns:a16="http://schemas.microsoft.com/office/drawing/2014/main" id="{00000000-0008-0000-0400-00000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61</xdr:row>
          <xdr:rowOff>19050</xdr:rowOff>
        </xdr:from>
        <xdr:to>
          <xdr:col>26</xdr:col>
          <xdr:colOff>673100</xdr:colOff>
          <xdr:row>62</xdr:row>
          <xdr:rowOff>152400</xdr:rowOff>
        </xdr:to>
        <xdr:sp macro="" textlink="">
          <xdr:nvSpPr>
            <xdr:cNvPr id="157707" name="Button 11" hidden="1">
              <a:extLst>
                <a:ext uri="{63B3BB69-23CF-44E3-9099-C40C66FF867C}">
                  <a14:compatExt spid="_x0000_s157707"/>
                </a:ext>
                <a:ext uri="{FF2B5EF4-FFF2-40B4-BE49-F238E27FC236}">
                  <a16:creationId xmlns:a16="http://schemas.microsoft.com/office/drawing/2014/main" id="{00000000-0008-0000-0400-00000B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69850</xdr:colOff>
          <xdr:row>63</xdr:row>
          <xdr:rowOff>31750</xdr:rowOff>
        </xdr:from>
        <xdr:to>
          <xdr:col>26</xdr:col>
          <xdr:colOff>679450</xdr:colOff>
          <xdr:row>64</xdr:row>
          <xdr:rowOff>171450</xdr:rowOff>
        </xdr:to>
        <xdr:sp macro="" textlink="">
          <xdr:nvSpPr>
            <xdr:cNvPr id="157708" name="Button 12" hidden="1">
              <a:extLst>
                <a:ext uri="{63B3BB69-23CF-44E3-9099-C40C66FF867C}">
                  <a14:compatExt spid="_x0000_s157708"/>
                </a:ext>
                <a:ext uri="{FF2B5EF4-FFF2-40B4-BE49-F238E27FC236}">
                  <a16:creationId xmlns:a16="http://schemas.microsoft.com/office/drawing/2014/main" id="{00000000-0008-0000-0400-00000C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146050</xdr:colOff>
          <xdr:row>65</xdr:row>
          <xdr:rowOff>69850</xdr:rowOff>
        </xdr:from>
        <xdr:to>
          <xdr:col>26</xdr:col>
          <xdr:colOff>641350</xdr:colOff>
          <xdr:row>66</xdr:row>
          <xdr:rowOff>152400</xdr:rowOff>
        </xdr:to>
        <xdr:sp macro="" textlink="">
          <xdr:nvSpPr>
            <xdr:cNvPr id="157709" name="Button 13" hidden="1">
              <a:extLst>
                <a:ext uri="{63B3BB69-23CF-44E3-9099-C40C66FF867C}">
                  <a14:compatExt spid="_x0000_s157709"/>
                </a:ext>
                <a:ext uri="{FF2B5EF4-FFF2-40B4-BE49-F238E27FC236}">
                  <a16:creationId xmlns:a16="http://schemas.microsoft.com/office/drawing/2014/main" id="{00000000-0008-0000-0400-00000D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67</xdr:row>
          <xdr:rowOff>88900</xdr:rowOff>
        </xdr:from>
        <xdr:to>
          <xdr:col>26</xdr:col>
          <xdr:colOff>666750</xdr:colOff>
          <xdr:row>69</xdr:row>
          <xdr:rowOff>12700</xdr:rowOff>
        </xdr:to>
        <xdr:sp macro="" textlink="">
          <xdr:nvSpPr>
            <xdr:cNvPr id="157710" name="Button 14" hidden="1">
              <a:extLst>
                <a:ext uri="{63B3BB69-23CF-44E3-9099-C40C66FF867C}">
                  <a14:compatExt spid="_x0000_s157710"/>
                </a:ext>
                <a:ext uri="{FF2B5EF4-FFF2-40B4-BE49-F238E27FC236}">
                  <a16:creationId xmlns:a16="http://schemas.microsoft.com/office/drawing/2014/main" id="{00000000-0008-0000-0400-00000E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6350</xdr:colOff>
      <xdr:row>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785F581-81ED-415E-AF68-910A808299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20875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56673" name="Button 1" hidden="1">
              <a:extLst>
                <a:ext uri="{63B3BB69-23CF-44E3-9099-C40C66FF867C}">
                  <a14:compatExt spid="_x0000_s156673"/>
                </a:ext>
                <a:ext uri="{FF2B5EF4-FFF2-40B4-BE49-F238E27FC236}">
                  <a16:creationId xmlns:a16="http://schemas.microsoft.com/office/drawing/2014/main" id="{00000000-0008-0000-0500-000001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56674" name="Button 2" hidden="1">
              <a:extLst>
                <a:ext uri="{63B3BB69-23CF-44E3-9099-C40C66FF867C}">
                  <a14:compatExt spid="_x0000_s156674"/>
                </a:ext>
                <a:ext uri="{FF2B5EF4-FFF2-40B4-BE49-F238E27FC236}">
                  <a16:creationId xmlns:a16="http://schemas.microsoft.com/office/drawing/2014/main" id="{00000000-0008-0000-0500-000002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56675" name="Button 3" hidden="1">
              <a:extLst>
                <a:ext uri="{63B3BB69-23CF-44E3-9099-C40C66FF867C}">
                  <a14:compatExt spid="_x0000_s156675"/>
                </a:ext>
                <a:ext uri="{FF2B5EF4-FFF2-40B4-BE49-F238E27FC236}">
                  <a16:creationId xmlns:a16="http://schemas.microsoft.com/office/drawing/2014/main" id="{00000000-0008-0000-0500-000003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56676" name="Button 4" hidden="1">
              <a:extLst>
                <a:ext uri="{63B3BB69-23CF-44E3-9099-C40C66FF867C}">
                  <a14:compatExt spid="_x0000_s156676"/>
                </a:ext>
                <a:ext uri="{FF2B5EF4-FFF2-40B4-BE49-F238E27FC236}">
                  <a16:creationId xmlns:a16="http://schemas.microsoft.com/office/drawing/2014/main" id="{00000000-0008-0000-0500-000004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56677" name="Button 5" hidden="1">
              <a:extLst>
                <a:ext uri="{63B3BB69-23CF-44E3-9099-C40C66FF867C}">
                  <a14:compatExt spid="_x0000_s156677"/>
                </a:ext>
                <a:ext uri="{FF2B5EF4-FFF2-40B4-BE49-F238E27FC236}">
                  <a16:creationId xmlns:a16="http://schemas.microsoft.com/office/drawing/2014/main" id="{00000000-0008-0000-0500-000005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56678" name="Button 6" hidden="1">
              <a:extLst>
                <a:ext uri="{63B3BB69-23CF-44E3-9099-C40C66FF867C}">
                  <a14:compatExt spid="_x0000_s156678"/>
                </a:ext>
                <a:ext uri="{FF2B5EF4-FFF2-40B4-BE49-F238E27FC236}">
                  <a16:creationId xmlns:a16="http://schemas.microsoft.com/office/drawing/2014/main" id="{00000000-0008-0000-0500-000006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25</xdr:row>
          <xdr:rowOff>69850</xdr:rowOff>
        </xdr:from>
        <xdr:to>
          <xdr:col>28</xdr:col>
          <xdr:colOff>266700</xdr:colOff>
          <xdr:row>26</xdr:row>
          <xdr:rowOff>146050</xdr:rowOff>
        </xdr:to>
        <xdr:sp macro="" textlink="">
          <xdr:nvSpPr>
            <xdr:cNvPr id="156679" name="Button 7" hidden="1">
              <a:extLst>
                <a:ext uri="{63B3BB69-23CF-44E3-9099-C40C66FF867C}">
                  <a14:compatExt spid="_x0000_s156679"/>
                </a:ext>
                <a:ext uri="{FF2B5EF4-FFF2-40B4-BE49-F238E27FC236}">
                  <a16:creationId xmlns:a16="http://schemas.microsoft.com/office/drawing/2014/main" id="{00000000-0008-0000-0500-000007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533400</xdr:colOff>
          <xdr:row>32</xdr:row>
          <xdr:rowOff>31750</xdr:rowOff>
        </xdr:from>
        <xdr:to>
          <xdr:col>28</xdr:col>
          <xdr:colOff>419100</xdr:colOff>
          <xdr:row>33</xdr:row>
          <xdr:rowOff>114300</xdr:rowOff>
        </xdr:to>
        <xdr:sp macro="" textlink="">
          <xdr:nvSpPr>
            <xdr:cNvPr id="156680" name="Button 8" hidden="1">
              <a:extLst>
                <a:ext uri="{63B3BB69-23CF-44E3-9099-C40C66FF867C}">
                  <a14:compatExt spid="_x0000_s156680"/>
                </a:ext>
                <a:ext uri="{FF2B5EF4-FFF2-40B4-BE49-F238E27FC236}">
                  <a16:creationId xmlns:a16="http://schemas.microsoft.com/office/drawing/2014/main" id="{00000000-0008-0000-0500-000008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250190</xdr:colOff>
      <xdr:row>2</xdr:row>
      <xdr:rowOff>63500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D592DC5-6B96-48BD-A999-50B411705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7540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35</xdr:row>
          <xdr:rowOff>69850</xdr:rowOff>
        </xdr:from>
        <xdr:to>
          <xdr:col>29</xdr:col>
          <xdr:colOff>603250</xdr:colOff>
          <xdr:row>40</xdr:row>
          <xdr:rowOff>114300</xdr:rowOff>
        </xdr:to>
        <xdr:sp macro="" textlink="">
          <xdr:nvSpPr>
            <xdr:cNvPr id="156681" name="Button 9" hidden="1">
              <a:extLst>
                <a:ext uri="{63B3BB69-23CF-44E3-9099-C40C66FF867C}">
                  <a14:compatExt spid="_x0000_s156681"/>
                </a:ext>
                <a:ext uri="{FF2B5EF4-FFF2-40B4-BE49-F238E27FC236}">
                  <a16:creationId xmlns:a16="http://schemas.microsoft.com/office/drawing/2014/main" id="{00000000-0008-0000-0500-000009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6月以降のシートを作成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59</xdr:row>
          <xdr:rowOff>19050</xdr:rowOff>
        </xdr:from>
        <xdr:to>
          <xdr:col>26</xdr:col>
          <xdr:colOff>673100</xdr:colOff>
          <xdr:row>60</xdr:row>
          <xdr:rowOff>139700</xdr:rowOff>
        </xdr:to>
        <xdr:sp macro="" textlink="">
          <xdr:nvSpPr>
            <xdr:cNvPr id="156682" name="Button 10" hidden="1">
              <a:extLst>
                <a:ext uri="{63B3BB69-23CF-44E3-9099-C40C66FF867C}">
                  <a14:compatExt spid="_x0000_s156682"/>
                </a:ext>
                <a:ext uri="{FF2B5EF4-FFF2-40B4-BE49-F238E27FC236}">
                  <a16:creationId xmlns:a16="http://schemas.microsoft.com/office/drawing/2014/main" id="{00000000-0008-0000-0500-00000A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61</xdr:row>
          <xdr:rowOff>19050</xdr:rowOff>
        </xdr:from>
        <xdr:to>
          <xdr:col>26</xdr:col>
          <xdr:colOff>673100</xdr:colOff>
          <xdr:row>62</xdr:row>
          <xdr:rowOff>152400</xdr:rowOff>
        </xdr:to>
        <xdr:sp macro="" textlink="">
          <xdr:nvSpPr>
            <xdr:cNvPr id="156683" name="Button 11" hidden="1">
              <a:extLst>
                <a:ext uri="{63B3BB69-23CF-44E3-9099-C40C66FF867C}">
                  <a14:compatExt spid="_x0000_s156683"/>
                </a:ext>
                <a:ext uri="{FF2B5EF4-FFF2-40B4-BE49-F238E27FC236}">
                  <a16:creationId xmlns:a16="http://schemas.microsoft.com/office/drawing/2014/main" id="{00000000-0008-0000-0500-00000B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69850</xdr:colOff>
          <xdr:row>63</xdr:row>
          <xdr:rowOff>31750</xdr:rowOff>
        </xdr:from>
        <xdr:to>
          <xdr:col>26</xdr:col>
          <xdr:colOff>679450</xdr:colOff>
          <xdr:row>64</xdr:row>
          <xdr:rowOff>171450</xdr:rowOff>
        </xdr:to>
        <xdr:sp macro="" textlink="">
          <xdr:nvSpPr>
            <xdr:cNvPr id="156684" name="Button 12" hidden="1">
              <a:extLst>
                <a:ext uri="{63B3BB69-23CF-44E3-9099-C40C66FF867C}">
                  <a14:compatExt spid="_x0000_s156684"/>
                </a:ext>
                <a:ext uri="{FF2B5EF4-FFF2-40B4-BE49-F238E27FC236}">
                  <a16:creationId xmlns:a16="http://schemas.microsoft.com/office/drawing/2014/main" id="{00000000-0008-0000-0500-00000C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146050</xdr:colOff>
          <xdr:row>65</xdr:row>
          <xdr:rowOff>69850</xdr:rowOff>
        </xdr:from>
        <xdr:to>
          <xdr:col>26</xdr:col>
          <xdr:colOff>641350</xdr:colOff>
          <xdr:row>66</xdr:row>
          <xdr:rowOff>152400</xdr:rowOff>
        </xdr:to>
        <xdr:sp macro="" textlink="">
          <xdr:nvSpPr>
            <xdr:cNvPr id="156685" name="Button 13" hidden="1">
              <a:extLst>
                <a:ext uri="{63B3BB69-23CF-44E3-9099-C40C66FF867C}">
                  <a14:compatExt spid="_x0000_s156685"/>
                </a:ext>
                <a:ext uri="{FF2B5EF4-FFF2-40B4-BE49-F238E27FC236}">
                  <a16:creationId xmlns:a16="http://schemas.microsoft.com/office/drawing/2014/main" id="{00000000-0008-0000-0500-00000D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67</xdr:row>
          <xdr:rowOff>88900</xdr:rowOff>
        </xdr:from>
        <xdr:to>
          <xdr:col>26</xdr:col>
          <xdr:colOff>666750</xdr:colOff>
          <xdr:row>69</xdr:row>
          <xdr:rowOff>12700</xdr:rowOff>
        </xdr:to>
        <xdr:sp macro="" textlink="">
          <xdr:nvSpPr>
            <xdr:cNvPr id="156686" name="Button 14" hidden="1">
              <a:extLst>
                <a:ext uri="{63B3BB69-23CF-44E3-9099-C40C66FF867C}">
                  <a14:compatExt spid="_x0000_s156686"/>
                </a:ext>
                <a:ext uri="{FF2B5EF4-FFF2-40B4-BE49-F238E27FC236}">
                  <a16:creationId xmlns:a16="http://schemas.microsoft.com/office/drawing/2014/main" id="{00000000-0008-0000-0500-00000E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6350</xdr:colOff>
      <xdr:row>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64E2D30-5285-4217-B418-000490CEFD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20875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06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55650" name="Button 2" hidden="1">
              <a:extLst>
                <a:ext uri="{63B3BB69-23CF-44E3-9099-C40C66FF867C}">
                  <a14:compatExt spid="_x0000_s155650"/>
                </a:ext>
                <a:ext uri="{FF2B5EF4-FFF2-40B4-BE49-F238E27FC236}">
                  <a16:creationId xmlns:a16="http://schemas.microsoft.com/office/drawing/2014/main" id="{00000000-0008-0000-0600-00000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55651" name="Button 3" hidden="1">
              <a:extLst>
                <a:ext uri="{63B3BB69-23CF-44E3-9099-C40C66FF867C}">
                  <a14:compatExt spid="_x0000_s155651"/>
                </a:ext>
                <a:ext uri="{FF2B5EF4-FFF2-40B4-BE49-F238E27FC236}">
                  <a16:creationId xmlns:a16="http://schemas.microsoft.com/office/drawing/2014/main" id="{00000000-0008-0000-0600-000003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55652" name="Button 4" hidden="1">
              <a:extLst>
                <a:ext uri="{63B3BB69-23CF-44E3-9099-C40C66FF867C}">
                  <a14:compatExt spid="_x0000_s155652"/>
                </a:ext>
                <a:ext uri="{FF2B5EF4-FFF2-40B4-BE49-F238E27FC236}">
                  <a16:creationId xmlns:a16="http://schemas.microsoft.com/office/drawing/2014/main" id="{00000000-0008-0000-0600-000004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55653" name="Button 5" hidden="1">
              <a:extLst>
                <a:ext uri="{63B3BB69-23CF-44E3-9099-C40C66FF867C}">
                  <a14:compatExt spid="_x0000_s155653"/>
                </a:ext>
                <a:ext uri="{FF2B5EF4-FFF2-40B4-BE49-F238E27FC236}">
                  <a16:creationId xmlns:a16="http://schemas.microsoft.com/office/drawing/2014/main" id="{00000000-0008-0000-0600-000005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55654" name="Button 6" hidden="1">
              <a:extLst>
                <a:ext uri="{63B3BB69-23CF-44E3-9099-C40C66FF867C}">
                  <a14:compatExt spid="_x0000_s155654"/>
                </a:ext>
                <a:ext uri="{FF2B5EF4-FFF2-40B4-BE49-F238E27FC236}">
                  <a16:creationId xmlns:a16="http://schemas.microsoft.com/office/drawing/2014/main" id="{00000000-0008-0000-0600-000006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25</xdr:row>
          <xdr:rowOff>69850</xdr:rowOff>
        </xdr:from>
        <xdr:to>
          <xdr:col>28</xdr:col>
          <xdr:colOff>266700</xdr:colOff>
          <xdr:row>26</xdr:row>
          <xdr:rowOff>146050</xdr:rowOff>
        </xdr:to>
        <xdr:sp macro="" textlink="">
          <xdr:nvSpPr>
            <xdr:cNvPr id="155655" name="Button 7" hidden="1">
              <a:extLst>
                <a:ext uri="{63B3BB69-23CF-44E3-9099-C40C66FF867C}">
                  <a14:compatExt spid="_x0000_s155655"/>
                </a:ext>
                <a:ext uri="{FF2B5EF4-FFF2-40B4-BE49-F238E27FC236}">
                  <a16:creationId xmlns:a16="http://schemas.microsoft.com/office/drawing/2014/main" id="{00000000-0008-0000-0600-000007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533400</xdr:colOff>
          <xdr:row>32</xdr:row>
          <xdr:rowOff>31750</xdr:rowOff>
        </xdr:from>
        <xdr:to>
          <xdr:col>28</xdr:col>
          <xdr:colOff>419100</xdr:colOff>
          <xdr:row>33</xdr:row>
          <xdr:rowOff>114300</xdr:rowOff>
        </xdr:to>
        <xdr:sp macro="" textlink="">
          <xdr:nvSpPr>
            <xdr:cNvPr id="155656" name="Button 8" hidden="1">
              <a:extLst>
                <a:ext uri="{63B3BB69-23CF-44E3-9099-C40C66FF867C}">
                  <a14:compatExt spid="_x0000_s155656"/>
                </a:ext>
                <a:ext uri="{FF2B5EF4-FFF2-40B4-BE49-F238E27FC236}">
                  <a16:creationId xmlns:a16="http://schemas.microsoft.com/office/drawing/2014/main" id="{00000000-0008-0000-0600-000008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250190</xdr:colOff>
      <xdr:row>2</xdr:row>
      <xdr:rowOff>63500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805F527-F65C-46E4-80DB-1EEF073A1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7540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35</xdr:row>
          <xdr:rowOff>69850</xdr:rowOff>
        </xdr:from>
        <xdr:to>
          <xdr:col>29</xdr:col>
          <xdr:colOff>603250</xdr:colOff>
          <xdr:row>40</xdr:row>
          <xdr:rowOff>114300</xdr:rowOff>
        </xdr:to>
        <xdr:sp macro="" textlink="">
          <xdr:nvSpPr>
            <xdr:cNvPr id="155657" name="Button 9" hidden="1">
              <a:extLst>
                <a:ext uri="{63B3BB69-23CF-44E3-9099-C40C66FF867C}">
                  <a14:compatExt spid="_x0000_s155657"/>
                </a:ext>
                <a:ext uri="{FF2B5EF4-FFF2-40B4-BE49-F238E27FC236}">
                  <a16:creationId xmlns:a16="http://schemas.microsoft.com/office/drawing/2014/main" id="{00000000-0008-0000-0600-000009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6月以降のシートを作成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59</xdr:row>
          <xdr:rowOff>19050</xdr:rowOff>
        </xdr:from>
        <xdr:to>
          <xdr:col>26</xdr:col>
          <xdr:colOff>673100</xdr:colOff>
          <xdr:row>60</xdr:row>
          <xdr:rowOff>139700</xdr:rowOff>
        </xdr:to>
        <xdr:sp macro="" textlink="">
          <xdr:nvSpPr>
            <xdr:cNvPr id="155658" name="Button 10" hidden="1">
              <a:extLst>
                <a:ext uri="{63B3BB69-23CF-44E3-9099-C40C66FF867C}">
                  <a14:compatExt spid="_x0000_s155658"/>
                </a:ext>
                <a:ext uri="{FF2B5EF4-FFF2-40B4-BE49-F238E27FC236}">
                  <a16:creationId xmlns:a16="http://schemas.microsoft.com/office/drawing/2014/main" id="{00000000-0008-0000-0600-00000A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61</xdr:row>
          <xdr:rowOff>19050</xdr:rowOff>
        </xdr:from>
        <xdr:to>
          <xdr:col>26</xdr:col>
          <xdr:colOff>673100</xdr:colOff>
          <xdr:row>62</xdr:row>
          <xdr:rowOff>152400</xdr:rowOff>
        </xdr:to>
        <xdr:sp macro="" textlink="">
          <xdr:nvSpPr>
            <xdr:cNvPr id="155659" name="Button 11" hidden="1">
              <a:extLst>
                <a:ext uri="{63B3BB69-23CF-44E3-9099-C40C66FF867C}">
                  <a14:compatExt spid="_x0000_s155659"/>
                </a:ext>
                <a:ext uri="{FF2B5EF4-FFF2-40B4-BE49-F238E27FC236}">
                  <a16:creationId xmlns:a16="http://schemas.microsoft.com/office/drawing/2014/main" id="{00000000-0008-0000-0600-00000B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69850</xdr:colOff>
          <xdr:row>63</xdr:row>
          <xdr:rowOff>31750</xdr:rowOff>
        </xdr:from>
        <xdr:to>
          <xdr:col>26</xdr:col>
          <xdr:colOff>679450</xdr:colOff>
          <xdr:row>64</xdr:row>
          <xdr:rowOff>171450</xdr:rowOff>
        </xdr:to>
        <xdr:sp macro="" textlink="">
          <xdr:nvSpPr>
            <xdr:cNvPr id="155660" name="Button 12" hidden="1">
              <a:extLst>
                <a:ext uri="{63B3BB69-23CF-44E3-9099-C40C66FF867C}">
                  <a14:compatExt spid="_x0000_s155660"/>
                </a:ext>
                <a:ext uri="{FF2B5EF4-FFF2-40B4-BE49-F238E27FC236}">
                  <a16:creationId xmlns:a16="http://schemas.microsoft.com/office/drawing/2014/main" id="{00000000-0008-0000-0600-00000C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146050</xdr:colOff>
          <xdr:row>65</xdr:row>
          <xdr:rowOff>69850</xdr:rowOff>
        </xdr:from>
        <xdr:to>
          <xdr:col>26</xdr:col>
          <xdr:colOff>641350</xdr:colOff>
          <xdr:row>66</xdr:row>
          <xdr:rowOff>152400</xdr:rowOff>
        </xdr:to>
        <xdr:sp macro="" textlink="">
          <xdr:nvSpPr>
            <xdr:cNvPr id="155661" name="Button 13" hidden="1">
              <a:extLst>
                <a:ext uri="{63B3BB69-23CF-44E3-9099-C40C66FF867C}">
                  <a14:compatExt spid="_x0000_s155661"/>
                </a:ext>
                <a:ext uri="{FF2B5EF4-FFF2-40B4-BE49-F238E27FC236}">
                  <a16:creationId xmlns:a16="http://schemas.microsoft.com/office/drawing/2014/main" id="{00000000-0008-0000-0600-00000D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67</xdr:row>
          <xdr:rowOff>88900</xdr:rowOff>
        </xdr:from>
        <xdr:to>
          <xdr:col>26</xdr:col>
          <xdr:colOff>666750</xdr:colOff>
          <xdr:row>69</xdr:row>
          <xdr:rowOff>12700</xdr:rowOff>
        </xdr:to>
        <xdr:sp macro="" textlink="">
          <xdr:nvSpPr>
            <xdr:cNvPr id="155662" name="Button 14" hidden="1">
              <a:extLst>
                <a:ext uri="{63B3BB69-23CF-44E3-9099-C40C66FF867C}">
                  <a14:compatExt spid="_x0000_s155662"/>
                </a:ext>
                <a:ext uri="{FF2B5EF4-FFF2-40B4-BE49-F238E27FC236}">
                  <a16:creationId xmlns:a16="http://schemas.microsoft.com/office/drawing/2014/main" id="{00000000-0008-0000-0600-00000E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6350</xdr:colOff>
      <xdr:row>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E512A3-47B2-4D83-B2FD-C808E64179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20875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07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54626" name="Butto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07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54627" name="Butto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07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54628" name="Butto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07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54629" name="Butto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07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54630" name="Butto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07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25</xdr:row>
          <xdr:rowOff>69850</xdr:rowOff>
        </xdr:from>
        <xdr:to>
          <xdr:col>28</xdr:col>
          <xdr:colOff>266700</xdr:colOff>
          <xdr:row>26</xdr:row>
          <xdr:rowOff>146050</xdr:rowOff>
        </xdr:to>
        <xdr:sp macro="" textlink="">
          <xdr:nvSpPr>
            <xdr:cNvPr id="154631" name="Butto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07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533400</xdr:colOff>
          <xdr:row>32</xdr:row>
          <xdr:rowOff>31750</xdr:rowOff>
        </xdr:from>
        <xdr:to>
          <xdr:col>28</xdr:col>
          <xdr:colOff>419100</xdr:colOff>
          <xdr:row>33</xdr:row>
          <xdr:rowOff>114300</xdr:rowOff>
        </xdr:to>
        <xdr:sp macro="" textlink="">
          <xdr:nvSpPr>
            <xdr:cNvPr id="154632" name="Butto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07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250190</xdr:colOff>
      <xdr:row>2</xdr:row>
      <xdr:rowOff>63500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8698646-F011-456A-991A-0268B5DFF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7540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35</xdr:row>
          <xdr:rowOff>69850</xdr:rowOff>
        </xdr:from>
        <xdr:to>
          <xdr:col>29</xdr:col>
          <xdr:colOff>603250</xdr:colOff>
          <xdr:row>40</xdr:row>
          <xdr:rowOff>114300</xdr:rowOff>
        </xdr:to>
        <xdr:sp macro="" textlink="">
          <xdr:nvSpPr>
            <xdr:cNvPr id="154633" name="Butto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07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6月以降のシートを作成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59</xdr:row>
          <xdr:rowOff>19050</xdr:rowOff>
        </xdr:from>
        <xdr:to>
          <xdr:col>26</xdr:col>
          <xdr:colOff>673100</xdr:colOff>
          <xdr:row>60</xdr:row>
          <xdr:rowOff>139700</xdr:rowOff>
        </xdr:to>
        <xdr:sp macro="" textlink="">
          <xdr:nvSpPr>
            <xdr:cNvPr id="154634" name="Butto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07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61</xdr:row>
          <xdr:rowOff>19050</xdr:rowOff>
        </xdr:from>
        <xdr:to>
          <xdr:col>26</xdr:col>
          <xdr:colOff>673100</xdr:colOff>
          <xdr:row>62</xdr:row>
          <xdr:rowOff>152400</xdr:rowOff>
        </xdr:to>
        <xdr:sp macro="" textlink="">
          <xdr:nvSpPr>
            <xdr:cNvPr id="154635" name="Butto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07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69850</xdr:colOff>
          <xdr:row>63</xdr:row>
          <xdr:rowOff>31750</xdr:rowOff>
        </xdr:from>
        <xdr:to>
          <xdr:col>26</xdr:col>
          <xdr:colOff>679450</xdr:colOff>
          <xdr:row>64</xdr:row>
          <xdr:rowOff>171450</xdr:rowOff>
        </xdr:to>
        <xdr:sp macro="" textlink="">
          <xdr:nvSpPr>
            <xdr:cNvPr id="154636" name="Butto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07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146050</xdr:colOff>
          <xdr:row>65</xdr:row>
          <xdr:rowOff>69850</xdr:rowOff>
        </xdr:from>
        <xdr:to>
          <xdr:col>26</xdr:col>
          <xdr:colOff>641350</xdr:colOff>
          <xdr:row>66</xdr:row>
          <xdr:rowOff>152400</xdr:rowOff>
        </xdr:to>
        <xdr:sp macro="" textlink="">
          <xdr:nvSpPr>
            <xdr:cNvPr id="154637" name="Butto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07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67</xdr:row>
          <xdr:rowOff>88900</xdr:rowOff>
        </xdr:from>
        <xdr:to>
          <xdr:col>26</xdr:col>
          <xdr:colOff>666750</xdr:colOff>
          <xdr:row>69</xdr:row>
          <xdr:rowOff>12700</xdr:rowOff>
        </xdr:to>
        <xdr:sp macro="" textlink="">
          <xdr:nvSpPr>
            <xdr:cNvPr id="154638" name="Butto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07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6350</xdr:colOff>
      <xdr:row>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0C7A99C-E876-44CB-B8A8-1636CF951D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20875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8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8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8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08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53605" name="Button 5" hidden="1">
              <a:extLst>
                <a:ext uri="{63B3BB69-23CF-44E3-9099-C40C66FF867C}">
                  <a14:compatExt spid="_x0000_s153605"/>
                </a:ext>
                <a:ext uri="{FF2B5EF4-FFF2-40B4-BE49-F238E27FC236}">
                  <a16:creationId xmlns:a16="http://schemas.microsoft.com/office/drawing/2014/main" id="{00000000-0008-0000-0800-000005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53606" name="Button 6" hidden="1">
              <a:extLst>
                <a:ext uri="{63B3BB69-23CF-44E3-9099-C40C66FF867C}">
                  <a14:compatExt spid="_x0000_s153606"/>
                </a:ext>
                <a:ext uri="{FF2B5EF4-FFF2-40B4-BE49-F238E27FC236}">
                  <a16:creationId xmlns:a16="http://schemas.microsoft.com/office/drawing/2014/main" id="{00000000-0008-0000-0800-000006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25</xdr:row>
          <xdr:rowOff>69850</xdr:rowOff>
        </xdr:from>
        <xdr:to>
          <xdr:col>28</xdr:col>
          <xdr:colOff>266700</xdr:colOff>
          <xdr:row>26</xdr:row>
          <xdr:rowOff>146050</xdr:rowOff>
        </xdr:to>
        <xdr:sp macro="" textlink="">
          <xdr:nvSpPr>
            <xdr:cNvPr id="153607" name="Button 7" hidden="1">
              <a:extLst>
                <a:ext uri="{63B3BB69-23CF-44E3-9099-C40C66FF867C}">
                  <a14:compatExt spid="_x0000_s153607"/>
                </a:ext>
                <a:ext uri="{FF2B5EF4-FFF2-40B4-BE49-F238E27FC236}">
                  <a16:creationId xmlns:a16="http://schemas.microsoft.com/office/drawing/2014/main" id="{00000000-0008-0000-0800-000007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533400</xdr:colOff>
          <xdr:row>32</xdr:row>
          <xdr:rowOff>31750</xdr:rowOff>
        </xdr:from>
        <xdr:to>
          <xdr:col>28</xdr:col>
          <xdr:colOff>419100</xdr:colOff>
          <xdr:row>33</xdr:row>
          <xdr:rowOff>114300</xdr:rowOff>
        </xdr:to>
        <xdr:sp macro="" textlink="">
          <xdr:nvSpPr>
            <xdr:cNvPr id="153608" name="Button 8" hidden="1">
              <a:extLst>
                <a:ext uri="{63B3BB69-23CF-44E3-9099-C40C66FF867C}">
                  <a14:compatExt spid="_x0000_s153608"/>
                </a:ext>
                <a:ext uri="{FF2B5EF4-FFF2-40B4-BE49-F238E27FC236}">
                  <a16:creationId xmlns:a16="http://schemas.microsoft.com/office/drawing/2014/main" id="{00000000-0008-0000-0800-000008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250190</xdr:colOff>
      <xdr:row>2</xdr:row>
      <xdr:rowOff>63500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528F3E-DFD0-4E2D-B526-B13B3D1398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7540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35</xdr:row>
          <xdr:rowOff>69850</xdr:rowOff>
        </xdr:from>
        <xdr:to>
          <xdr:col>29</xdr:col>
          <xdr:colOff>603250</xdr:colOff>
          <xdr:row>40</xdr:row>
          <xdr:rowOff>114300</xdr:rowOff>
        </xdr:to>
        <xdr:sp macro="" textlink="">
          <xdr:nvSpPr>
            <xdr:cNvPr id="153609" name="Button 9" hidden="1">
              <a:extLst>
                <a:ext uri="{63B3BB69-23CF-44E3-9099-C40C66FF867C}">
                  <a14:compatExt spid="_x0000_s153609"/>
                </a:ext>
                <a:ext uri="{FF2B5EF4-FFF2-40B4-BE49-F238E27FC236}">
                  <a16:creationId xmlns:a16="http://schemas.microsoft.com/office/drawing/2014/main" id="{00000000-0008-0000-0800-000009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6月以降のシートを作成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59</xdr:row>
          <xdr:rowOff>19050</xdr:rowOff>
        </xdr:from>
        <xdr:to>
          <xdr:col>26</xdr:col>
          <xdr:colOff>673100</xdr:colOff>
          <xdr:row>60</xdr:row>
          <xdr:rowOff>139700</xdr:rowOff>
        </xdr:to>
        <xdr:sp macro="" textlink="">
          <xdr:nvSpPr>
            <xdr:cNvPr id="153610" name="Button 10" hidden="1">
              <a:extLst>
                <a:ext uri="{63B3BB69-23CF-44E3-9099-C40C66FF867C}">
                  <a14:compatExt spid="_x0000_s153610"/>
                </a:ext>
                <a:ext uri="{FF2B5EF4-FFF2-40B4-BE49-F238E27FC236}">
                  <a16:creationId xmlns:a16="http://schemas.microsoft.com/office/drawing/2014/main" id="{00000000-0008-0000-0800-00000A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61</xdr:row>
          <xdr:rowOff>19050</xdr:rowOff>
        </xdr:from>
        <xdr:to>
          <xdr:col>26</xdr:col>
          <xdr:colOff>673100</xdr:colOff>
          <xdr:row>62</xdr:row>
          <xdr:rowOff>152400</xdr:rowOff>
        </xdr:to>
        <xdr:sp macro="" textlink="">
          <xdr:nvSpPr>
            <xdr:cNvPr id="153611" name="Button 11" hidden="1">
              <a:extLst>
                <a:ext uri="{63B3BB69-23CF-44E3-9099-C40C66FF867C}">
                  <a14:compatExt spid="_x0000_s153611"/>
                </a:ext>
                <a:ext uri="{FF2B5EF4-FFF2-40B4-BE49-F238E27FC236}">
                  <a16:creationId xmlns:a16="http://schemas.microsoft.com/office/drawing/2014/main" id="{00000000-0008-0000-0800-00000B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69850</xdr:colOff>
          <xdr:row>63</xdr:row>
          <xdr:rowOff>31750</xdr:rowOff>
        </xdr:from>
        <xdr:to>
          <xdr:col>26</xdr:col>
          <xdr:colOff>679450</xdr:colOff>
          <xdr:row>64</xdr:row>
          <xdr:rowOff>171450</xdr:rowOff>
        </xdr:to>
        <xdr:sp macro="" textlink="">
          <xdr:nvSpPr>
            <xdr:cNvPr id="153612" name="Button 12" hidden="1">
              <a:extLst>
                <a:ext uri="{63B3BB69-23CF-44E3-9099-C40C66FF867C}">
                  <a14:compatExt spid="_x0000_s153612"/>
                </a:ext>
                <a:ext uri="{FF2B5EF4-FFF2-40B4-BE49-F238E27FC236}">
                  <a16:creationId xmlns:a16="http://schemas.microsoft.com/office/drawing/2014/main" id="{00000000-0008-0000-0800-00000C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146050</xdr:colOff>
          <xdr:row>65</xdr:row>
          <xdr:rowOff>69850</xdr:rowOff>
        </xdr:from>
        <xdr:to>
          <xdr:col>26</xdr:col>
          <xdr:colOff>641350</xdr:colOff>
          <xdr:row>66</xdr:row>
          <xdr:rowOff>152400</xdr:rowOff>
        </xdr:to>
        <xdr:sp macro="" textlink="">
          <xdr:nvSpPr>
            <xdr:cNvPr id="153613" name="Button 13" hidden="1">
              <a:extLst>
                <a:ext uri="{63B3BB69-23CF-44E3-9099-C40C66FF867C}">
                  <a14:compatExt spid="_x0000_s153613"/>
                </a:ext>
                <a:ext uri="{FF2B5EF4-FFF2-40B4-BE49-F238E27FC236}">
                  <a16:creationId xmlns:a16="http://schemas.microsoft.com/office/drawing/2014/main" id="{00000000-0008-0000-0800-00000D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67</xdr:row>
          <xdr:rowOff>88900</xdr:rowOff>
        </xdr:from>
        <xdr:to>
          <xdr:col>26</xdr:col>
          <xdr:colOff>666750</xdr:colOff>
          <xdr:row>69</xdr:row>
          <xdr:rowOff>12700</xdr:rowOff>
        </xdr:to>
        <xdr:sp macro="" textlink="">
          <xdr:nvSpPr>
            <xdr:cNvPr id="153614" name="Button 14" hidden="1">
              <a:extLst>
                <a:ext uri="{63B3BB69-23CF-44E3-9099-C40C66FF867C}">
                  <a14:compatExt spid="_x0000_s153614"/>
                </a:ext>
                <a:ext uri="{FF2B5EF4-FFF2-40B4-BE49-F238E27FC236}">
                  <a16:creationId xmlns:a16="http://schemas.microsoft.com/office/drawing/2014/main" id="{00000000-0008-0000-0800-00000E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6350</xdr:colOff>
      <xdr:row>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208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47461" name="Button 5" hidden="1">
              <a:extLst>
                <a:ext uri="{63B3BB69-23CF-44E3-9099-C40C66FF867C}">
                  <a14:compatExt spid="_x0000_s147461"/>
                </a:ext>
                <a:ext uri="{FF2B5EF4-FFF2-40B4-BE49-F238E27FC236}">
                  <a16:creationId xmlns:a16="http://schemas.microsoft.com/office/drawing/2014/main" id="{00000000-0008-0000-0900-000005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47462" name="Button 6" hidden="1">
              <a:extLst>
                <a:ext uri="{63B3BB69-23CF-44E3-9099-C40C66FF867C}">
                  <a14:compatExt spid="_x0000_s147462"/>
                </a:ext>
                <a:ext uri="{FF2B5EF4-FFF2-40B4-BE49-F238E27FC236}">
                  <a16:creationId xmlns:a16="http://schemas.microsoft.com/office/drawing/2014/main" id="{00000000-0008-0000-0900-000006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47463" name="Button 7" hidden="1">
              <a:extLst>
                <a:ext uri="{63B3BB69-23CF-44E3-9099-C40C66FF867C}">
                  <a14:compatExt spid="_x0000_s147463"/>
                </a:ext>
                <a:ext uri="{FF2B5EF4-FFF2-40B4-BE49-F238E27FC236}">
                  <a16:creationId xmlns:a16="http://schemas.microsoft.com/office/drawing/2014/main" id="{00000000-0008-0000-0900-000007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147466" name="Button 10" hidden="1">
              <a:extLst>
                <a:ext uri="{63B3BB69-23CF-44E3-9099-C40C66FF867C}">
                  <a14:compatExt spid="_x0000_s147466"/>
                </a:ext>
                <a:ext uri="{FF2B5EF4-FFF2-40B4-BE49-F238E27FC236}">
                  <a16:creationId xmlns:a16="http://schemas.microsoft.com/office/drawing/2014/main" id="{00000000-0008-0000-0900-00000A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147467" name="Button 11" hidden="1">
              <a:extLst>
                <a:ext uri="{63B3BB69-23CF-44E3-9099-C40C66FF867C}">
                  <a14:compatExt spid="_x0000_s147467"/>
                </a:ext>
                <a:ext uri="{FF2B5EF4-FFF2-40B4-BE49-F238E27FC236}">
                  <a16:creationId xmlns:a16="http://schemas.microsoft.com/office/drawing/2014/main" id="{00000000-0008-0000-0900-00000B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147468" name="Button 12" hidden="1">
              <a:extLst>
                <a:ext uri="{63B3BB69-23CF-44E3-9099-C40C66FF867C}">
                  <a14:compatExt spid="_x0000_s147468"/>
                </a:ext>
                <a:ext uri="{FF2B5EF4-FFF2-40B4-BE49-F238E27FC236}">
                  <a16:creationId xmlns:a16="http://schemas.microsoft.com/office/drawing/2014/main" id="{00000000-0008-0000-0900-00000C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25</xdr:row>
          <xdr:rowOff>69850</xdr:rowOff>
        </xdr:from>
        <xdr:to>
          <xdr:col>28</xdr:col>
          <xdr:colOff>266700</xdr:colOff>
          <xdr:row>26</xdr:row>
          <xdr:rowOff>146050</xdr:rowOff>
        </xdr:to>
        <xdr:sp macro="" textlink="">
          <xdr:nvSpPr>
            <xdr:cNvPr id="147469" name="Button 13" hidden="1">
              <a:extLst>
                <a:ext uri="{63B3BB69-23CF-44E3-9099-C40C66FF867C}">
                  <a14:compatExt spid="_x0000_s147469"/>
                </a:ext>
                <a:ext uri="{FF2B5EF4-FFF2-40B4-BE49-F238E27FC236}">
                  <a16:creationId xmlns:a16="http://schemas.microsoft.com/office/drawing/2014/main" id="{00000000-0008-0000-0900-00000D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533400</xdr:colOff>
          <xdr:row>32</xdr:row>
          <xdr:rowOff>31750</xdr:rowOff>
        </xdr:from>
        <xdr:to>
          <xdr:col>28</xdr:col>
          <xdr:colOff>419100</xdr:colOff>
          <xdr:row>33</xdr:row>
          <xdr:rowOff>114300</xdr:rowOff>
        </xdr:to>
        <xdr:sp macro="" textlink="">
          <xdr:nvSpPr>
            <xdr:cNvPr id="147470" name="Button 14" hidden="1">
              <a:extLst>
                <a:ext uri="{63B3BB69-23CF-44E3-9099-C40C66FF867C}">
                  <a14:compatExt spid="_x0000_s147470"/>
                </a:ext>
                <a:ext uri="{FF2B5EF4-FFF2-40B4-BE49-F238E27FC236}">
                  <a16:creationId xmlns:a16="http://schemas.microsoft.com/office/drawing/2014/main" id="{00000000-0008-0000-0900-00000E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250190</xdr:colOff>
      <xdr:row>2</xdr:row>
      <xdr:rowOff>63500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754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482600</xdr:colOff>
          <xdr:row>35</xdr:row>
          <xdr:rowOff>101600</xdr:rowOff>
        </xdr:from>
        <xdr:to>
          <xdr:col>29</xdr:col>
          <xdr:colOff>596900</xdr:colOff>
          <xdr:row>40</xdr:row>
          <xdr:rowOff>152400</xdr:rowOff>
        </xdr:to>
        <xdr:sp macro="" textlink="">
          <xdr:nvSpPr>
            <xdr:cNvPr id="147472" name="Button 16" hidden="1">
              <a:extLst>
                <a:ext uri="{63B3BB69-23CF-44E3-9099-C40C66FF867C}">
                  <a14:compatExt spid="_x0000_s147472"/>
                </a:ext>
                <a:ext uri="{FF2B5EF4-FFF2-40B4-BE49-F238E27FC236}">
                  <a16:creationId xmlns:a16="http://schemas.microsoft.com/office/drawing/2014/main" id="{00000000-0008-0000-0900-000010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6月以降のシートを作成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59</xdr:row>
          <xdr:rowOff>19050</xdr:rowOff>
        </xdr:from>
        <xdr:to>
          <xdr:col>26</xdr:col>
          <xdr:colOff>673100</xdr:colOff>
          <xdr:row>60</xdr:row>
          <xdr:rowOff>139700</xdr:rowOff>
        </xdr:to>
        <xdr:sp macro="" textlink="">
          <xdr:nvSpPr>
            <xdr:cNvPr id="147473" name="Button 17" hidden="1">
              <a:extLst>
                <a:ext uri="{63B3BB69-23CF-44E3-9099-C40C66FF867C}">
                  <a14:compatExt spid="_x0000_s147473"/>
                </a:ext>
                <a:ext uri="{FF2B5EF4-FFF2-40B4-BE49-F238E27FC236}">
                  <a16:creationId xmlns:a16="http://schemas.microsoft.com/office/drawing/2014/main" id="{00000000-0008-0000-0900-00001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61</xdr:row>
          <xdr:rowOff>19050</xdr:rowOff>
        </xdr:from>
        <xdr:to>
          <xdr:col>26</xdr:col>
          <xdr:colOff>673100</xdr:colOff>
          <xdr:row>62</xdr:row>
          <xdr:rowOff>152400</xdr:rowOff>
        </xdr:to>
        <xdr:sp macro="" textlink="">
          <xdr:nvSpPr>
            <xdr:cNvPr id="147474" name="Button 18" hidden="1">
              <a:extLst>
                <a:ext uri="{63B3BB69-23CF-44E3-9099-C40C66FF867C}">
                  <a14:compatExt spid="_x0000_s147474"/>
                </a:ext>
                <a:ext uri="{FF2B5EF4-FFF2-40B4-BE49-F238E27FC236}">
                  <a16:creationId xmlns:a16="http://schemas.microsoft.com/office/drawing/2014/main" id="{00000000-0008-0000-0900-00001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69850</xdr:colOff>
          <xdr:row>63</xdr:row>
          <xdr:rowOff>31750</xdr:rowOff>
        </xdr:from>
        <xdr:to>
          <xdr:col>26</xdr:col>
          <xdr:colOff>679450</xdr:colOff>
          <xdr:row>64</xdr:row>
          <xdr:rowOff>171450</xdr:rowOff>
        </xdr:to>
        <xdr:sp macro="" textlink="">
          <xdr:nvSpPr>
            <xdr:cNvPr id="147475" name="Button 19" hidden="1">
              <a:extLst>
                <a:ext uri="{63B3BB69-23CF-44E3-9099-C40C66FF867C}">
                  <a14:compatExt spid="_x0000_s147475"/>
                </a:ext>
                <a:ext uri="{FF2B5EF4-FFF2-40B4-BE49-F238E27FC236}">
                  <a16:creationId xmlns:a16="http://schemas.microsoft.com/office/drawing/2014/main" id="{00000000-0008-0000-0900-000013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146050</xdr:colOff>
          <xdr:row>65</xdr:row>
          <xdr:rowOff>69850</xdr:rowOff>
        </xdr:from>
        <xdr:to>
          <xdr:col>26</xdr:col>
          <xdr:colOff>641350</xdr:colOff>
          <xdr:row>66</xdr:row>
          <xdr:rowOff>152400</xdr:rowOff>
        </xdr:to>
        <xdr:sp macro="" textlink="">
          <xdr:nvSpPr>
            <xdr:cNvPr id="147476" name="Button 20" hidden="1">
              <a:extLst>
                <a:ext uri="{63B3BB69-23CF-44E3-9099-C40C66FF867C}">
                  <a14:compatExt spid="_x0000_s147476"/>
                </a:ext>
                <a:ext uri="{FF2B5EF4-FFF2-40B4-BE49-F238E27FC236}">
                  <a16:creationId xmlns:a16="http://schemas.microsoft.com/office/drawing/2014/main" id="{00000000-0008-0000-0900-000014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67</xdr:row>
          <xdr:rowOff>88900</xdr:rowOff>
        </xdr:from>
        <xdr:to>
          <xdr:col>26</xdr:col>
          <xdr:colOff>666750</xdr:colOff>
          <xdr:row>69</xdr:row>
          <xdr:rowOff>12700</xdr:rowOff>
        </xdr:to>
        <xdr:sp macro="" textlink="">
          <xdr:nvSpPr>
            <xdr:cNvPr id="147477" name="Button 21" hidden="1">
              <a:extLst>
                <a:ext uri="{63B3BB69-23CF-44E3-9099-C40C66FF867C}">
                  <a14:compatExt spid="_x0000_s147477"/>
                </a:ext>
                <a:ext uri="{FF2B5EF4-FFF2-40B4-BE49-F238E27FC236}">
                  <a16:creationId xmlns:a16="http://schemas.microsoft.com/office/drawing/2014/main" id="{00000000-0008-0000-0900-000015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2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240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25</xdr:row>
          <xdr:rowOff>69850</xdr:rowOff>
        </xdr:from>
        <xdr:to>
          <xdr:col>28</xdr:col>
          <xdr:colOff>266700</xdr:colOff>
          <xdr:row>26</xdr:row>
          <xdr:rowOff>146050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533400</xdr:colOff>
          <xdr:row>32</xdr:row>
          <xdr:rowOff>31750</xdr:rowOff>
        </xdr:from>
        <xdr:to>
          <xdr:col>28</xdr:col>
          <xdr:colOff>419100</xdr:colOff>
          <xdr:row>33</xdr:row>
          <xdr:rowOff>114300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250190</xdr:colOff>
      <xdr:row>2</xdr:row>
      <xdr:rowOff>66675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754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35</xdr:row>
          <xdr:rowOff>69850</xdr:rowOff>
        </xdr:from>
        <xdr:to>
          <xdr:col>29</xdr:col>
          <xdr:colOff>603250</xdr:colOff>
          <xdr:row>40</xdr:row>
          <xdr:rowOff>114300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6月以降のシートを作成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59</xdr:row>
          <xdr:rowOff>19050</xdr:rowOff>
        </xdr:from>
        <xdr:to>
          <xdr:col>26</xdr:col>
          <xdr:colOff>673100</xdr:colOff>
          <xdr:row>60</xdr:row>
          <xdr:rowOff>139700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61</xdr:row>
          <xdr:rowOff>19050</xdr:rowOff>
        </xdr:from>
        <xdr:to>
          <xdr:col>26</xdr:col>
          <xdr:colOff>673100</xdr:colOff>
          <xdr:row>62</xdr:row>
          <xdr:rowOff>152400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69850</xdr:colOff>
          <xdr:row>63</xdr:row>
          <xdr:rowOff>31750</xdr:rowOff>
        </xdr:from>
        <xdr:to>
          <xdr:col>26</xdr:col>
          <xdr:colOff>679450</xdr:colOff>
          <xdr:row>64</xdr:row>
          <xdr:rowOff>171450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146050</xdr:colOff>
          <xdr:row>65</xdr:row>
          <xdr:rowOff>69850</xdr:rowOff>
        </xdr:from>
        <xdr:to>
          <xdr:col>26</xdr:col>
          <xdr:colOff>641350</xdr:colOff>
          <xdr:row>66</xdr:row>
          <xdr:rowOff>152400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67</xdr:row>
          <xdr:rowOff>88900</xdr:rowOff>
        </xdr:from>
        <xdr:to>
          <xdr:col>26</xdr:col>
          <xdr:colOff>666750</xdr:colOff>
          <xdr:row>69</xdr:row>
          <xdr:rowOff>12700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208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B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B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B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16</xdr:row>
          <xdr:rowOff>146050</xdr:rowOff>
        </xdr:from>
        <xdr:to>
          <xdr:col>28</xdr:col>
          <xdr:colOff>298450</xdr:colOff>
          <xdr:row>18</xdr:row>
          <xdr:rowOff>107950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B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19</xdr:row>
          <xdr:rowOff>114300</xdr:rowOff>
        </xdr:from>
        <xdr:to>
          <xdr:col>28</xdr:col>
          <xdr:colOff>298450</xdr:colOff>
          <xdr:row>21</xdr:row>
          <xdr:rowOff>69850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B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495300</xdr:colOff>
          <xdr:row>22</xdr:row>
          <xdr:rowOff>107950</xdr:rowOff>
        </xdr:from>
        <xdr:to>
          <xdr:col>28</xdr:col>
          <xdr:colOff>298450</xdr:colOff>
          <xdr:row>24</xdr:row>
          <xdr:rowOff>69850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B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25</xdr:row>
          <xdr:rowOff>69850</xdr:rowOff>
        </xdr:from>
        <xdr:to>
          <xdr:col>28</xdr:col>
          <xdr:colOff>266700</xdr:colOff>
          <xdr:row>26</xdr:row>
          <xdr:rowOff>146050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B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533400</xdr:colOff>
          <xdr:row>32</xdr:row>
          <xdr:rowOff>31750</xdr:rowOff>
        </xdr:from>
        <xdr:to>
          <xdr:col>28</xdr:col>
          <xdr:colOff>419100</xdr:colOff>
          <xdr:row>33</xdr:row>
          <xdr:rowOff>114300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B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250190</xdr:colOff>
      <xdr:row>2</xdr:row>
      <xdr:rowOff>63500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754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6350</xdr:colOff>
      <xdr:row>2</xdr:row>
      <xdr:rowOff>63500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C8D8B36-F384-4537-9DD2-1F2947625E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240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250190</xdr:colOff>
      <xdr:row>2</xdr:row>
      <xdr:rowOff>63500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605E6100-E209-4541-BF70-D34E1FC4D5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754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488950</xdr:colOff>
          <xdr:row>35</xdr:row>
          <xdr:rowOff>69850</xdr:rowOff>
        </xdr:from>
        <xdr:to>
          <xdr:col>29</xdr:col>
          <xdr:colOff>603250</xdr:colOff>
          <xdr:row>40</xdr:row>
          <xdr:rowOff>114300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0B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6月以降のシートを作成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59</xdr:row>
          <xdr:rowOff>19050</xdr:rowOff>
        </xdr:from>
        <xdr:to>
          <xdr:col>26</xdr:col>
          <xdr:colOff>673100</xdr:colOff>
          <xdr:row>60</xdr:row>
          <xdr:rowOff>139700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B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処理実行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63500</xdr:colOff>
          <xdr:row>61</xdr:row>
          <xdr:rowOff>19050</xdr:rowOff>
        </xdr:from>
        <xdr:to>
          <xdr:col>26</xdr:col>
          <xdr:colOff>673100</xdr:colOff>
          <xdr:row>62</xdr:row>
          <xdr:rowOff>152400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0B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休暇処理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69850</xdr:colOff>
          <xdr:row>63</xdr:row>
          <xdr:rowOff>31750</xdr:rowOff>
        </xdr:from>
        <xdr:to>
          <xdr:col>26</xdr:col>
          <xdr:colOff>679450</xdr:colOff>
          <xdr:row>64</xdr:row>
          <xdr:rowOff>171450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0B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化粧直し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146050</xdr:colOff>
          <xdr:row>65</xdr:row>
          <xdr:rowOff>69850</xdr:rowOff>
        </xdr:from>
        <xdr:to>
          <xdr:col>26</xdr:col>
          <xdr:colOff>641350</xdr:colOff>
          <xdr:row>66</xdr:row>
          <xdr:rowOff>152400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0B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67</xdr:row>
          <xdr:rowOff>88900</xdr:rowOff>
        </xdr:from>
        <xdr:to>
          <xdr:col>26</xdr:col>
          <xdr:colOff>666750</xdr:colOff>
          <xdr:row>69</xdr:row>
          <xdr:rowOff>12700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0B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数式RST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48923" cy="275717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0" y="0"/>
          <a:ext cx="748923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 b="1"/>
            <a:t>休暇種別</a:t>
          </a:r>
        </a:p>
      </xdr:txBody>
    </xdr:sp>
    <xdr:clientData/>
  </xdr:oneCellAnchor>
  <xdr:oneCellAnchor>
    <xdr:from>
      <xdr:col>1</xdr:col>
      <xdr:colOff>285750</xdr:colOff>
      <xdr:row>0</xdr:row>
      <xdr:rowOff>0</xdr:rowOff>
    </xdr:from>
    <xdr:ext cx="751231" cy="275717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1314450" y="0"/>
          <a:ext cx="75123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 b="1"/>
            <a:t>勤務種別</a:t>
          </a:r>
        </a:p>
      </xdr:txBody>
    </xdr:sp>
    <xdr:clientData/>
  </xdr:oneCellAnchor>
  <xdr:oneCellAnchor>
    <xdr:from>
      <xdr:col>1</xdr:col>
      <xdr:colOff>285750</xdr:colOff>
      <xdr:row>0</xdr:row>
      <xdr:rowOff>0</xdr:rowOff>
    </xdr:from>
    <xdr:ext cx="751231" cy="275717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314450" y="0"/>
          <a:ext cx="75123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 b="1"/>
            <a:t>勤務種別</a:t>
          </a:r>
        </a:p>
      </xdr:txBody>
    </xdr:sp>
    <xdr:clientData/>
  </xdr:oneCellAnchor>
  <xdr:oneCellAnchor>
    <xdr:from>
      <xdr:col>1</xdr:col>
      <xdr:colOff>1188720</xdr:colOff>
      <xdr:row>0</xdr:row>
      <xdr:rowOff>0</xdr:rowOff>
    </xdr:from>
    <xdr:ext cx="957185" cy="25904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2217420" y="0"/>
          <a:ext cx="957185" cy="2590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000" b="1"/>
            <a:t>重付上限時間</a:t>
          </a:r>
        </a:p>
      </xdr:txBody>
    </xdr:sp>
    <xdr:clientData/>
  </xdr:oneCellAnchor>
  <xdr:oneCellAnchor>
    <xdr:from>
      <xdr:col>2</xdr:col>
      <xdr:colOff>590550</xdr:colOff>
      <xdr:row>0</xdr:row>
      <xdr:rowOff>0</xdr:rowOff>
    </xdr:from>
    <xdr:ext cx="846001" cy="275717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3009900" y="0"/>
          <a:ext cx="84600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 b="1"/>
            <a:t>みなし時間</a:t>
          </a:r>
        </a:p>
      </xdr:txBody>
    </xdr:sp>
    <xdr:clientData/>
  </xdr:oneCellAnchor>
  <xdr:oneCellAnchor>
    <xdr:from>
      <xdr:col>2</xdr:col>
      <xdr:colOff>590550</xdr:colOff>
      <xdr:row>0</xdr:row>
      <xdr:rowOff>0</xdr:rowOff>
    </xdr:from>
    <xdr:ext cx="846001" cy="275717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3009900" y="0"/>
          <a:ext cx="84600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 b="1"/>
            <a:t>みなし時間</a:t>
          </a:r>
        </a:p>
      </xdr:txBody>
    </xdr:sp>
    <xdr:clientData/>
  </xdr:oneCellAnchor>
  <xdr:oneCellAnchor>
    <xdr:from>
      <xdr:col>4</xdr:col>
      <xdr:colOff>47625</xdr:colOff>
      <xdr:row>0</xdr:row>
      <xdr:rowOff>0</xdr:rowOff>
    </xdr:from>
    <xdr:ext cx="609590" cy="275717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 txBox="1"/>
      </xdr:nvSpPr>
      <xdr:spPr>
        <a:xfrm>
          <a:off x="3800475" y="0"/>
          <a:ext cx="60959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 b="1"/>
            <a:t>割増率</a:t>
          </a:r>
        </a:p>
      </xdr:txBody>
    </xdr:sp>
    <xdr:clientData/>
  </xdr:oneCellAnchor>
  <xdr:oneCellAnchor>
    <xdr:from>
      <xdr:col>4</xdr:col>
      <xdr:colOff>624840</xdr:colOff>
      <xdr:row>0</xdr:row>
      <xdr:rowOff>0</xdr:rowOff>
    </xdr:from>
    <xdr:ext cx="751231" cy="27571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/>
      </xdr:nvSpPr>
      <xdr:spPr>
        <a:xfrm>
          <a:off x="4377690" y="0"/>
          <a:ext cx="75123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 b="1"/>
            <a:t>下限時間</a:t>
          </a:r>
        </a:p>
      </xdr:txBody>
    </xdr:sp>
    <xdr:clientData/>
  </xdr:oneCellAnchor>
  <xdr:oneCellAnchor>
    <xdr:from>
      <xdr:col>5</xdr:col>
      <xdr:colOff>609600</xdr:colOff>
      <xdr:row>0</xdr:row>
      <xdr:rowOff>0</xdr:rowOff>
    </xdr:from>
    <xdr:ext cx="751231" cy="275717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 txBox="1"/>
      </xdr:nvSpPr>
      <xdr:spPr>
        <a:xfrm>
          <a:off x="5029200" y="0"/>
          <a:ext cx="75123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 b="1"/>
            <a:t>上限時間</a:t>
          </a:r>
        </a:p>
      </xdr:txBody>
    </xdr:sp>
    <xdr:clientData/>
  </xdr:oneCellAnchor>
  <xdr:oneCellAnchor>
    <xdr:from>
      <xdr:col>6</xdr:col>
      <xdr:colOff>548640</xdr:colOff>
      <xdr:row>0</xdr:row>
      <xdr:rowOff>0</xdr:rowOff>
    </xdr:from>
    <xdr:ext cx="892873" cy="275717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 txBox="1"/>
      </xdr:nvSpPr>
      <xdr:spPr>
        <a:xfrm>
          <a:off x="5634990" y="0"/>
          <a:ext cx="892873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050" b="1"/>
            <a:t>下限時間数</a:t>
          </a:r>
          <a:endParaRPr kumimoji="1" lang="en-US" altLang="ja-JP" sz="1050" b="1"/>
        </a:p>
      </xdr:txBody>
    </xdr:sp>
    <xdr:clientData/>
  </xdr:oneCellAnchor>
  <xdr:oneCellAnchor>
    <xdr:from>
      <xdr:col>7</xdr:col>
      <xdr:colOff>590550</xdr:colOff>
      <xdr:row>0</xdr:row>
      <xdr:rowOff>0</xdr:rowOff>
    </xdr:from>
    <xdr:ext cx="860492" cy="267381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 txBox="1"/>
      </xdr:nvSpPr>
      <xdr:spPr>
        <a:xfrm>
          <a:off x="6343650" y="0"/>
          <a:ext cx="860492" cy="2673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050" b="1"/>
            <a:t>上限時間数</a:t>
          </a:r>
          <a:endParaRPr kumimoji="1" lang="en-US" altLang="ja-JP" sz="1050" b="1"/>
        </a:p>
      </xdr:txBody>
    </xdr:sp>
    <xdr:clientData/>
  </xdr:oneCellAnchor>
  <xdr:oneCellAnchor>
    <xdr:from>
      <xdr:col>8</xdr:col>
      <xdr:colOff>628650</xdr:colOff>
      <xdr:row>0</xdr:row>
      <xdr:rowOff>0</xdr:rowOff>
    </xdr:from>
    <xdr:ext cx="725327" cy="267381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 txBox="1"/>
      </xdr:nvSpPr>
      <xdr:spPr>
        <a:xfrm>
          <a:off x="7048500" y="0"/>
          <a:ext cx="725327" cy="2673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050" b="1"/>
            <a:t>時給計算</a:t>
          </a:r>
          <a:endParaRPr kumimoji="1" lang="en-US" altLang="ja-JP" sz="1050" b="1"/>
        </a:p>
      </xdr:txBody>
    </xdr:sp>
    <xdr:clientData/>
  </xdr:oneCellAnchor>
  <xdr:oneCellAnchor>
    <xdr:from>
      <xdr:col>9</xdr:col>
      <xdr:colOff>647700</xdr:colOff>
      <xdr:row>0</xdr:row>
      <xdr:rowOff>0</xdr:rowOff>
    </xdr:from>
    <xdr:ext cx="860492" cy="267381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 txBox="1"/>
      </xdr:nvSpPr>
      <xdr:spPr>
        <a:xfrm>
          <a:off x="7734300" y="0"/>
          <a:ext cx="860492" cy="2673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050" b="1"/>
            <a:t>標準時間数</a:t>
          </a:r>
          <a:endParaRPr kumimoji="1" lang="en-US" altLang="ja-JP" sz="1050" b="1"/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409574</xdr:colOff>
      <xdr:row>1</xdr:row>
      <xdr:rowOff>19050</xdr:rowOff>
    </xdr:from>
    <xdr:to>
      <xdr:col>30</xdr:col>
      <xdr:colOff>409575</xdr:colOff>
      <xdr:row>11</xdr:row>
      <xdr:rowOff>161925</xdr:rowOff>
    </xdr:to>
    <xdr:sp macro="" textlink="">
      <xdr:nvSpPr>
        <xdr:cNvPr id="3" name="雲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7591424" y="190500"/>
          <a:ext cx="2743201" cy="1857375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本シートで記載してある内容は、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NMHT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に入社した方用に新規で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シートを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作成する場合の記載内容です。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毎月の記入方法は、別に手順書があります。</a:t>
          </a:r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180975</xdr:colOff>
      <xdr:row>9</xdr:row>
      <xdr:rowOff>28575</xdr:rowOff>
    </xdr:from>
    <xdr:to>
      <xdr:col>20</xdr:col>
      <xdr:colOff>47625</xdr:colOff>
      <xdr:row>13</xdr:row>
      <xdr:rowOff>76200</xdr:rowOff>
    </xdr:to>
    <xdr:sp macro="" textlink="">
      <xdr:nvSpPr>
        <xdr:cNvPr id="4" name="角丸四角形吹き出し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219450" y="1571625"/>
          <a:ext cx="2352675" cy="733425"/>
        </a:xfrm>
        <a:prstGeom prst="wedgeRoundRectCallout">
          <a:avLst>
            <a:gd name="adj1" fmla="val -80028"/>
            <a:gd name="adj2" fmla="val -41885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赤字</a:t>
          </a:r>
          <a:r>
            <a:rPr kumimoji="1" lang="ja-JP" altLang="en-US" sz="1100">
              <a:solidFill>
                <a:sysClr val="windowText" lastClr="000000"/>
              </a:solidFill>
            </a:rPr>
            <a:t>の箇所を記入する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最初の月を記入すれば翌月以降は自動で反映されます</a:t>
          </a:r>
        </a:p>
      </xdr:txBody>
    </xdr:sp>
    <xdr:clientData/>
  </xdr:twoCellAnchor>
  <xdr:twoCellAnchor>
    <xdr:from>
      <xdr:col>25</xdr:col>
      <xdr:colOff>57151</xdr:colOff>
      <xdr:row>49</xdr:row>
      <xdr:rowOff>47625</xdr:rowOff>
    </xdr:from>
    <xdr:to>
      <xdr:col>28</xdr:col>
      <xdr:colOff>657225</xdr:colOff>
      <xdr:row>53</xdr:row>
      <xdr:rowOff>152400</xdr:rowOff>
    </xdr:to>
    <xdr:sp macro="" textlink="">
      <xdr:nvSpPr>
        <xdr:cNvPr id="6" name="角丸四角形吹き出し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6962776" y="8448675"/>
          <a:ext cx="2247899" cy="790575"/>
        </a:xfrm>
        <a:prstGeom prst="wedgeRoundRectCallout">
          <a:avLst>
            <a:gd name="adj1" fmla="val -64774"/>
            <a:gd name="adj2" fmla="val -9355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赤字</a:t>
          </a:r>
          <a:r>
            <a:rPr kumimoji="1" lang="ja-JP" altLang="en-US" sz="1100">
              <a:solidFill>
                <a:sysClr val="windowText" lastClr="000000"/>
              </a:solidFill>
            </a:rPr>
            <a:t>の箇所を記入する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最初の月を記入すれば翌月以降は自動で反映されます</a:t>
          </a:r>
        </a:p>
      </xdr:txBody>
    </xdr:sp>
    <xdr:clientData/>
  </xdr:twoCellAnchor>
  <xdr:twoCellAnchor>
    <xdr:from>
      <xdr:col>12</xdr:col>
      <xdr:colOff>238125</xdr:colOff>
      <xdr:row>52</xdr:row>
      <xdr:rowOff>114299</xdr:rowOff>
    </xdr:from>
    <xdr:to>
      <xdr:col>21</xdr:col>
      <xdr:colOff>104775</xdr:colOff>
      <xdr:row>60</xdr:row>
      <xdr:rowOff>9524</xdr:rowOff>
    </xdr:to>
    <xdr:sp macro="" textlink="">
      <xdr:nvSpPr>
        <xdr:cNvPr id="7" name="角丸四角形吹き出し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743325" y="9029699"/>
          <a:ext cx="2352675" cy="1266825"/>
        </a:xfrm>
        <a:prstGeom prst="wedgeRoundRectCallout">
          <a:avLst>
            <a:gd name="adj1" fmla="val -58166"/>
            <a:gd name="adj2" fmla="val -34582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赤字</a:t>
          </a:r>
          <a:r>
            <a:rPr kumimoji="1" lang="ja-JP" altLang="en-US" sz="1100">
              <a:solidFill>
                <a:sysClr val="windowText" lastClr="000000"/>
              </a:solidFill>
            </a:rPr>
            <a:t>の箇所を必要に応じて記入する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>
            <a:lnSpc>
              <a:spcPts val="1300"/>
            </a:lnSpc>
          </a:pPr>
          <a:r>
            <a:rPr kumimoji="1" lang="ja-JP" altLang="en-US" sz="1100">
              <a:solidFill>
                <a:sysClr val="windowText" lastClr="000000"/>
              </a:solidFill>
            </a:rPr>
            <a:t>最初の月を記入すれば翌月以降は自動で反映されます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>
            <a:lnSpc>
              <a:spcPts val="1300"/>
            </a:lnSpc>
          </a:pPr>
          <a:r>
            <a:rPr kumimoji="1" lang="ja-JP" altLang="en-US" sz="1100">
              <a:solidFill>
                <a:sysClr val="windowText" lastClr="000000"/>
              </a:solidFill>
            </a:rPr>
            <a:t>小数点以下は、切り上げます。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>
            <a:lnSpc>
              <a:spcPts val="1300"/>
            </a:lnSpc>
          </a:pPr>
          <a:r>
            <a:rPr kumimoji="1" lang="ja-JP" altLang="en-US" sz="1100">
              <a:solidFill>
                <a:sysClr val="windowText" lastClr="000000"/>
              </a:solidFill>
            </a:rPr>
            <a:t>例：</a:t>
          </a:r>
          <a:r>
            <a:rPr kumimoji="1" lang="en-US" altLang="ja-JP" sz="1100">
              <a:solidFill>
                <a:sysClr val="windowText" lastClr="000000"/>
              </a:solidFill>
            </a:rPr>
            <a:t>1251.25</a:t>
          </a:r>
          <a:r>
            <a:rPr kumimoji="1" lang="ja-JP" altLang="en-US" sz="1100">
              <a:solidFill>
                <a:sysClr val="windowText" lastClr="000000"/>
              </a:solidFill>
            </a:rPr>
            <a:t>→</a:t>
          </a:r>
          <a:r>
            <a:rPr kumimoji="1" lang="en-US" altLang="ja-JP" sz="1100">
              <a:solidFill>
                <a:sysClr val="windowText" lastClr="000000"/>
              </a:solidFill>
            </a:rPr>
            <a:t>1252</a:t>
          </a:r>
        </a:p>
        <a:p>
          <a:pPr algn="l">
            <a:lnSpc>
              <a:spcPts val="1300"/>
            </a:lnSpc>
          </a:pP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19050</xdr:colOff>
      <xdr:row>61</xdr:row>
      <xdr:rowOff>152400</xdr:rowOff>
    </xdr:from>
    <xdr:to>
      <xdr:col>12</xdr:col>
      <xdr:colOff>0</xdr:colOff>
      <xdr:row>64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19050" y="10610850"/>
          <a:ext cx="3486150" cy="361950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13</xdr:col>
      <xdr:colOff>85725</xdr:colOff>
      <xdr:row>61</xdr:row>
      <xdr:rowOff>161925</xdr:rowOff>
    </xdr:from>
    <xdr:to>
      <xdr:col>19</xdr:col>
      <xdr:colOff>95250</xdr:colOff>
      <xdr:row>65</xdr:row>
      <xdr:rowOff>19049</xdr:rowOff>
    </xdr:to>
    <xdr:sp macro="" textlink="">
      <xdr:nvSpPr>
        <xdr:cNvPr id="9" name="角丸四角形吹き出し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3867150" y="10620375"/>
          <a:ext cx="1666875" cy="542924"/>
        </a:xfrm>
        <a:prstGeom prst="wedgeRoundRectCallout">
          <a:avLst>
            <a:gd name="adj1" fmla="val -71291"/>
            <a:gd name="adj2" fmla="val -15920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>
            <a:lnSpc>
              <a:spcPts val="1300"/>
            </a:lnSpc>
          </a:pPr>
          <a:r>
            <a:rPr kumimoji="1" lang="ja-JP" altLang="en-US" sz="1100">
              <a:solidFill>
                <a:srgbClr val="0070C0"/>
              </a:solidFill>
            </a:rPr>
            <a:t>青枠</a:t>
          </a:r>
          <a:r>
            <a:rPr kumimoji="1" lang="ja-JP" altLang="en-US" sz="1100">
              <a:solidFill>
                <a:sysClr val="windowText" lastClr="000000"/>
              </a:solidFill>
            </a:rPr>
            <a:t>の箇所は必要に応じて使用してください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9526</xdr:colOff>
      <xdr:row>4</xdr:row>
      <xdr:rowOff>76200</xdr:rowOff>
    </xdr:from>
    <xdr:to>
      <xdr:col>26</xdr:col>
      <xdr:colOff>333376</xdr:colOff>
      <xdr:row>9</xdr:row>
      <xdr:rowOff>0</xdr:rowOff>
    </xdr:to>
    <xdr:sp macro="" textlink="">
      <xdr:nvSpPr>
        <xdr:cNvPr id="10" name="角丸四角形吹き出し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4619626" y="762000"/>
          <a:ext cx="3086100" cy="781050"/>
        </a:xfrm>
        <a:prstGeom prst="wedgeRoundRectCallout">
          <a:avLst>
            <a:gd name="adj1" fmla="val -77087"/>
            <a:gd name="adj2" fmla="val -54006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赤字</a:t>
          </a:r>
          <a:r>
            <a:rPr kumimoji="1" lang="ja-JP" altLang="en-US" sz="1100">
              <a:solidFill>
                <a:sysClr val="windowText" lastClr="000000"/>
              </a:solidFill>
            </a:rPr>
            <a:t>の箇所を記入する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4</a:t>
          </a:r>
          <a:r>
            <a:rPr kumimoji="1" lang="ja-JP" altLang="en-US" sz="1100">
              <a:solidFill>
                <a:sysClr val="windowText" lastClr="000000"/>
              </a:solidFill>
            </a:rPr>
            <a:t>月～</a:t>
          </a:r>
          <a:r>
            <a:rPr kumimoji="1" lang="en-US" altLang="ja-JP" sz="1100">
              <a:solidFill>
                <a:sysClr val="windowText" lastClr="000000"/>
              </a:solidFill>
            </a:rPr>
            <a:t>3</a:t>
          </a:r>
          <a:r>
            <a:rPr kumimoji="1" lang="ja-JP" altLang="en-US" sz="1100">
              <a:solidFill>
                <a:sysClr val="windowText" lastClr="000000"/>
              </a:solidFill>
            </a:rPr>
            <a:t>月までのすべてのシートを手入力で変更してください</a:t>
          </a:r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年度初めのみ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</a:p>
      </xdr:txBody>
    </xdr:sp>
    <xdr:clientData/>
  </xdr:twoCellAnchor>
  <xdr:twoCellAnchor>
    <xdr:from>
      <xdr:col>4</xdr:col>
      <xdr:colOff>28575</xdr:colOff>
      <xdr:row>24</xdr:row>
      <xdr:rowOff>57150</xdr:rowOff>
    </xdr:from>
    <xdr:to>
      <xdr:col>10</xdr:col>
      <xdr:colOff>19050</xdr:colOff>
      <xdr:row>33</xdr:row>
      <xdr:rowOff>57150</xdr:rowOff>
    </xdr:to>
    <xdr:sp macro="" textlink="">
      <xdr:nvSpPr>
        <xdr:cNvPr id="11" name="角丸四角形吹き出し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1133475" y="4171950"/>
          <a:ext cx="1838325" cy="1543050"/>
        </a:xfrm>
        <a:prstGeom prst="wedgeRoundRectCallout">
          <a:avLst>
            <a:gd name="adj1" fmla="val -65355"/>
            <a:gd name="adj2" fmla="val -18742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祝日は、自動で赤字にならないので手動で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日付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][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曜日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を</a:t>
          </a:r>
          <a:r>
            <a:rPr kumimoji="1" lang="ja-JP" altLang="en-US" sz="1100">
              <a:solidFill>
                <a:srgbClr val="FF0000"/>
              </a:solidFill>
            </a:rPr>
            <a:t>赤字</a:t>
          </a:r>
          <a:r>
            <a:rPr kumimoji="1" lang="ja-JP" altLang="en-US" sz="1100">
              <a:solidFill>
                <a:sysClr val="windowText" lastClr="000000"/>
              </a:solidFill>
            </a:rPr>
            <a:t>にしてください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4</a:t>
          </a:r>
          <a:r>
            <a:rPr kumimoji="1" lang="ja-JP" altLang="en-US" sz="1100">
              <a:solidFill>
                <a:sysClr val="windowText" lastClr="000000"/>
              </a:solidFill>
            </a:rPr>
            <a:t>月～</a:t>
          </a:r>
          <a:r>
            <a:rPr kumimoji="1" lang="en-US" altLang="ja-JP" sz="1100">
              <a:solidFill>
                <a:sysClr val="windowText" lastClr="000000"/>
              </a:solidFill>
            </a:rPr>
            <a:t>3</a:t>
          </a:r>
          <a:r>
            <a:rPr kumimoji="1" lang="ja-JP" altLang="en-US" sz="1100">
              <a:solidFill>
                <a:sysClr val="windowText" lastClr="000000"/>
              </a:solidFill>
            </a:rPr>
            <a:t>月までのシートを手入力で変更してください</a:t>
          </a:r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年度初めのみ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17" Type="http://schemas.openxmlformats.org/officeDocument/2006/relationships/ctrlProp" Target="../ctrlProps/ctrlProp2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5" Type="http://schemas.openxmlformats.org/officeDocument/2006/relationships/ctrlProp" Target="../ctrlProps/ctrlProp2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13" Type="http://schemas.openxmlformats.org/officeDocument/2006/relationships/ctrlProp" Target="../ctrlProps/ctrlProp3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ctrlProp" Target="../ctrlProps/ctrlProp6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17" Type="http://schemas.openxmlformats.org/officeDocument/2006/relationships/ctrlProp" Target="../ctrlProps/ctrlProp7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5" Type="http://schemas.openxmlformats.org/officeDocument/2006/relationships/ctrlProp" Target="../ctrlProps/ctrlProp58.xml"/><Relationship Id="rId15" Type="http://schemas.openxmlformats.org/officeDocument/2006/relationships/ctrlProp" Target="../ctrlProps/ctrlProp68.xml"/><Relationship Id="rId10" Type="http://schemas.openxmlformats.org/officeDocument/2006/relationships/ctrlProp" Target="../ctrlProps/ctrlProp63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5.xml"/><Relationship Id="rId13" Type="http://schemas.openxmlformats.org/officeDocument/2006/relationships/ctrlProp" Target="../ctrlProps/ctrlProp8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74.xml"/><Relationship Id="rId12" Type="http://schemas.openxmlformats.org/officeDocument/2006/relationships/ctrlProp" Target="../ctrlProps/ctrlProp79.xml"/><Relationship Id="rId17" Type="http://schemas.openxmlformats.org/officeDocument/2006/relationships/ctrlProp" Target="../ctrlProps/ctrlProp8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3.xml"/><Relationship Id="rId11" Type="http://schemas.openxmlformats.org/officeDocument/2006/relationships/ctrlProp" Target="../ctrlProps/ctrlProp78.xml"/><Relationship Id="rId5" Type="http://schemas.openxmlformats.org/officeDocument/2006/relationships/ctrlProp" Target="../ctrlProps/ctrlProp72.xml"/><Relationship Id="rId15" Type="http://schemas.openxmlformats.org/officeDocument/2006/relationships/ctrlProp" Target="../ctrlProps/ctrlProp82.xml"/><Relationship Id="rId10" Type="http://schemas.openxmlformats.org/officeDocument/2006/relationships/ctrlProp" Target="../ctrlProps/ctrlProp77.xml"/><Relationship Id="rId4" Type="http://schemas.openxmlformats.org/officeDocument/2006/relationships/ctrlProp" Target="../ctrlProps/ctrlProp71.xml"/><Relationship Id="rId9" Type="http://schemas.openxmlformats.org/officeDocument/2006/relationships/ctrlProp" Target="../ctrlProps/ctrlProp76.xml"/><Relationship Id="rId14" Type="http://schemas.openxmlformats.org/officeDocument/2006/relationships/ctrlProp" Target="../ctrlProps/ctrlProp8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13" Type="http://schemas.openxmlformats.org/officeDocument/2006/relationships/ctrlProp" Target="../ctrlProps/ctrlProp94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88.xml"/><Relationship Id="rId12" Type="http://schemas.openxmlformats.org/officeDocument/2006/relationships/ctrlProp" Target="../ctrlProps/ctrlProp93.xml"/><Relationship Id="rId17" Type="http://schemas.openxmlformats.org/officeDocument/2006/relationships/ctrlProp" Target="../ctrlProps/ctrlProp98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9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7.xml"/><Relationship Id="rId11" Type="http://schemas.openxmlformats.org/officeDocument/2006/relationships/ctrlProp" Target="../ctrlProps/ctrlProp92.xml"/><Relationship Id="rId5" Type="http://schemas.openxmlformats.org/officeDocument/2006/relationships/ctrlProp" Target="../ctrlProps/ctrlProp86.xml"/><Relationship Id="rId15" Type="http://schemas.openxmlformats.org/officeDocument/2006/relationships/ctrlProp" Target="../ctrlProps/ctrlProp96.xml"/><Relationship Id="rId10" Type="http://schemas.openxmlformats.org/officeDocument/2006/relationships/ctrlProp" Target="../ctrlProps/ctrlProp91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Relationship Id="rId14" Type="http://schemas.openxmlformats.org/officeDocument/2006/relationships/ctrlProp" Target="../ctrlProps/ctrlProp9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13" Type="http://schemas.openxmlformats.org/officeDocument/2006/relationships/ctrlProp" Target="../ctrlProps/ctrlProp10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102.xml"/><Relationship Id="rId12" Type="http://schemas.openxmlformats.org/officeDocument/2006/relationships/ctrlProp" Target="../ctrlProps/ctrlProp107.xml"/><Relationship Id="rId17" Type="http://schemas.openxmlformats.org/officeDocument/2006/relationships/ctrlProp" Target="../ctrlProps/ctrlProp112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01.xml"/><Relationship Id="rId11" Type="http://schemas.openxmlformats.org/officeDocument/2006/relationships/ctrlProp" Target="../ctrlProps/ctrlProp106.xml"/><Relationship Id="rId5" Type="http://schemas.openxmlformats.org/officeDocument/2006/relationships/ctrlProp" Target="../ctrlProps/ctrlProp100.xml"/><Relationship Id="rId15" Type="http://schemas.openxmlformats.org/officeDocument/2006/relationships/ctrlProp" Target="../ctrlProps/ctrlProp110.xml"/><Relationship Id="rId10" Type="http://schemas.openxmlformats.org/officeDocument/2006/relationships/ctrlProp" Target="../ctrlProps/ctrlProp105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Relationship Id="rId14" Type="http://schemas.openxmlformats.org/officeDocument/2006/relationships/ctrlProp" Target="../ctrlProps/ctrlProp10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7.xml"/><Relationship Id="rId13" Type="http://schemas.openxmlformats.org/officeDocument/2006/relationships/ctrlProp" Target="../ctrlProps/ctrlProp12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16.xml"/><Relationship Id="rId12" Type="http://schemas.openxmlformats.org/officeDocument/2006/relationships/ctrlProp" Target="../ctrlProps/ctrlProp121.xml"/><Relationship Id="rId17" Type="http://schemas.openxmlformats.org/officeDocument/2006/relationships/ctrlProp" Target="../ctrlProps/ctrlProp126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125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5.xml"/><Relationship Id="rId11" Type="http://schemas.openxmlformats.org/officeDocument/2006/relationships/ctrlProp" Target="../ctrlProps/ctrlProp120.xml"/><Relationship Id="rId5" Type="http://schemas.openxmlformats.org/officeDocument/2006/relationships/ctrlProp" Target="../ctrlProps/ctrlProp114.xml"/><Relationship Id="rId15" Type="http://schemas.openxmlformats.org/officeDocument/2006/relationships/ctrlProp" Target="../ctrlProps/ctrlProp124.xml"/><Relationship Id="rId10" Type="http://schemas.openxmlformats.org/officeDocument/2006/relationships/ctrlProp" Target="../ctrlProps/ctrlProp119.xml"/><Relationship Id="rId4" Type="http://schemas.openxmlformats.org/officeDocument/2006/relationships/ctrlProp" Target="../ctrlProps/ctrlProp113.xml"/><Relationship Id="rId9" Type="http://schemas.openxmlformats.org/officeDocument/2006/relationships/ctrlProp" Target="../ctrlProps/ctrlProp118.xml"/><Relationship Id="rId14" Type="http://schemas.openxmlformats.org/officeDocument/2006/relationships/ctrlProp" Target="../ctrlProps/ctrlProp1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13" Type="http://schemas.openxmlformats.org/officeDocument/2006/relationships/ctrlProp" Target="../ctrlProps/ctrlProp13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13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10" Type="http://schemas.openxmlformats.org/officeDocument/2006/relationships/ctrlProp" Target="../ctrlProps/ctrlProp133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5.xml"/><Relationship Id="rId13" Type="http://schemas.openxmlformats.org/officeDocument/2006/relationships/ctrlProp" Target="../ctrlProps/ctrlProp150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44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15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3.xml"/><Relationship Id="rId11" Type="http://schemas.openxmlformats.org/officeDocument/2006/relationships/ctrlProp" Target="../ctrlProps/ctrlProp148.xml"/><Relationship Id="rId5" Type="http://schemas.openxmlformats.org/officeDocument/2006/relationships/ctrlProp" Target="../ctrlProps/ctrlProp142.xml"/><Relationship Id="rId15" Type="http://schemas.openxmlformats.org/officeDocument/2006/relationships/ctrlProp" Target="../ctrlProps/ctrlProp152.xml"/><Relationship Id="rId10" Type="http://schemas.openxmlformats.org/officeDocument/2006/relationships/ctrlProp" Target="../ctrlProps/ctrlProp147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4" Type="http://schemas.openxmlformats.org/officeDocument/2006/relationships/ctrlProp" Target="../ctrlProps/ctrlProp15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9.xml"/><Relationship Id="rId13" Type="http://schemas.openxmlformats.org/officeDocument/2006/relationships/ctrlProp" Target="../ctrlProps/ctrlProp164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58.xml"/><Relationship Id="rId12" Type="http://schemas.openxmlformats.org/officeDocument/2006/relationships/ctrlProp" Target="../ctrlProps/ctrlProp163.xml"/><Relationship Id="rId17" Type="http://schemas.openxmlformats.org/officeDocument/2006/relationships/ctrlProp" Target="../ctrlProps/ctrlProp168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16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57.xml"/><Relationship Id="rId11" Type="http://schemas.openxmlformats.org/officeDocument/2006/relationships/ctrlProp" Target="../ctrlProps/ctrlProp162.xml"/><Relationship Id="rId5" Type="http://schemas.openxmlformats.org/officeDocument/2006/relationships/ctrlProp" Target="../ctrlProps/ctrlProp156.xml"/><Relationship Id="rId15" Type="http://schemas.openxmlformats.org/officeDocument/2006/relationships/ctrlProp" Target="../ctrlProps/ctrlProp166.xml"/><Relationship Id="rId10" Type="http://schemas.openxmlformats.org/officeDocument/2006/relationships/ctrlProp" Target="../ctrlProps/ctrlProp161.xml"/><Relationship Id="rId4" Type="http://schemas.openxmlformats.org/officeDocument/2006/relationships/ctrlProp" Target="../ctrlProps/ctrlProp155.xml"/><Relationship Id="rId9" Type="http://schemas.openxmlformats.org/officeDocument/2006/relationships/ctrlProp" Target="../ctrlProps/ctrlProp160.xml"/><Relationship Id="rId14" Type="http://schemas.openxmlformats.org/officeDocument/2006/relationships/ctrlProp" Target="../ctrlProps/ctrlProp16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A90F1-1890-4499-B107-2E7DA24A9362}">
  <sheetPr codeName="Sheet38">
    <pageSetUpPr fitToPage="1"/>
  </sheetPr>
  <dimension ref="A1:AH83"/>
  <sheetViews>
    <sheetView tabSelected="1" view="pageBreakPreview" zoomScaleNormal="130" zoomScaleSheetLayoutView="100" workbookViewId="0">
      <pane ySplit="16" topLeftCell="A49" activePane="bottomLeft" state="frozen"/>
      <selection activeCell="AC46" sqref="AC46"/>
      <selection pane="bottomLeft" activeCell="D54" sqref="D54:E54"/>
    </sheetView>
  </sheetViews>
  <sheetFormatPr defaultRowHeight="13" x14ac:dyDescent="0.2"/>
  <cols>
    <col min="1" max="1" width="5.36328125" customWidth="1"/>
    <col min="2" max="7" width="3.6328125" customWidth="1"/>
    <col min="8" max="8" width="4.36328125" customWidth="1"/>
    <col min="9" max="12" width="3.6328125" customWidth="1"/>
    <col min="13" max="15" width="3.90625" customWidth="1"/>
    <col min="16" max="26" width="3.6328125" customWidth="1"/>
    <col min="27" max="28" width="10.453125" bestFit="1" customWidth="1"/>
    <col min="257" max="282" width="3.6328125" customWidth="1"/>
    <col min="513" max="538" width="3.6328125" customWidth="1"/>
    <col min="769" max="794" width="3.6328125" customWidth="1"/>
    <col min="1025" max="1050" width="3.6328125" customWidth="1"/>
    <col min="1281" max="1306" width="3.6328125" customWidth="1"/>
    <col min="1537" max="1562" width="3.6328125" customWidth="1"/>
    <col min="1793" max="1818" width="3.6328125" customWidth="1"/>
    <col min="2049" max="2074" width="3.6328125" customWidth="1"/>
    <col min="2305" max="2330" width="3.6328125" customWidth="1"/>
    <col min="2561" max="2586" width="3.6328125" customWidth="1"/>
    <col min="2817" max="2842" width="3.6328125" customWidth="1"/>
    <col min="3073" max="3098" width="3.6328125" customWidth="1"/>
    <col min="3329" max="3354" width="3.6328125" customWidth="1"/>
    <col min="3585" max="3610" width="3.6328125" customWidth="1"/>
    <col min="3841" max="3866" width="3.6328125" customWidth="1"/>
    <col min="4097" max="4122" width="3.6328125" customWidth="1"/>
    <col min="4353" max="4378" width="3.6328125" customWidth="1"/>
    <col min="4609" max="4634" width="3.6328125" customWidth="1"/>
    <col min="4865" max="4890" width="3.6328125" customWidth="1"/>
    <col min="5121" max="5146" width="3.6328125" customWidth="1"/>
    <col min="5377" max="5402" width="3.6328125" customWidth="1"/>
    <col min="5633" max="5658" width="3.6328125" customWidth="1"/>
    <col min="5889" max="5914" width="3.6328125" customWidth="1"/>
    <col min="6145" max="6170" width="3.6328125" customWidth="1"/>
    <col min="6401" max="6426" width="3.6328125" customWidth="1"/>
    <col min="6657" max="6682" width="3.6328125" customWidth="1"/>
    <col min="6913" max="6938" width="3.6328125" customWidth="1"/>
    <col min="7169" max="7194" width="3.6328125" customWidth="1"/>
    <col min="7425" max="7450" width="3.6328125" customWidth="1"/>
    <col min="7681" max="7706" width="3.6328125" customWidth="1"/>
    <col min="7937" max="7962" width="3.6328125" customWidth="1"/>
    <col min="8193" max="8218" width="3.6328125" customWidth="1"/>
    <col min="8449" max="8474" width="3.6328125" customWidth="1"/>
    <col min="8705" max="8730" width="3.6328125" customWidth="1"/>
    <col min="8961" max="8986" width="3.6328125" customWidth="1"/>
    <col min="9217" max="9242" width="3.6328125" customWidth="1"/>
    <col min="9473" max="9498" width="3.6328125" customWidth="1"/>
    <col min="9729" max="9754" width="3.6328125" customWidth="1"/>
    <col min="9985" max="10010" width="3.6328125" customWidth="1"/>
    <col min="10241" max="10266" width="3.6328125" customWidth="1"/>
    <col min="10497" max="10522" width="3.6328125" customWidth="1"/>
    <col min="10753" max="10778" width="3.6328125" customWidth="1"/>
    <col min="11009" max="11034" width="3.6328125" customWidth="1"/>
    <col min="11265" max="11290" width="3.6328125" customWidth="1"/>
    <col min="11521" max="11546" width="3.6328125" customWidth="1"/>
    <col min="11777" max="11802" width="3.6328125" customWidth="1"/>
    <col min="12033" max="12058" width="3.6328125" customWidth="1"/>
    <col min="12289" max="12314" width="3.6328125" customWidth="1"/>
    <col min="12545" max="12570" width="3.6328125" customWidth="1"/>
    <col min="12801" max="12826" width="3.6328125" customWidth="1"/>
    <col min="13057" max="13082" width="3.6328125" customWidth="1"/>
    <col min="13313" max="13338" width="3.6328125" customWidth="1"/>
    <col min="13569" max="13594" width="3.6328125" customWidth="1"/>
    <col min="13825" max="13850" width="3.6328125" customWidth="1"/>
    <col min="14081" max="14106" width="3.6328125" customWidth="1"/>
    <col min="14337" max="14362" width="3.6328125" customWidth="1"/>
    <col min="14593" max="14618" width="3.6328125" customWidth="1"/>
    <col min="14849" max="14874" width="3.6328125" customWidth="1"/>
    <col min="15105" max="15130" width="3.6328125" customWidth="1"/>
    <col min="15361" max="15386" width="3.6328125" customWidth="1"/>
    <col min="15617" max="15642" width="3.6328125" customWidth="1"/>
    <col min="15873" max="15898" width="3.6328125" customWidth="1"/>
    <col min="16129" max="16154" width="3.6328125" customWidth="1"/>
  </cols>
  <sheetData>
    <row r="1" spans="1:32" ht="8" customHeight="1" x14ac:dyDescent="0.2">
      <c r="A1" s="55">
        <v>45413</v>
      </c>
      <c r="B1" s="85">
        <v>45413</v>
      </c>
      <c r="AB1" s="55"/>
      <c r="AC1" s="57"/>
    </row>
    <row r="2" spans="1:32" ht="8" customHeight="1" x14ac:dyDescent="0.2">
      <c r="A2" s="3"/>
      <c r="B2" s="3"/>
      <c r="C2" s="3"/>
      <c r="D2" s="3"/>
      <c r="E2" s="3"/>
      <c r="F2" s="3"/>
      <c r="G2" s="3"/>
      <c r="H2" s="3"/>
      <c r="I2" s="3"/>
      <c r="J2" s="4"/>
      <c r="K2" s="4"/>
      <c r="L2" s="5"/>
      <c r="M2" s="6"/>
      <c r="N2" s="6"/>
      <c r="O2" s="6"/>
      <c r="P2" s="4"/>
      <c r="X2" t="s">
        <v>66</v>
      </c>
      <c r="Y2" s="361">
        <f>LOOKUP(10^10,Ver管理!C3:C33)</f>
        <v>6</v>
      </c>
      <c r="Z2" s="361"/>
    </row>
    <row r="3" spans="1:32" ht="10" customHeight="1" thickBot="1" x14ac:dyDescent="0.25">
      <c r="A3" s="362">
        <f ca="1">+VLOOKUP(AB5,テーブル!L:M,2,0)</f>
        <v>46447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2"/>
      <c r="R3" s="362"/>
      <c r="S3" s="362"/>
      <c r="T3" s="362"/>
      <c r="U3" s="362"/>
      <c r="V3" s="362"/>
      <c r="W3" s="362"/>
      <c r="X3" s="362"/>
      <c r="Y3" s="362"/>
      <c r="Z3" s="362"/>
    </row>
    <row r="4" spans="1:32" ht="10" customHeight="1" x14ac:dyDescent="0.2">
      <c r="A4" s="362"/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B4" s="68"/>
      <c r="AC4" s="69"/>
      <c r="AD4" s="70"/>
    </row>
    <row r="5" spans="1:32" ht="14.15" customHeight="1" x14ac:dyDescent="0.2">
      <c r="A5" s="363" t="s">
        <v>202</v>
      </c>
      <c r="B5" s="363"/>
      <c r="C5" s="363"/>
      <c r="D5" s="363"/>
      <c r="E5" s="364" t="str">
        <f>+'2月'!$E$5</f>
        <v>NMHT　社員</v>
      </c>
      <c r="F5" s="364"/>
      <c r="G5" s="364"/>
      <c r="H5" s="364"/>
      <c r="I5" s="364"/>
      <c r="J5" s="7"/>
      <c r="K5" s="7"/>
      <c r="L5" s="7"/>
      <c r="M5" s="7"/>
      <c r="N5" s="7"/>
      <c r="O5" s="7"/>
      <c r="P5" s="7" t="str">
        <f ca="1">IF(_xlfn.XLOOKUP(当月,テーブル!U:U,テーブル!V:V,0,FALSE)+_xlfn.XLOOKUP(当月,テーブル!U:U,テーブル!W:W,0,FALSE)&lt;&gt;_xlfn.XLOOKUP(AB6,テーブル!U:U,テーブル!V:V,0,FALSE)+_xlfn.XLOOKUP(AB6,テーブル!U:U,テーブル!W:W,0,FALSE),"基給+手当1に前月と差異があります。","")</f>
        <v/>
      </c>
      <c r="Q5" s="7"/>
      <c r="R5" s="8"/>
      <c r="S5" s="8"/>
      <c r="T5" s="8"/>
      <c r="U5" s="8"/>
      <c r="AB5" s="71" t="str" cm="1">
        <f t="array" aca="1" ref="AB5" ca="1">RIGHT(CELL("filename",A1),LEN(CELL("filename",A1))-FIND("]",CELL("filename",A1)))</f>
        <v>3月</v>
      </c>
      <c r="AC5" t="s">
        <v>158</v>
      </c>
      <c r="AD5" s="72"/>
    </row>
    <row r="6" spans="1:32" ht="14.15" customHeight="1" x14ac:dyDescent="0.25">
      <c r="A6" s="366">
        <f>+'2月'!$A$6</f>
        <v>2000002</v>
      </c>
      <c r="B6" s="366"/>
      <c r="C6" s="366"/>
      <c r="D6" s="366"/>
      <c r="E6" s="365"/>
      <c r="F6" s="365"/>
      <c r="G6" s="365"/>
      <c r="H6" s="365"/>
      <c r="I6" s="365"/>
      <c r="J6" s="9" t="s">
        <v>98</v>
      </c>
      <c r="K6" s="108" t="str">
        <f ca="1">HYPERLINK(LEFT(TEXT(CELL("filename",B2),0),SEARCH("\[",TEXT(CELL("filename",B2),0),1)-1)&amp;"\")</f>
        <v>Z:\マクロ保管場所谷津用\2月控除分\</v>
      </c>
      <c r="L6" s="5"/>
      <c r="M6" s="6"/>
      <c r="N6" s="6"/>
      <c r="O6" s="6"/>
      <c r="P6" s="4"/>
      <c r="AB6" s="71" t="str">
        <f ca="1">+IF(SUBSTITUTE(当月,"月","")-1=0,12,SUBSTITUTE(当月,"月","")-1) &amp; "月"</f>
        <v>2月</v>
      </c>
      <c r="AC6" s="74" t="s">
        <v>170</v>
      </c>
      <c r="AD6" s="72"/>
    </row>
    <row r="7" spans="1:32" ht="14.15" customHeight="1" x14ac:dyDescent="0.2">
      <c r="I7" s="3"/>
      <c r="K7" s="11"/>
      <c r="N7" s="368"/>
      <c r="O7" s="368"/>
      <c r="P7" s="367" t="s">
        <v>272</v>
      </c>
      <c r="Q7" s="358"/>
      <c r="R7" s="358"/>
      <c r="S7" s="358"/>
      <c r="T7" s="358"/>
      <c r="U7" s="358"/>
      <c r="V7" s="358"/>
      <c r="W7" s="358"/>
      <c r="X7" s="358"/>
      <c r="Y7" s="358"/>
      <c r="Z7" s="358"/>
      <c r="AB7" s="73"/>
      <c r="AC7" s="56">
        <v>0.91666666666666663</v>
      </c>
      <c r="AD7" s="72"/>
    </row>
    <row r="8" spans="1:32" ht="14.15" hidden="1" customHeight="1" thickBot="1" x14ac:dyDescent="0.25">
      <c r="A8" s="163" t="s">
        <v>99</v>
      </c>
      <c r="B8" s="120"/>
      <c r="C8" s="350" t="str">
        <f>+'2月'!C8</f>
        <v>株式会社エヌエム・ヒューマテック</v>
      </c>
      <c r="D8" s="351"/>
      <c r="E8" s="351"/>
      <c r="F8" s="351"/>
      <c r="G8" s="351"/>
      <c r="H8" s="351"/>
      <c r="I8" s="352"/>
      <c r="J8" s="353"/>
      <c r="K8" s="11"/>
      <c r="L8" s="1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B8" s="75">
        <f ca="1">+IF(給与体系="管理監督者",0,IF(給与体系="月給制",1,2))</f>
        <v>2</v>
      </c>
      <c r="AC8" s="76">
        <v>0.20833333333333334</v>
      </c>
      <c r="AD8" s="77"/>
    </row>
    <row r="9" spans="1:32" ht="14.15" hidden="1" customHeight="1" x14ac:dyDescent="0.2">
      <c r="A9" s="166"/>
      <c r="B9" s="123"/>
      <c r="C9" s="354"/>
      <c r="D9" s="355"/>
      <c r="E9" s="355"/>
      <c r="F9" s="355"/>
      <c r="G9" s="355"/>
      <c r="H9" s="355"/>
      <c r="I9" s="356"/>
      <c r="J9" s="357"/>
      <c r="K9" s="13"/>
      <c r="P9" s="53"/>
      <c r="Q9" s="54" t="s">
        <v>269</v>
      </c>
      <c r="R9" s="52"/>
      <c r="S9" s="52"/>
      <c r="T9" s="358" t="s">
        <v>270</v>
      </c>
      <c r="U9" s="358"/>
      <c r="V9" s="358"/>
      <c r="W9" s="358"/>
      <c r="X9" s="358"/>
      <c r="Y9" s="358"/>
      <c r="Z9" s="358"/>
    </row>
    <row r="10" spans="1:32" ht="14.15" hidden="1" customHeight="1" x14ac:dyDescent="0.2">
      <c r="A10" s="163" t="s">
        <v>100</v>
      </c>
      <c r="B10" s="120"/>
      <c r="C10" s="359" t="str">
        <f>+'2月'!C10</f>
        <v>管理部</v>
      </c>
      <c r="D10" s="332"/>
      <c r="E10" s="332"/>
      <c r="F10" s="332"/>
      <c r="G10" s="332"/>
      <c r="H10" s="332"/>
      <c r="I10" s="333"/>
      <c r="J10" s="334"/>
      <c r="K10" s="13"/>
      <c r="P10" s="53"/>
      <c r="Q10" s="52"/>
      <c r="R10" s="52"/>
      <c r="S10" s="52"/>
      <c r="T10" s="360" t="s">
        <v>271</v>
      </c>
      <c r="U10" s="360"/>
      <c r="V10" s="360"/>
      <c r="W10" s="360"/>
      <c r="X10" s="360"/>
      <c r="Y10" s="360"/>
      <c r="Z10" s="360"/>
    </row>
    <row r="11" spans="1:32" ht="14.15" hidden="1" customHeight="1" x14ac:dyDescent="0.2">
      <c r="A11" s="166"/>
      <c r="B11" s="123"/>
      <c r="C11" s="335"/>
      <c r="D11" s="336"/>
      <c r="E11" s="336"/>
      <c r="F11" s="336"/>
      <c r="G11" s="336"/>
      <c r="H11" s="336"/>
      <c r="I11" s="337"/>
      <c r="J11" s="338"/>
      <c r="K11" s="4"/>
      <c r="L11" s="4"/>
      <c r="P11" s="52"/>
      <c r="Q11" s="54" t="s">
        <v>96</v>
      </c>
      <c r="R11" s="54"/>
      <c r="S11" s="53"/>
      <c r="T11" s="54"/>
      <c r="U11" s="53"/>
      <c r="V11" s="54" t="s">
        <v>97</v>
      </c>
      <c r="W11" s="54"/>
      <c r="X11" s="52"/>
      <c r="Y11" s="52"/>
      <c r="Z11" s="52"/>
      <c r="AE11" t="s">
        <v>178</v>
      </c>
    </row>
    <row r="12" spans="1:32" ht="14.15" hidden="1" customHeight="1" x14ac:dyDescent="0.2">
      <c r="A12" s="163" t="s">
        <v>101</v>
      </c>
      <c r="B12" s="120"/>
      <c r="C12" s="331"/>
      <c r="D12" s="332"/>
      <c r="E12" s="332"/>
      <c r="F12" s="332"/>
      <c r="G12" s="332"/>
      <c r="H12" s="332"/>
      <c r="I12" s="333"/>
      <c r="J12" s="334"/>
      <c r="K12" s="13"/>
      <c r="M12" s="15"/>
      <c r="N12" s="15"/>
      <c r="O12" s="14"/>
      <c r="P12" s="14"/>
      <c r="Q12" s="14"/>
      <c r="R12" s="14"/>
      <c r="S12" s="14"/>
      <c r="T12" s="14"/>
      <c r="U12" s="14"/>
      <c r="V12" s="8"/>
      <c r="W12" s="8"/>
      <c r="AF12">
        <f ca="1">+IFERROR(((MAX(0,超過勤務時間計+深夜残業時間計-60)*1.5+MIN(60,超過勤務時間計+深夜残業時間計)*1.25))/(超過勤務時間計),0)</f>
        <v>0</v>
      </c>
    </row>
    <row r="13" spans="1:32" ht="14.15" hidden="1" customHeight="1" x14ac:dyDescent="0.2">
      <c r="A13" s="166"/>
      <c r="B13" s="123"/>
      <c r="C13" s="335"/>
      <c r="D13" s="336"/>
      <c r="E13" s="336"/>
      <c r="F13" s="336"/>
      <c r="G13" s="336"/>
      <c r="H13" s="336"/>
      <c r="I13" s="337"/>
      <c r="J13" s="338"/>
      <c r="K13" s="13"/>
      <c r="M13" s="16"/>
      <c r="N13" s="15"/>
      <c r="O13" s="14"/>
      <c r="P13" s="14"/>
      <c r="Q13" s="14"/>
      <c r="R13" s="14"/>
      <c r="S13" s="14">
        <f>+'2月'!S13</f>
        <v>0</v>
      </c>
    </row>
    <row r="14" spans="1:32" ht="14.15" hidden="1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4"/>
      <c r="K14" s="4"/>
      <c r="L14" s="4"/>
      <c r="M14" s="4"/>
      <c r="N14" s="17"/>
      <c r="O14" s="4"/>
      <c r="P14" s="4"/>
      <c r="U14" s="18"/>
    </row>
    <row r="15" spans="1:32" ht="14.15" customHeight="1" x14ac:dyDescent="0.2">
      <c r="A15" s="339" t="s">
        <v>5</v>
      </c>
      <c r="B15" s="340"/>
      <c r="C15" s="339" t="s">
        <v>6</v>
      </c>
      <c r="D15" s="312" t="s">
        <v>36</v>
      </c>
      <c r="E15" s="343"/>
      <c r="F15" s="343"/>
      <c r="G15" s="313"/>
      <c r="H15" s="344" t="s">
        <v>37</v>
      </c>
      <c r="I15" s="345"/>
      <c r="J15" s="345" t="s">
        <v>7</v>
      </c>
      <c r="K15" s="348"/>
      <c r="L15" s="314" t="s">
        <v>8</v>
      </c>
      <c r="M15" s="325"/>
      <c r="N15" s="328" t="s">
        <v>9</v>
      </c>
      <c r="O15" s="315"/>
      <c r="P15" s="314" t="s">
        <v>10</v>
      </c>
      <c r="Q15" s="315"/>
      <c r="R15" s="314" t="s">
        <v>11</v>
      </c>
      <c r="S15" s="315"/>
      <c r="T15" s="314" t="s">
        <v>12</v>
      </c>
      <c r="U15" s="315"/>
      <c r="V15" s="314" t="s">
        <v>43</v>
      </c>
      <c r="W15" s="315"/>
      <c r="X15" s="304" t="s">
        <v>122</v>
      </c>
      <c r="Y15" s="305"/>
      <c r="Z15" s="306"/>
      <c r="AA15" s="310" t="s">
        <v>107</v>
      </c>
      <c r="AB15" t="s">
        <v>32</v>
      </c>
    </row>
    <row r="16" spans="1:32" ht="14.15" customHeight="1" x14ac:dyDescent="0.2">
      <c r="A16" s="341"/>
      <c r="B16" s="342"/>
      <c r="C16" s="341"/>
      <c r="D16" s="312" t="s">
        <v>14</v>
      </c>
      <c r="E16" s="313"/>
      <c r="F16" s="312" t="s">
        <v>15</v>
      </c>
      <c r="G16" s="313"/>
      <c r="H16" s="346"/>
      <c r="I16" s="347"/>
      <c r="J16" s="347"/>
      <c r="K16" s="349"/>
      <c r="L16" s="326"/>
      <c r="M16" s="327"/>
      <c r="N16" s="329"/>
      <c r="O16" s="317"/>
      <c r="P16" s="316"/>
      <c r="Q16" s="317"/>
      <c r="R16" s="316"/>
      <c r="S16" s="317"/>
      <c r="T16" s="316"/>
      <c r="U16" s="317"/>
      <c r="V16" s="316"/>
      <c r="W16" s="317"/>
      <c r="X16" s="307"/>
      <c r="Y16" s="308"/>
      <c r="Z16" s="309"/>
      <c r="AA16" s="311"/>
      <c r="AB16" t="s">
        <v>210</v>
      </c>
      <c r="AC16" s="59"/>
    </row>
    <row r="17" spans="1:30" s="59" customFormat="1" ht="14.15" customHeight="1" x14ac:dyDescent="0.2">
      <c r="A17" s="318">
        <f ca="1">A3</f>
        <v>46447</v>
      </c>
      <c r="B17" s="319"/>
      <c r="C17" s="78">
        <f ca="1">IF(A17="","",IF(WEEKDAY(A17,1)=1,1,IF(COUNTIF(祝日管理!B:B,A17)=1,"祝",WEEKDAY(A17,1))))</f>
        <v>2</v>
      </c>
      <c r="D17" s="320"/>
      <c r="E17" s="320"/>
      <c r="F17" s="320"/>
      <c r="G17" s="320"/>
      <c r="H17" s="320"/>
      <c r="I17" s="321"/>
      <c r="J17" s="322">
        <f>IF(OR(D17="",F17="",H17=""),0,IF(F17&gt;D17,F17,F17+24)-D17-H17)</f>
        <v>0</v>
      </c>
      <c r="K17" s="323"/>
      <c r="L17" s="299">
        <f>IF(J17="",0,(HOUR(J17))+(ROUNDDOWN(MINUTE(J17)/60,2)*1))</f>
        <v>0</v>
      </c>
      <c r="M17" s="324"/>
      <c r="N17" s="330">
        <f ca="1">+IF(ISERROR(IF(A17="",0,IF(OR(X17="法休",X17="所休")=1,0,IF(L17=0,0,MIN(8,L17-R17))))),"",IF(A17="","",IF(OR(X17="法休",X17="所休"),0,IF(L17=0,0,MIN(8,L17-R17)))))</f>
        <v>0</v>
      </c>
      <c r="O17" s="300"/>
      <c r="P17" s="299">
        <f ca="1">+IF(ISERROR(IF(A17="","",IF(X17="法休",0,MAX(0,L17-N17-R17)))),0,IF(A17="","",IF(X17="法休",0,MAX(0,L17-N17-R17))))</f>
        <v>0</v>
      </c>
      <c r="Q17" s="300"/>
      <c r="R17" s="299">
        <f ca="1">+IF(A17="",0,IF(X17="法休",0,NOT(OR(D17="",F17=""))*MIN(7,(MAX(0,MIN(F17,$AC$8)-D17)+MAX(0,F17-$AC$7+(D17&gt;F17)))*24)))</f>
        <v>0</v>
      </c>
      <c r="S17" s="300"/>
      <c r="T17" s="299">
        <f t="shared" ref="T17" ca="1" si="0">+IF(A17="",0,IF(X17="法休",L17-V17,0))</f>
        <v>0</v>
      </c>
      <c r="U17" s="300"/>
      <c r="V17" s="299">
        <f t="shared" ref="V17" ca="1" si="1">+IF(A17="",0,IF(X17&lt;&gt;"法休",0,NOT(OR(D17="",F17=""))*MIN(7,(MAX(0,MIN(F17,$AC$8)-D17)+MAX(0,F17-$AC$7+(D17&gt;F17)))*24)))</f>
        <v>0</v>
      </c>
      <c r="W17" s="300"/>
      <c r="X17" s="301" t="s">
        <v>185</v>
      </c>
      <c r="Y17" s="302"/>
      <c r="Z17" s="303"/>
      <c r="AA17" s="79"/>
      <c r="AB17" s="93">
        <f t="shared" ref="AB17:AB46" ca="1" si="2">IF(ISERROR((X17="")*(7.5-N17)),0,(X17="")*(7.5-N17))</f>
        <v>0</v>
      </c>
      <c r="AD17" s="67"/>
    </row>
    <row r="18" spans="1:30" ht="14.15" customHeight="1" x14ac:dyDescent="0.2">
      <c r="A18" s="290">
        <f t="shared" ref="A18:A44" ca="1" si="3">A17+1</f>
        <v>46448</v>
      </c>
      <c r="B18" s="291"/>
      <c r="C18" s="80">
        <f ca="1">IF(A18="","",IF(WEEKDAY(A18,1)=1,1,IF(COUNTIF(祝日管理!B:B,A18)=1,"祝",WEEKDAY(A18,1))))</f>
        <v>3</v>
      </c>
      <c r="D18" s="292"/>
      <c r="E18" s="292"/>
      <c r="F18" s="292"/>
      <c r="G18" s="292"/>
      <c r="H18" s="292"/>
      <c r="I18" s="293"/>
      <c r="J18" s="298">
        <f t="shared" ref="J18:J47" si="4">IF(OR(D18="",F18="",H18=""),0,IF(F18&gt;D18,F18,F18+24)-D18-H18)</f>
        <v>0</v>
      </c>
      <c r="K18" s="294"/>
      <c r="L18" s="285">
        <f t="shared" ref="L18:L47" si="5">IF(J18="",0,(HOUR(J18))+(ROUNDDOWN(MINUTE(J18)/60,2)*1))</f>
        <v>0</v>
      </c>
      <c r="M18" s="296"/>
      <c r="N18" s="297">
        <f t="shared" ref="N18:N47" ca="1" si="6">+IF(ISERROR(IF(A18="",0,IF(OR(X18="法休",X18="所休")=1,0,IF(L18=0,0,MIN(8,L18-R18))))),"",IF(A18="","",IF(OR(X18="法休",X18="所休"),0,IF(L18=0,0,MIN(8,L18-R18)))))</f>
        <v>0</v>
      </c>
      <c r="O18" s="286"/>
      <c r="P18" s="285">
        <f t="shared" ref="P18:P47" ca="1" si="7">+IF(ISERROR(IF(A18="","",IF(X18="法休",0,MAX(0,L18-N18-R18)))),0,IF(A18="","",IF(X18="法休",0,MAX(0,L18-N18-R18))))</f>
        <v>0</v>
      </c>
      <c r="Q18" s="286"/>
      <c r="R18" s="285">
        <f t="shared" ref="R18:R47" ca="1" si="8">+IF(A18="",0,IF(X18="法休",0,NOT(OR(D18="",F18=""))*MIN(7,(MAX(0,MIN(F18,$AC$8)-D18)+MAX(0,F18-$AC$7+(D18&gt;F18)))*24)))</f>
        <v>0</v>
      </c>
      <c r="S18" s="286"/>
      <c r="T18" s="285">
        <f t="shared" ref="T18:T47" ca="1" si="9">+IF(A18="",0,IF(X18="法休",L18-V18,0))</f>
        <v>0</v>
      </c>
      <c r="U18" s="286"/>
      <c r="V18" s="285">
        <f t="shared" ref="V18:V47" ca="1" si="10">+IF(A18="",0,IF(X18&lt;&gt;"法休",0,NOT(OR(D18="",F18=""))*MIN(7,(MAX(0,MIN(F18,$AC$8)-D18)+MAX(0,F18-$AC$7+(D18&gt;F18)))*24)))</f>
        <v>0</v>
      </c>
      <c r="W18" s="286"/>
      <c r="X18" s="287"/>
      <c r="Y18" s="288"/>
      <c r="Z18" s="289"/>
      <c r="AA18" s="81"/>
      <c r="AB18" s="93">
        <f t="shared" ca="1" si="2"/>
        <v>7.5</v>
      </c>
      <c r="AC18" s="59"/>
      <c r="AD18" t="s">
        <v>175</v>
      </c>
    </row>
    <row r="19" spans="1:30" ht="14.15" customHeight="1" x14ac:dyDescent="0.2">
      <c r="A19" s="290">
        <f t="shared" ca="1" si="3"/>
        <v>46449</v>
      </c>
      <c r="B19" s="291"/>
      <c r="C19" s="80">
        <f ca="1">IF(A19="","",IF(WEEKDAY(A19,1)=1,1,IF(COUNTIF(祝日管理!B:B,A19)=1,"祝",WEEKDAY(A19,1))))</f>
        <v>4</v>
      </c>
      <c r="D19" s="292"/>
      <c r="E19" s="292"/>
      <c r="F19" s="292"/>
      <c r="G19" s="292"/>
      <c r="H19" s="292"/>
      <c r="I19" s="293"/>
      <c r="J19" s="298">
        <f t="shared" si="4"/>
        <v>0</v>
      </c>
      <c r="K19" s="294"/>
      <c r="L19" s="285">
        <f t="shared" si="5"/>
        <v>0</v>
      </c>
      <c r="M19" s="296"/>
      <c r="N19" s="297">
        <f t="shared" ca="1" si="6"/>
        <v>0</v>
      </c>
      <c r="O19" s="286"/>
      <c r="P19" s="285">
        <f t="shared" ca="1" si="7"/>
        <v>0</v>
      </c>
      <c r="Q19" s="286"/>
      <c r="R19" s="285">
        <f t="shared" ca="1" si="8"/>
        <v>0</v>
      </c>
      <c r="S19" s="286"/>
      <c r="T19" s="285">
        <f t="shared" ca="1" si="9"/>
        <v>0</v>
      </c>
      <c r="U19" s="286"/>
      <c r="V19" s="285">
        <f t="shared" ca="1" si="10"/>
        <v>0</v>
      </c>
      <c r="W19" s="286"/>
      <c r="X19" s="287"/>
      <c r="Y19" s="288"/>
      <c r="Z19" s="289"/>
      <c r="AA19" s="81"/>
      <c r="AB19" s="93">
        <f t="shared" ca="1" si="2"/>
        <v>7.5</v>
      </c>
      <c r="AC19" s="59"/>
    </row>
    <row r="20" spans="1:30" ht="14.15" customHeight="1" x14ac:dyDescent="0.2">
      <c r="A20" s="290">
        <f t="shared" ca="1" si="3"/>
        <v>46450</v>
      </c>
      <c r="B20" s="291"/>
      <c r="C20" s="80">
        <f ca="1">IF(A20="","",IF(WEEKDAY(A20,1)=1,1,IF(COUNTIF(祝日管理!B:B,A20)=1,"祝",WEEKDAY(A20,1))))</f>
        <v>5</v>
      </c>
      <c r="D20" s="292"/>
      <c r="E20" s="292"/>
      <c r="F20" s="292"/>
      <c r="G20" s="292"/>
      <c r="H20" s="292"/>
      <c r="I20" s="293"/>
      <c r="J20" s="298">
        <f t="shared" si="4"/>
        <v>0</v>
      </c>
      <c r="K20" s="294"/>
      <c r="L20" s="285">
        <f t="shared" si="5"/>
        <v>0</v>
      </c>
      <c r="M20" s="296"/>
      <c r="N20" s="297">
        <f t="shared" ca="1" si="6"/>
        <v>0</v>
      </c>
      <c r="O20" s="286"/>
      <c r="P20" s="285">
        <f t="shared" ca="1" si="7"/>
        <v>0</v>
      </c>
      <c r="Q20" s="286"/>
      <c r="R20" s="285">
        <f t="shared" ca="1" si="8"/>
        <v>0</v>
      </c>
      <c r="S20" s="286"/>
      <c r="T20" s="285">
        <f t="shared" ca="1" si="9"/>
        <v>0</v>
      </c>
      <c r="U20" s="286"/>
      <c r="V20" s="285">
        <f t="shared" ca="1" si="10"/>
        <v>0</v>
      </c>
      <c r="W20" s="286"/>
      <c r="X20" s="287"/>
      <c r="Y20" s="288"/>
      <c r="Z20" s="289"/>
      <c r="AA20" s="81"/>
      <c r="AB20" s="93">
        <f t="shared" ca="1" si="2"/>
        <v>7.5</v>
      </c>
      <c r="AC20" s="59"/>
    </row>
    <row r="21" spans="1:30" ht="14.15" customHeight="1" x14ac:dyDescent="0.2">
      <c r="A21" s="290">
        <f t="shared" ca="1" si="3"/>
        <v>46451</v>
      </c>
      <c r="B21" s="291"/>
      <c r="C21" s="80">
        <f ca="1">IF(A21="","",IF(WEEKDAY(A21,1)=1,1,IF(COUNTIF(祝日管理!B:B,A21)=1,"祝",WEEKDAY(A21,1))))</f>
        <v>6</v>
      </c>
      <c r="D21" s="292"/>
      <c r="E21" s="292"/>
      <c r="F21" s="292"/>
      <c r="G21" s="292"/>
      <c r="H21" s="292"/>
      <c r="I21" s="293"/>
      <c r="J21" s="298">
        <f t="shared" si="4"/>
        <v>0</v>
      </c>
      <c r="K21" s="294"/>
      <c r="L21" s="285">
        <f t="shared" si="5"/>
        <v>0</v>
      </c>
      <c r="M21" s="296"/>
      <c r="N21" s="297">
        <f t="shared" ca="1" si="6"/>
        <v>0</v>
      </c>
      <c r="O21" s="286"/>
      <c r="P21" s="285">
        <f t="shared" ca="1" si="7"/>
        <v>0</v>
      </c>
      <c r="Q21" s="286"/>
      <c r="R21" s="285">
        <f t="shared" ca="1" si="8"/>
        <v>0</v>
      </c>
      <c r="S21" s="286"/>
      <c r="T21" s="285">
        <f t="shared" ca="1" si="9"/>
        <v>0</v>
      </c>
      <c r="U21" s="286"/>
      <c r="V21" s="285">
        <f t="shared" ca="1" si="10"/>
        <v>0</v>
      </c>
      <c r="W21" s="286"/>
      <c r="X21" s="287"/>
      <c r="Y21" s="288"/>
      <c r="Z21" s="289"/>
      <c r="AA21" s="81"/>
      <c r="AB21" s="93">
        <f t="shared" ca="1" si="2"/>
        <v>7.5</v>
      </c>
      <c r="AC21" s="59"/>
      <c r="AD21" t="s">
        <v>176</v>
      </c>
    </row>
    <row r="22" spans="1:30" s="59" customFormat="1" ht="14.15" customHeight="1" x14ac:dyDescent="0.2">
      <c r="A22" s="290">
        <f t="shared" ca="1" si="3"/>
        <v>46452</v>
      </c>
      <c r="B22" s="291"/>
      <c r="C22" s="80">
        <f ca="1">IF(A22="","",IF(WEEKDAY(A22,1)=1,1,IF(COUNTIF(祝日管理!B:B,A22)=1,"祝",WEEKDAY(A22,1))))</f>
        <v>7</v>
      </c>
      <c r="D22" s="292"/>
      <c r="E22" s="292"/>
      <c r="F22" s="292"/>
      <c r="G22" s="292"/>
      <c r="H22" s="292"/>
      <c r="I22" s="293"/>
      <c r="J22" s="298">
        <f t="shared" si="4"/>
        <v>0</v>
      </c>
      <c r="K22" s="294"/>
      <c r="L22" s="285">
        <f t="shared" si="5"/>
        <v>0</v>
      </c>
      <c r="M22" s="296"/>
      <c r="N22" s="297">
        <f t="shared" ca="1" si="6"/>
        <v>0</v>
      </c>
      <c r="O22" s="286"/>
      <c r="P22" s="285">
        <f t="shared" ca="1" si="7"/>
        <v>0</v>
      </c>
      <c r="Q22" s="286"/>
      <c r="R22" s="285">
        <f t="shared" ca="1" si="8"/>
        <v>0</v>
      </c>
      <c r="S22" s="286"/>
      <c r="T22" s="285">
        <f t="shared" ca="1" si="9"/>
        <v>0</v>
      </c>
      <c r="U22" s="286"/>
      <c r="V22" s="285">
        <f t="shared" ca="1" si="10"/>
        <v>0</v>
      </c>
      <c r="W22" s="286"/>
      <c r="X22" s="287"/>
      <c r="Y22" s="288"/>
      <c r="Z22" s="289"/>
      <c r="AA22" s="81"/>
      <c r="AB22" s="93">
        <f t="shared" ca="1" si="2"/>
        <v>7.5</v>
      </c>
    </row>
    <row r="23" spans="1:30" ht="14.15" customHeight="1" x14ac:dyDescent="0.2">
      <c r="A23" s="290">
        <f t="shared" ca="1" si="3"/>
        <v>46453</v>
      </c>
      <c r="B23" s="291"/>
      <c r="C23" s="80">
        <f ca="1">IF(A23="","",IF(WEEKDAY(A23,1)=1,1,IF(COUNTIF(祝日管理!B:B,A23)=1,"祝",WEEKDAY(A23,1))))</f>
        <v>1</v>
      </c>
      <c r="D23" s="292"/>
      <c r="E23" s="292"/>
      <c r="F23" s="292"/>
      <c r="G23" s="292"/>
      <c r="H23" s="292"/>
      <c r="I23" s="293"/>
      <c r="J23" s="298">
        <f t="shared" si="4"/>
        <v>0</v>
      </c>
      <c r="K23" s="294"/>
      <c r="L23" s="285">
        <f t="shared" si="5"/>
        <v>0</v>
      </c>
      <c r="M23" s="296"/>
      <c r="N23" s="297">
        <f t="shared" ca="1" si="6"/>
        <v>0</v>
      </c>
      <c r="O23" s="286"/>
      <c r="P23" s="285">
        <f t="shared" ca="1" si="7"/>
        <v>0</v>
      </c>
      <c r="Q23" s="286"/>
      <c r="R23" s="285">
        <f t="shared" ca="1" si="8"/>
        <v>0</v>
      </c>
      <c r="S23" s="286"/>
      <c r="T23" s="285">
        <f t="shared" ca="1" si="9"/>
        <v>0</v>
      </c>
      <c r="U23" s="286"/>
      <c r="V23" s="285">
        <f t="shared" ca="1" si="10"/>
        <v>0</v>
      </c>
      <c r="W23" s="286"/>
      <c r="X23" s="287" t="s">
        <v>187</v>
      </c>
      <c r="Y23" s="288"/>
      <c r="Z23" s="289"/>
      <c r="AA23" s="81"/>
      <c r="AB23" s="93">
        <f t="shared" ca="1" si="2"/>
        <v>0</v>
      </c>
    </row>
    <row r="24" spans="1:30" ht="14.15" customHeight="1" x14ac:dyDescent="0.2">
      <c r="A24" s="290">
        <f t="shared" ca="1" si="3"/>
        <v>46454</v>
      </c>
      <c r="B24" s="291"/>
      <c r="C24" s="80">
        <f ca="1">IF(A24="","",IF(WEEKDAY(A24,1)=1,1,IF(COUNTIF(祝日管理!B:B,A24)=1,"祝",WEEKDAY(A24,1))))</f>
        <v>2</v>
      </c>
      <c r="D24" s="292"/>
      <c r="E24" s="292"/>
      <c r="F24" s="292"/>
      <c r="G24" s="292"/>
      <c r="H24" s="292"/>
      <c r="I24" s="293"/>
      <c r="J24" s="298">
        <f t="shared" si="4"/>
        <v>0</v>
      </c>
      <c r="K24" s="294"/>
      <c r="L24" s="285">
        <f t="shared" si="5"/>
        <v>0</v>
      </c>
      <c r="M24" s="296"/>
      <c r="N24" s="297">
        <f t="shared" ca="1" si="6"/>
        <v>0</v>
      </c>
      <c r="O24" s="286"/>
      <c r="P24" s="285">
        <f t="shared" ca="1" si="7"/>
        <v>0</v>
      </c>
      <c r="Q24" s="286"/>
      <c r="R24" s="285">
        <f t="shared" ca="1" si="8"/>
        <v>0</v>
      </c>
      <c r="S24" s="286"/>
      <c r="T24" s="285">
        <f t="shared" ca="1" si="9"/>
        <v>0</v>
      </c>
      <c r="U24" s="286"/>
      <c r="V24" s="285">
        <f t="shared" ca="1" si="10"/>
        <v>0</v>
      </c>
      <c r="W24" s="286"/>
      <c r="X24" s="287" t="s">
        <v>185</v>
      </c>
      <c r="Y24" s="288"/>
      <c r="Z24" s="289"/>
      <c r="AA24" s="81"/>
      <c r="AB24" s="93">
        <f t="shared" ca="1" si="2"/>
        <v>0</v>
      </c>
      <c r="AD24" t="s">
        <v>177</v>
      </c>
    </row>
    <row r="25" spans="1:30" ht="14.15" customHeight="1" x14ac:dyDescent="0.2">
      <c r="A25" s="290">
        <f t="shared" ca="1" si="3"/>
        <v>46455</v>
      </c>
      <c r="B25" s="291"/>
      <c r="C25" s="80">
        <f ca="1">IF(A25="","",IF(WEEKDAY(A25,1)=1,1,IF(COUNTIF(祝日管理!B:B,A25)=1,"祝",WEEKDAY(A25,1))))</f>
        <v>3</v>
      </c>
      <c r="D25" s="292"/>
      <c r="E25" s="292"/>
      <c r="F25" s="292"/>
      <c r="G25" s="292"/>
      <c r="H25" s="292"/>
      <c r="I25" s="293"/>
      <c r="J25" s="298">
        <f t="shared" si="4"/>
        <v>0</v>
      </c>
      <c r="K25" s="294"/>
      <c r="L25" s="285">
        <f t="shared" si="5"/>
        <v>0</v>
      </c>
      <c r="M25" s="296"/>
      <c r="N25" s="297">
        <f t="shared" ca="1" si="6"/>
        <v>0</v>
      </c>
      <c r="O25" s="286"/>
      <c r="P25" s="285">
        <f t="shared" ca="1" si="7"/>
        <v>0</v>
      </c>
      <c r="Q25" s="286"/>
      <c r="R25" s="285">
        <f t="shared" ca="1" si="8"/>
        <v>0</v>
      </c>
      <c r="S25" s="286"/>
      <c r="T25" s="285">
        <f t="shared" ca="1" si="9"/>
        <v>0</v>
      </c>
      <c r="U25" s="286"/>
      <c r="V25" s="285">
        <f t="shared" ca="1" si="10"/>
        <v>0</v>
      </c>
      <c r="W25" s="286"/>
      <c r="X25" s="287"/>
      <c r="Y25" s="288"/>
      <c r="Z25" s="289"/>
      <c r="AA25" s="81"/>
      <c r="AB25" s="93">
        <f t="shared" ca="1" si="2"/>
        <v>7.5</v>
      </c>
    </row>
    <row r="26" spans="1:30" ht="14.15" customHeight="1" x14ac:dyDescent="0.2">
      <c r="A26" s="290">
        <f t="shared" ca="1" si="3"/>
        <v>46456</v>
      </c>
      <c r="B26" s="291"/>
      <c r="C26" s="80">
        <f ca="1">IF(A26="","",IF(WEEKDAY(A26,1)=1,1,IF(COUNTIF(祝日管理!B:B,A26)=1,"祝",WEEKDAY(A26,1))))</f>
        <v>4</v>
      </c>
      <c r="D26" s="292"/>
      <c r="E26" s="292"/>
      <c r="F26" s="292"/>
      <c r="G26" s="292"/>
      <c r="H26" s="292"/>
      <c r="I26" s="293"/>
      <c r="J26" s="298">
        <f t="shared" si="4"/>
        <v>0</v>
      </c>
      <c r="K26" s="294"/>
      <c r="L26" s="285">
        <f t="shared" si="5"/>
        <v>0</v>
      </c>
      <c r="M26" s="296"/>
      <c r="N26" s="297">
        <f t="shared" ca="1" si="6"/>
        <v>0</v>
      </c>
      <c r="O26" s="286"/>
      <c r="P26" s="285">
        <f t="shared" ca="1" si="7"/>
        <v>0</v>
      </c>
      <c r="Q26" s="286"/>
      <c r="R26" s="285">
        <f t="shared" ca="1" si="8"/>
        <v>0</v>
      </c>
      <c r="S26" s="286"/>
      <c r="T26" s="285">
        <f t="shared" ca="1" si="9"/>
        <v>0</v>
      </c>
      <c r="U26" s="286"/>
      <c r="V26" s="285">
        <f t="shared" ca="1" si="10"/>
        <v>0</v>
      </c>
      <c r="W26" s="286"/>
      <c r="X26" s="287"/>
      <c r="Y26" s="288"/>
      <c r="Z26" s="289"/>
      <c r="AA26" s="81"/>
      <c r="AB26" s="93">
        <f t="shared" ca="1" si="2"/>
        <v>7.5</v>
      </c>
      <c r="AD26" t="s">
        <v>213</v>
      </c>
    </row>
    <row r="27" spans="1:30" ht="14.15" customHeight="1" x14ac:dyDescent="0.2">
      <c r="A27" s="290">
        <f t="shared" ca="1" si="3"/>
        <v>46457</v>
      </c>
      <c r="B27" s="291"/>
      <c r="C27" s="80">
        <f ca="1">IF(A27="","",IF(WEEKDAY(A27,1)=1,1,IF(COUNTIF(祝日管理!B:B,A27)=1,"祝",WEEKDAY(A27,1))))</f>
        <v>5</v>
      </c>
      <c r="D27" s="292"/>
      <c r="E27" s="292"/>
      <c r="F27" s="292"/>
      <c r="G27" s="292"/>
      <c r="H27" s="292"/>
      <c r="I27" s="293"/>
      <c r="J27" s="298">
        <f t="shared" si="4"/>
        <v>0</v>
      </c>
      <c r="K27" s="294"/>
      <c r="L27" s="285">
        <f t="shared" si="5"/>
        <v>0</v>
      </c>
      <c r="M27" s="296"/>
      <c r="N27" s="297">
        <f t="shared" ca="1" si="6"/>
        <v>0</v>
      </c>
      <c r="O27" s="286"/>
      <c r="P27" s="285">
        <f t="shared" ca="1" si="7"/>
        <v>0</v>
      </c>
      <c r="Q27" s="286"/>
      <c r="R27" s="285">
        <f t="shared" ca="1" si="8"/>
        <v>0</v>
      </c>
      <c r="S27" s="286"/>
      <c r="T27" s="285">
        <f t="shared" ca="1" si="9"/>
        <v>0</v>
      </c>
      <c r="U27" s="286"/>
      <c r="V27" s="285">
        <f t="shared" ca="1" si="10"/>
        <v>0</v>
      </c>
      <c r="W27" s="286"/>
      <c r="X27" s="287"/>
      <c r="Y27" s="288"/>
      <c r="Z27" s="289"/>
      <c r="AA27" s="81"/>
      <c r="AB27" s="93">
        <f t="shared" ca="1" si="2"/>
        <v>7.5</v>
      </c>
    </row>
    <row r="28" spans="1:30" ht="14.15" customHeight="1" x14ac:dyDescent="0.2">
      <c r="A28" s="290">
        <f t="shared" ca="1" si="3"/>
        <v>46458</v>
      </c>
      <c r="B28" s="291"/>
      <c r="C28" s="80">
        <f ca="1">IF(A28="","",IF(WEEKDAY(A28,1)=1,1,IF(COUNTIF(祝日管理!B:B,A28)=1,"祝",WEEKDAY(A28,1))))</f>
        <v>6</v>
      </c>
      <c r="D28" s="292"/>
      <c r="E28" s="292"/>
      <c r="F28" s="292"/>
      <c r="G28" s="292"/>
      <c r="H28" s="292"/>
      <c r="I28" s="293"/>
      <c r="J28" s="298">
        <f t="shared" si="4"/>
        <v>0</v>
      </c>
      <c r="K28" s="294"/>
      <c r="L28" s="285">
        <f t="shared" si="5"/>
        <v>0</v>
      </c>
      <c r="M28" s="296"/>
      <c r="N28" s="297">
        <f t="shared" ca="1" si="6"/>
        <v>0</v>
      </c>
      <c r="O28" s="286"/>
      <c r="P28" s="285">
        <f t="shared" ca="1" si="7"/>
        <v>0</v>
      </c>
      <c r="Q28" s="286"/>
      <c r="R28" s="285">
        <f t="shared" ca="1" si="8"/>
        <v>0</v>
      </c>
      <c r="S28" s="286"/>
      <c r="T28" s="285">
        <f t="shared" ca="1" si="9"/>
        <v>0</v>
      </c>
      <c r="U28" s="286"/>
      <c r="V28" s="285">
        <f t="shared" ca="1" si="10"/>
        <v>0</v>
      </c>
      <c r="W28" s="286"/>
      <c r="X28" s="287"/>
      <c r="Y28" s="288"/>
      <c r="Z28" s="289"/>
      <c r="AA28" s="81"/>
      <c r="AB28" s="93">
        <f t="shared" ca="1" si="2"/>
        <v>7.5</v>
      </c>
    </row>
    <row r="29" spans="1:30" s="59" customFormat="1" ht="14.15" customHeight="1" x14ac:dyDescent="0.2">
      <c r="A29" s="290">
        <f t="shared" ca="1" si="3"/>
        <v>46459</v>
      </c>
      <c r="B29" s="291"/>
      <c r="C29" s="80">
        <f ca="1">IF(A29="","",IF(WEEKDAY(A29,1)=1,1,IF(COUNTIF(祝日管理!B:B,A29)=1,"祝",WEEKDAY(A29,1))))</f>
        <v>7</v>
      </c>
      <c r="D29" s="292"/>
      <c r="E29" s="292"/>
      <c r="F29" s="292"/>
      <c r="G29" s="292"/>
      <c r="H29" s="292"/>
      <c r="I29" s="293"/>
      <c r="J29" s="298">
        <f t="shared" si="4"/>
        <v>0</v>
      </c>
      <c r="K29" s="294"/>
      <c r="L29" s="285">
        <f t="shared" si="5"/>
        <v>0</v>
      </c>
      <c r="M29" s="296"/>
      <c r="N29" s="297">
        <f t="shared" ca="1" si="6"/>
        <v>0</v>
      </c>
      <c r="O29" s="286"/>
      <c r="P29" s="285">
        <f t="shared" ca="1" si="7"/>
        <v>0</v>
      </c>
      <c r="Q29" s="286"/>
      <c r="R29" s="285">
        <f t="shared" ca="1" si="8"/>
        <v>0</v>
      </c>
      <c r="S29" s="286"/>
      <c r="T29" s="285">
        <f t="shared" ca="1" si="9"/>
        <v>0</v>
      </c>
      <c r="U29" s="286"/>
      <c r="V29" s="285">
        <f t="shared" ca="1" si="10"/>
        <v>0</v>
      </c>
      <c r="W29" s="286"/>
      <c r="X29" s="287"/>
      <c r="Y29" s="288"/>
      <c r="Z29" s="289"/>
      <c r="AA29" s="81"/>
      <c r="AB29" s="93">
        <f t="shared" ca="1" si="2"/>
        <v>7.5</v>
      </c>
      <c r="AC29" s="59" t="s">
        <v>207</v>
      </c>
    </row>
    <row r="30" spans="1:30" ht="14.15" customHeight="1" x14ac:dyDescent="0.2">
      <c r="A30" s="290">
        <f t="shared" ca="1" si="3"/>
        <v>46460</v>
      </c>
      <c r="B30" s="291"/>
      <c r="C30" s="80">
        <f ca="1">IF(A30="","",IF(WEEKDAY(A30,1)=1,1,IF(COUNTIF(祝日管理!B:B,A30)=1,"祝",WEEKDAY(A30,1))))</f>
        <v>1</v>
      </c>
      <c r="D30" s="292"/>
      <c r="E30" s="292"/>
      <c r="F30" s="292"/>
      <c r="G30" s="292"/>
      <c r="H30" s="292"/>
      <c r="I30" s="293"/>
      <c r="J30" s="298">
        <f t="shared" si="4"/>
        <v>0</v>
      </c>
      <c r="K30" s="294"/>
      <c r="L30" s="285">
        <f t="shared" si="5"/>
        <v>0</v>
      </c>
      <c r="M30" s="296"/>
      <c r="N30" s="297">
        <f t="shared" ca="1" si="6"/>
        <v>0</v>
      </c>
      <c r="O30" s="286"/>
      <c r="P30" s="285">
        <f t="shared" ca="1" si="7"/>
        <v>0</v>
      </c>
      <c r="Q30" s="286"/>
      <c r="R30" s="285">
        <f t="shared" ca="1" si="8"/>
        <v>0</v>
      </c>
      <c r="S30" s="286"/>
      <c r="T30" s="285">
        <f t="shared" ca="1" si="9"/>
        <v>0</v>
      </c>
      <c r="U30" s="286"/>
      <c r="V30" s="285">
        <f t="shared" ca="1" si="10"/>
        <v>0</v>
      </c>
      <c r="W30" s="286"/>
      <c r="X30" s="287" t="s">
        <v>187</v>
      </c>
      <c r="Y30" s="288"/>
      <c r="Z30" s="289"/>
      <c r="AA30" s="81"/>
      <c r="AB30" s="93">
        <f t="shared" ca="1" si="2"/>
        <v>0</v>
      </c>
      <c r="AC30" t="s">
        <v>208</v>
      </c>
    </row>
    <row r="31" spans="1:30" ht="14.15" customHeight="1" x14ac:dyDescent="0.2">
      <c r="A31" s="290">
        <f t="shared" ca="1" si="3"/>
        <v>46461</v>
      </c>
      <c r="B31" s="291"/>
      <c r="C31" s="80">
        <f ca="1">IF(A31="","",IF(WEEKDAY(A31,1)=1,1,IF(COUNTIF(祝日管理!B:B,A31)=1,"祝",WEEKDAY(A31,1))))</f>
        <v>2</v>
      </c>
      <c r="D31" s="292"/>
      <c r="E31" s="292"/>
      <c r="F31" s="292"/>
      <c r="G31" s="292"/>
      <c r="H31" s="292"/>
      <c r="I31" s="293"/>
      <c r="J31" s="298">
        <f t="shared" si="4"/>
        <v>0</v>
      </c>
      <c r="K31" s="294"/>
      <c r="L31" s="285">
        <f t="shared" si="5"/>
        <v>0</v>
      </c>
      <c r="M31" s="296"/>
      <c r="N31" s="297">
        <f t="shared" ca="1" si="6"/>
        <v>0</v>
      </c>
      <c r="O31" s="286"/>
      <c r="P31" s="285">
        <f t="shared" ca="1" si="7"/>
        <v>0</v>
      </c>
      <c r="Q31" s="286"/>
      <c r="R31" s="285">
        <f t="shared" ca="1" si="8"/>
        <v>0</v>
      </c>
      <c r="S31" s="286"/>
      <c r="T31" s="285">
        <f t="shared" ca="1" si="9"/>
        <v>0</v>
      </c>
      <c r="U31" s="286"/>
      <c r="V31" s="285">
        <f t="shared" ca="1" si="10"/>
        <v>0</v>
      </c>
      <c r="W31" s="286"/>
      <c r="X31" s="287" t="s">
        <v>185</v>
      </c>
      <c r="Y31" s="288"/>
      <c r="Z31" s="289"/>
      <c r="AA31" s="81"/>
      <c r="AB31" s="93">
        <f t="shared" ca="1" si="2"/>
        <v>0</v>
      </c>
      <c r="AC31" t="s">
        <v>209</v>
      </c>
    </row>
    <row r="32" spans="1:30" ht="14.15" customHeight="1" x14ac:dyDescent="0.2">
      <c r="A32" s="290">
        <f t="shared" ca="1" si="3"/>
        <v>46462</v>
      </c>
      <c r="B32" s="291"/>
      <c r="C32" s="80">
        <f ca="1">IF(A32="","",IF(WEEKDAY(A32,1)=1,1,IF(COUNTIF(祝日管理!B:B,A32)=1,"祝",WEEKDAY(A32,1))))</f>
        <v>3</v>
      </c>
      <c r="D32" s="292"/>
      <c r="E32" s="292"/>
      <c r="F32" s="292"/>
      <c r="G32" s="292"/>
      <c r="H32" s="292"/>
      <c r="I32" s="293"/>
      <c r="J32" s="298">
        <f t="shared" si="4"/>
        <v>0</v>
      </c>
      <c r="K32" s="294"/>
      <c r="L32" s="285">
        <f t="shared" si="5"/>
        <v>0</v>
      </c>
      <c r="M32" s="296"/>
      <c r="N32" s="297">
        <f t="shared" ca="1" si="6"/>
        <v>0</v>
      </c>
      <c r="O32" s="286"/>
      <c r="P32" s="285">
        <f t="shared" ca="1" si="7"/>
        <v>0</v>
      </c>
      <c r="Q32" s="286"/>
      <c r="R32" s="285">
        <f t="shared" ca="1" si="8"/>
        <v>0</v>
      </c>
      <c r="S32" s="286"/>
      <c r="T32" s="285">
        <f t="shared" ca="1" si="9"/>
        <v>0</v>
      </c>
      <c r="U32" s="286"/>
      <c r="V32" s="285">
        <f t="shared" ca="1" si="10"/>
        <v>0</v>
      </c>
      <c r="W32" s="286"/>
      <c r="X32" s="287"/>
      <c r="Y32" s="288"/>
      <c r="Z32" s="289"/>
      <c r="AA32" s="81"/>
      <c r="AB32" s="93">
        <f t="shared" ca="1" si="2"/>
        <v>7.5</v>
      </c>
    </row>
    <row r="33" spans="1:32" ht="14.15" customHeight="1" x14ac:dyDescent="0.2">
      <c r="A33" s="290">
        <f t="shared" ca="1" si="3"/>
        <v>46463</v>
      </c>
      <c r="B33" s="291"/>
      <c r="C33" s="80">
        <f ca="1">IF(A33="","",IF(WEEKDAY(A33,1)=1,1,IF(COUNTIF(祝日管理!B:B,A33)=1,"祝",WEEKDAY(A33,1))))</f>
        <v>4</v>
      </c>
      <c r="D33" s="292"/>
      <c r="E33" s="292"/>
      <c r="F33" s="292"/>
      <c r="G33" s="292"/>
      <c r="H33" s="292"/>
      <c r="I33" s="293"/>
      <c r="J33" s="298">
        <f t="shared" si="4"/>
        <v>0</v>
      </c>
      <c r="K33" s="294"/>
      <c r="L33" s="285">
        <f t="shared" si="5"/>
        <v>0</v>
      </c>
      <c r="M33" s="296"/>
      <c r="N33" s="297">
        <f t="shared" ca="1" si="6"/>
        <v>0</v>
      </c>
      <c r="O33" s="286"/>
      <c r="P33" s="285">
        <f t="shared" ca="1" si="7"/>
        <v>0</v>
      </c>
      <c r="Q33" s="286"/>
      <c r="R33" s="285">
        <f t="shared" ca="1" si="8"/>
        <v>0</v>
      </c>
      <c r="S33" s="286"/>
      <c r="T33" s="285">
        <f t="shared" ca="1" si="9"/>
        <v>0</v>
      </c>
      <c r="U33" s="286"/>
      <c r="V33" s="285">
        <f t="shared" ca="1" si="10"/>
        <v>0</v>
      </c>
      <c r="W33" s="286"/>
      <c r="X33" s="287"/>
      <c r="Y33" s="288"/>
      <c r="Z33" s="289"/>
      <c r="AA33" s="81"/>
      <c r="AB33" s="93">
        <f t="shared" ca="1" si="2"/>
        <v>7.5</v>
      </c>
      <c r="AD33" t="s">
        <v>214</v>
      </c>
    </row>
    <row r="34" spans="1:32" ht="14.15" customHeight="1" x14ac:dyDescent="0.2">
      <c r="A34" s="290">
        <f t="shared" ca="1" si="3"/>
        <v>46464</v>
      </c>
      <c r="B34" s="291"/>
      <c r="C34" s="80">
        <f ca="1">IF(A34="","",IF(WEEKDAY(A34,1)=1,1,IF(COUNTIF(祝日管理!B:B,A34)=1,"祝",WEEKDAY(A34,1))))</f>
        <v>5</v>
      </c>
      <c r="D34" s="292"/>
      <c r="E34" s="292"/>
      <c r="F34" s="292"/>
      <c r="G34" s="292"/>
      <c r="H34" s="292"/>
      <c r="I34" s="293"/>
      <c r="J34" s="298">
        <f t="shared" si="4"/>
        <v>0</v>
      </c>
      <c r="K34" s="294"/>
      <c r="L34" s="285">
        <f t="shared" si="5"/>
        <v>0</v>
      </c>
      <c r="M34" s="296"/>
      <c r="N34" s="297">
        <f t="shared" ca="1" si="6"/>
        <v>0</v>
      </c>
      <c r="O34" s="286"/>
      <c r="P34" s="285">
        <f t="shared" ca="1" si="7"/>
        <v>0</v>
      </c>
      <c r="Q34" s="286"/>
      <c r="R34" s="285">
        <f t="shared" ca="1" si="8"/>
        <v>0</v>
      </c>
      <c r="S34" s="286"/>
      <c r="T34" s="285">
        <f t="shared" ca="1" si="9"/>
        <v>0</v>
      </c>
      <c r="U34" s="286"/>
      <c r="V34" s="285">
        <f t="shared" ca="1" si="10"/>
        <v>0</v>
      </c>
      <c r="W34" s="286"/>
      <c r="X34" s="287"/>
      <c r="Y34" s="288"/>
      <c r="Z34" s="289"/>
      <c r="AA34" s="81"/>
      <c r="AB34" s="93">
        <f ca="1">IF(ISERROR((X34="")*(7.5-N34)),0,(X34="")*(7.5-N34))</f>
        <v>7.5</v>
      </c>
      <c r="AD34" t="s">
        <v>215</v>
      </c>
    </row>
    <row r="35" spans="1:32" ht="14.15" customHeight="1" x14ac:dyDescent="0.2">
      <c r="A35" s="290">
        <f t="shared" ca="1" si="3"/>
        <v>46465</v>
      </c>
      <c r="B35" s="291"/>
      <c r="C35" s="80">
        <f ca="1">IF(A35="","",IF(WEEKDAY(A35,1)=1,1,IF(COUNTIF(祝日管理!B:B,A35)=1,"祝",WEEKDAY(A35,1))))</f>
        <v>6</v>
      </c>
      <c r="D35" s="292"/>
      <c r="E35" s="292"/>
      <c r="F35" s="292"/>
      <c r="G35" s="292"/>
      <c r="H35" s="292"/>
      <c r="I35" s="293"/>
      <c r="J35" s="298">
        <f t="shared" si="4"/>
        <v>0</v>
      </c>
      <c r="K35" s="294"/>
      <c r="L35" s="285">
        <f t="shared" si="5"/>
        <v>0</v>
      </c>
      <c r="M35" s="296"/>
      <c r="N35" s="297">
        <f t="shared" ca="1" si="6"/>
        <v>0</v>
      </c>
      <c r="O35" s="286"/>
      <c r="P35" s="285">
        <f t="shared" ca="1" si="7"/>
        <v>0</v>
      </c>
      <c r="Q35" s="286"/>
      <c r="R35" s="285">
        <f t="shared" ca="1" si="8"/>
        <v>0</v>
      </c>
      <c r="S35" s="286"/>
      <c r="T35" s="285">
        <f t="shared" ca="1" si="9"/>
        <v>0</v>
      </c>
      <c r="U35" s="286"/>
      <c r="V35" s="285">
        <f t="shared" ca="1" si="10"/>
        <v>0</v>
      </c>
      <c r="W35" s="286"/>
      <c r="X35" s="287"/>
      <c r="Y35" s="288"/>
      <c r="Z35" s="289"/>
      <c r="AA35" s="81"/>
      <c r="AB35" s="93">
        <f ca="1">IF(ISERROR((X35="")*(7.5-N35)),0,(X35="")*(7.5-N35))</f>
        <v>7.5</v>
      </c>
    </row>
    <row r="36" spans="1:32" ht="14.15" customHeight="1" x14ac:dyDescent="0.2">
      <c r="A36" s="290">
        <f t="shared" ca="1" si="3"/>
        <v>46466</v>
      </c>
      <c r="B36" s="291"/>
      <c r="C36" s="80">
        <f ca="1">IF(A36="","",IF(WEEKDAY(A36,1)=1,1,IF(COUNTIF(祝日管理!B:B,A36)=1,"祝",WEEKDAY(A36,1))))</f>
        <v>7</v>
      </c>
      <c r="D36" s="292"/>
      <c r="E36" s="292"/>
      <c r="F36" s="292"/>
      <c r="G36" s="292"/>
      <c r="H36" s="292"/>
      <c r="I36" s="293"/>
      <c r="J36" s="298">
        <f t="shared" si="4"/>
        <v>0</v>
      </c>
      <c r="K36" s="294"/>
      <c r="L36" s="285">
        <f t="shared" si="5"/>
        <v>0</v>
      </c>
      <c r="M36" s="296"/>
      <c r="N36" s="297">
        <f t="shared" ca="1" si="6"/>
        <v>0</v>
      </c>
      <c r="O36" s="286"/>
      <c r="P36" s="285">
        <f t="shared" ca="1" si="7"/>
        <v>0</v>
      </c>
      <c r="Q36" s="286"/>
      <c r="R36" s="285">
        <f t="shared" ca="1" si="8"/>
        <v>0</v>
      </c>
      <c r="S36" s="286"/>
      <c r="T36" s="285">
        <f t="shared" ca="1" si="9"/>
        <v>0</v>
      </c>
      <c r="U36" s="286"/>
      <c r="V36" s="285">
        <f t="shared" ca="1" si="10"/>
        <v>0</v>
      </c>
      <c r="W36" s="286"/>
      <c r="X36" s="287" t="s">
        <v>187</v>
      </c>
      <c r="Y36" s="288"/>
      <c r="Z36" s="289"/>
      <c r="AA36" s="81"/>
      <c r="AB36" s="93">
        <f t="shared" ca="1" si="2"/>
        <v>0</v>
      </c>
    </row>
    <row r="37" spans="1:32" ht="14.15" customHeight="1" x14ac:dyDescent="0.2">
      <c r="A37" s="290">
        <f t="shared" ca="1" si="3"/>
        <v>46467</v>
      </c>
      <c r="B37" s="291"/>
      <c r="C37" s="80">
        <f ca="1">IF(A37="","",IF(WEEKDAY(A37,1)=1,1,IF(COUNTIF(祝日管理!B:B,A37)=1,"祝",WEEKDAY(A37,1))))</f>
        <v>1</v>
      </c>
      <c r="D37" s="292"/>
      <c r="E37" s="292"/>
      <c r="F37" s="292"/>
      <c r="G37" s="292"/>
      <c r="H37" s="292"/>
      <c r="I37" s="293"/>
      <c r="J37" s="298">
        <f t="shared" si="4"/>
        <v>0</v>
      </c>
      <c r="K37" s="294"/>
      <c r="L37" s="285">
        <f t="shared" si="5"/>
        <v>0</v>
      </c>
      <c r="M37" s="296"/>
      <c r="N37" s="297">
        <f t="shared" ca="1" si="6"/>
        <v>0</v>
      </c>
      <c r="O37" s="286"/>
      <c r="P37" s="285">
        <f t="shared" ca="1" si="7"/>
        <v>0</v>
      </c>
      <c r="Q37" s="286"/>
      <c r="R37" s="285">
        <f t="shared" ca="1" si="8"/>
        <v>0</v>
      </c>
      <c r="S37" s="286"/>
      <c r="T37" s="285">
        <f t="shared" ca="1" si="9"/>
        <v>0</v>
      </c>
      <c r="U37" s="286"/>
      <c r="V37" s="285">
        <f t="shared" ca="1" si="10"/>
        <v>0</v>
      </c>
      <c r="W37" s="286"/>
      <c r="X37" s="287" t="s">
        <v>187</v>
      </c>
      <c r="Y37" s="288"/>
      <c r="Z37" s="289"/>
      <c r="AA37" s="81"/>
      <c r="AB37" s="93">
        <f t="shared" ca="1" si="2"/>
        <v>0</v>
      </c>
    </row>
    <row r="38" spans="1:32" ht="14.15" customHeight="1" x14ac:dyDescent="0.2">
      <c r="A38" s="290">
        <f t="shared" ca="1" si="3"/>
        <v>46468</v>
      </c>
      <c r="B38" s="291"/>
      <c r="C38" s="80">
        <f ca="1">IF(A38="","",IF(WEEKDAY(A38,1)=1,1,IF(COUNTIF(祝日管理!B:B,A38)=1,"祝",WEEKDAY(A38,1))))</f>
        <v>2</v>
      </c>
      <c r="D38" s="292"/>
      <c r="E38" s="292"/>
      <c r="F38" s="292"/>
      <c r="G38" s="292"/>
      <c r="H38" s="292"/>
      <c r="I38" s="293"/>
      <c r="J38" s="298">
        <f t="shared" si="4"/>
        <v>0</v>
      </c>
      <c r="K38" s="294"/>
      <c r="L38" s="285">
        <f t="shared" si="5"/>
        <v>0</v>
      </c>
      <c r="M38" s="296"/>
      <c r="N38" s="297">
        <f t="shared" ca="1" si="6"/>
        <v>0</v>
      </c>
      <c r="O38" s="286"/>
      <c r="P38" s="285">
        <f t="shared" ca="1" si="7"/>
        <v>0</v>
      </c>
      <c r="Q38" s="286"/>
      <c r="R38" s="285">
        <f t="shared" ca="1" si="8"/>
        <v>0</v>
      </c>
      <c r="S38" s="286"/>
      <c r="T38" s="285">
        <f t="shared" ca="1" si="9"/>
        <v>0</v>
      </c>
      <c r="U38" s="286"/>
      <c r="V38" s="285">
        <f t="shared" ca="1" si="10"/>
        <v>0</v>
      </c>
      <c r="W38" s="286"/>
      <c r="X38" s="287" t="s">
        <v>185</v>
      </c>
      <c r="Y38" s="288"/>
      <c r="Z38" s="289"/>
      <c r="AA38" s="81"/>
      <c r="AB38" s="93">
        <f t="shared" ca="1" si="2"/>
        <v>0</v>
      </c>
    </row>
    <row r="39" spans="1:32" ht="14.15" customHeight="1" x14ac:dyDescent="0.2">
      <c r="A39" s="290">
        <f t="shared" ca="1" si="3"/>
        <v>46469</v>
      </c>
      <c r="B39" s="291"/>
      <c r="C39" s="80">
        <f ca="1">IF(A39="","",IF(WEEKDAY(A39,1)=1,1,IF(COUNTIF(祝日管理!B:B,A39)=1,"祝",WEEKDAY(A39,1))))</f>
        <v>3</v>
      </c>
      <c r="D39" s="292"/>
      <c r="E39" s="292"/>
      <c r="F39" s="292"/>
      <c r="G39" s="292"/>
      <c r="H39" s="292"/>
      <c r="I39" s="293"/>
      <c r="J39" s="298">
        <f t="shared" si="4"/>
        <v>0</v>
      </c>
      <c r="K39" s="294"/>
      <c r="L39" s="285">
        <f t="shared" si="5"/>
        <v>0</v>
      </c>
      <c r="M39" s="296"/>
      <c r="N39" s="297">
        <f t="shared" ca="1" si="6"/>
        <v>0</v>
      </c>
      <c r="O39" s="286"/>
      <c r="P39" s="285">
        <f t="shared" ca="1" si="7"/>
        <v>0</v>
      </c>
      <c r="Q39" s="286"/>
      <c r="R39" s="285">
        <f t="shared" ca="1" si="8"/>
        <v>0</v>
      </c>
      <c r="S39" s="286"/>
      <c r="T39" s="285">
        <f t="shared" ca="1" si="9"/>
        <v>0</v>
      </c>
      <c r="U39" s="286"/>
      <c r="V39" s="285">
        <f t="shared" ca="1" si="10"/>
        <v>0</v>
      </c>
      <c r="W39" s="286"/>
      <c r="X39" s="287"/>
      <c r="Y39" s="288"/>
      <c r="Z39" s="289"/>
      <c r="AA39" s="81"/>
      <c r="AB39" s="93">
        <f t="shared" ca="1" si="2"/>
        <v>7.5</v>
      </c>
    </row>
    <row r="40" spans="1:32" ht="14.15" customHeight="1" x14ac:dyDescent="0.2">
      <c r="A40" s="290">
        <f t="shared" ca="1" si="3"/>
        <v>46470</v>
      </c>
      <c r="B40" s="291"/>
      <c r="C40" s="80">
        <f ca="1">IF(A40="","",IF(WEEKDAY(A40,1)=1,1,IF(COUNTIF(祝日管理!B:B,A40)=1,"祝",WEEKDAY(A40,1))))</f>
        <v>4</v>
      </c>
      <c r="D40" s="292"/>
      <c r="E40" s="292"/>
      <c r="F40" s="292"/>
      <c r="G40" s="292"/>
      <c r="H40" s="292"/>
      <c r="I40" s="293"/>
      <c r="J40" s="298">
        <f t="shared" si="4"/>
        <v>0</v>
      </c>
      <c r="K40" s="294"/>
      <c r="L40" s="285">
        <f t="shared" si="5"/>
        <v>0</v>
      </c>
      <c r="M40" s="296"/>
      <c r="N40" s="297">
        <f t="shared" ca="1" si="6"/>
        <v>0</v>
      </c>
      <c r="O40" s="286"/>
      <c r="P40" s="285">
        <f t="shared" ca="1" si="7"/>
        <v>0</v>
      </c>
      <c r="Q40" s="286"/>
      <c r="R40" s="285">
        <f t="shared" ca="1" si="8"/>
        <v>0</v>
      </c>
      <c r="S40" s="286"/>
      <c r="T40" s="285">
        <f t="shared" ca="1" si="9"/>
        <v>0</v>
      </c>
      <c r="U40" s="286"/>
      <c r="V40" s="285">
        <f t="shared" ca="1" si="10"/>
        <v>0</v>
      </c>
      <c r="W40" s="286"/>
      <c r="X40" s="287"/>
      <c r="Y40" s="288"/>
      <c r="Z40" s="289"/>
      <c r="AA40" s="81"/>
      <c r="AB40" s="93">
        <f t="shared" ca="1" si="2"/>
        <v>7.5</v>
      </c>
    </row>
    <row r="41" spans="1:32" ht="14.15" customHeight="1" x14ac:dyDescent="0.2">
      <c r="A41" s="290">
        <f t="shared" ca="1" si="3"/>
        <v>46471</v>
      </c>
      <c r="B41" s="291"/>
      <c r="C41" s="80">
        <f ca="1">IF(A41="","",IF(WEEKDAY(A41,1)=1,1,IF(COUNTIF(祝日管理!B:B,A41)=1,"祝",WEEKDAY(A41,1))))</f>
        <v>5</v>
      </c>
      <c r="D41" s="292"/>
      <c r="E41" s="292"/>
      <c r="F41" s="292"/>
      <c r="G41" s="292"/>
      <c r="H41" s="292"/>
      <c r="I41" s="293"/>
      <c r="J41" s="298">
        <f t="shared" si="4"/>
        <v>0</v>
      </c>
      <c r="K41" s="294"/>
      <c r="L41" s="285">
        <f t="shared" si="5"/>
        <v>0</v>
      </c>
      <c r="M41" s="296"/>
      <c r="N41" s="297">
        <f t="shared" ca="1" si="6"/>
        <v>0</v>
      </c>
      <c r="O41" s="286"/>
      <c r="P41" s="285">
        <f t="shared" ca="1" si="7"/>
        <v>0</v>
      </c>
      <c r="Q41" s="286"/>
      <c r="R41" s="285">
        <f t="shared" ca="1" si="8"/>
        <v>0</v>
      </c>
      <c r="S41" s="286"/>
      <c r="T41" s="285">
        <f t="shared" ca="1" si="9"/>
        <v>0</v>
      </c>
      <c r="U41" s="286"/>
      <c r="V41" s="285">
        <f t="shared" ca="1" si="10"/>
        <v>0</v>
      </c>
      <c r="W41" s="286"/>
      <c r="X41" s="287"/>
      <c r="Y41" s="288"/>
      <c r="Z41" s="289"/>
      <c r="AA41" s="81"/>
      <c r="AB41" s="93">
        <f t="shared" ca="1" si="2"/>
        <v>7.5</v>
      </c>
    </row>
    <row r="42" spans="1:32" ht="14.15" customHeight="1" x14ac:dyDescent="0.2">
      <c r="A42" s="290">
        <f t="shared" ca="1" si="3"/>
        <v>46472</v>
      </c>
      <c r="B42" s="291"/>
      <c r="C42" s="80">
        <f ca="1">IF(A42="","",IF(WEEKDAY(A42,1)=1,1,IF(COUNTIF(祝日管理!B:B,A42)=1,"祝",WEEKDAY(A42,1))))</f>
        <v>6</v>
      </c>
      <c r="D42" s="292"/>
      <c r="E42" s="292"/>
      <c r="F42" s="292"/>
      <c r="G42" s="292"/>
      <c r="H42" s="292"/>
      <c r="I42" s="293"/>
      <c r="J42" s="298">
        <f t="shared" si="4"/>
        <v>0</v>
      </c>
      <c r="K42" s="294"/>
      <c r="L42" s="285">
        <f t="shared" si="5"/>
        <v>0</v>
      </c>
      <c r="M42" s="296"/>
      <c r="N42" s="297">
        <f t="shared" ca="1" si="6"/>
        <v>0</v>
      </c>
      <c r="O42" s="286"/>
      <c r="P42" s="285">
        <f t="shared" ca="1" si="7"/>
        <v>0</v>
      </c>
      <c r="Q42" s="286"/>
      <c r="R42" s="285">
        <f t="shared" ca="1" si="8"/>
        <v>0</v>
      </c>
      <c r="S42" s="286"/>
      <c r="T42" s="285">
        <f t="shared" ca="1" si="9"/>
        <v>0</v>
      </c>
      <c r="U42" s="286"/>
      <c r="V42" s="285">
        <f t="shared" ca="1" si="10"/>
        <v>0</v>
      </c>
      <c r="W42" s="286"/>
      <c r="X42" s="287"/>
      <c r="Y42" s="288"/>
      <c r="Z42" s="289"/>
      <c r="AA42" s="81"/>
      <c r="AB42" s="93">
        <f t="shared" ca="1" si="2"/>
        <v>7.5</v>
      </c>
    </row>
    <row r="43" spans="1:32" ht="14.15" customHeight="1" x14ac:dyDescent="0.2">
      <c r="A43" s="290">
        <f t="shared" ca="1" si="3"/>
        <v>46473</v>
      </c>
      <c r="B43" s="291"/>
      <c r="C43" s="80">
        <f ca="1">IF(A43="","",IF(WEEKDAY(A43,1)=1,1,IF(COUNTIF(祝日管理!B:B,A43)=1,"祝",WEEKDAY(A43,1))))</f>
        <v>7</v>
      </c>
      <c r="D43" s="292"/>
      <c r="E43" s="292"/>
      <c r="F43" s="292"/>
      <c r="G43" s="292"/>
      <c r="H43" s="292"/>
      <c r="I43" s="293"/>
      <c r="J43" s="298">
        <f t="shared" si="4"/>
        <v>0</v>
      </c>
      <c r="K43" s="294"/>
      <c r="L43" s="285">
        <f t="shared" si="5"/>
        <v>0</v>
      </c>
      <c r="M43" s="296"/>
      <c r="N43" s="297">
        <f t="shared" ca="1" si="6"/>
        <v>0</v>
      </c>
      <c r="O43" s="286"/>
      <c r="P43" s="285">
        <f t="shared" ca="1" si="7"/>
        <v>0</v>
      </c>
      <c r="Q43" s="286"/>
      <c r="R43" s="285">
        <f t="shared" ca="1" si="8"/>
        <v>0</v>
      </c>
      <c r="S43" s="286"/>
      <c r="T43" s="285">
        <f t="shared" ca="1" si="9"/>
        <v>0</v>
      </c>
      <c r="U43" s="286"/>
      <c r="V43" s="285">
        <f t="shared" ca="1" si="10"/>
        <v>0</v>
      </c>
      <c r="W43" s="286"/>
      <c r="X43" s="287"/>
      <c r="Y43" s="288"/>
      <c r="Z43" s="289"/>
      <c r="AA43" s="81"/>
      <c r="AB43" s="93">
        <f t="shared" ca="1" si="2"/>
        <v>7.5</v>
      </c>
    </row>
    <row r="44" spans="1:32" ht="14.15" customHeight="1" x14ac:dyDescent="0.2">
      <c r="A44" s="290">
        <f t="shared" ca="1" si="3"/>
        <v>46474</v>
      </c>
      <c r="B44" s="291"/>
      <c r="C44" s="80">
        <f ca="1">IF(A44="","",IF(WEEKDAY(A44,1)=1,1,IF(COUNTIF(祝日管理!B:B,A44)=1,"祝",WEEKDAY(A44,1))))</f>
        <v>1</v>
      </c>
      <c r="D44" s="292"/>
      <c r="E44" s="292"/>
      <c r="F44" s="292"/>
      <c r="G44" s="292"/>
      <c r="H44" s="292"/>
      <c r="I44" s="293"/>
      <c r="J44" s="298">
        <f t="shared" si="4"/>
        <v>0</v>
      </c>
      <c r="K44" s="294"/>
      <c r="L44" s="285">
        <f t="shared" si="5"/>
        <v>0</v>
      </c>
      <c r="M44" s="296"/>
      <c r="N44" s="297">
        <f t="shared" ca="1" si="6"/>
        <v>0</v>
      </c>
      <c r="O44" s="286"/>
      <c r="P44" s="285">
        <f t="shared" ca="1" si="7"/>
        <v>0</v>
      </c>
      <c r="Q44" s="286"/>
      <c r="R44" s="285">
        <f t="shared" ca="1" si="8"/>
        <v>0</v>
      </c>
      <c r="S44" s="286"/>
      <c r="T44" s="285">
        <f t="shared" ca="1" si="9"/>
        <v>0</v>
      </c>
      <c r="U44" s="286"/>
      <c r="V44" s="285">
        <f t="shared" ca="1" si="10"/>
        <v>0</v>
      </c>
      <c r="W44" s="286"/>
      <c r="X44" s="287" t="s">
        <v>187</v>
      </c>
      <c r="Y44" s="288"/>
      <c r="Z44" s="289"/>
      <c r="AA44" s="81"/>
      <c r="AB44" s="93">
        <f t="shared" ca="1" si="2"/>
        <v>0</v>
      </c>
    </row>
    <row r="45" spans="1:32" ht="14.15" customHeight="1" x14ac:dyDescent="0.2">
      <c r="A45" s="290">
        <f ca="1">IF(DAY(A44+1)=29,A44+1,"")</f>
        <v>46475</v>
      </c>
      <c r="B45" s="291"/>
      <c r="C45" s="80">
        <f ca="1">IF(A45="","",IF(WEEKDAY(A45,1)=1,1,IF(COUNTIF(祝日管理!B:B,A45)=1,"祝",WEEKDAY(A45,1))))</f>
        <v>2</v>
      </c>
      <c r="D45" s="292"/>
      <c r="E45" s="292"/>
      <c r="F45" s="292"/>
      <c r="G45" s="292"/>
      <c r="H45" s="292"/>
      <c r="I45" s="293"/>
      <c r="J45" s="298">
        <f t="shared" si="4"/>
        <v>0</v>
      </c>
      <c r="K45" s="294"/>
      <c r="L45" s="285">
        <f t="shared" si="5"/>
        <v>0</v>
      </c>
      <c r="M45" s="296"/>
      <c r="N45" s="297">
        <f t="shared" ca="1" si="6"/>
        <v>0</v>
      </c>
      <c r="O45" s="286"/>
      <c r="P45" s="285">
        <f t="shared" ca="1" si="7"/>
        <v>0</v>
      </c>
      <c r="Q45" s="286"/>
      <c r="R45" s="285">
        <f t="shared" ca="1" si="8"/>
        <v>0</v>
      </c>
      <c r="S45" s="286"/>
      <c r="T45" s="285">
        <f t="shared" ca="1" si="9"/>
        <v>0</v>
      </c>
      <c r="U45" s="286"/>
      <c r="V45" s="285">
        <f t="shared" ca="1" si="10"/>
        <v>0</v>
      </c>
      <c r="W45" s="286"/>
      <c r="X45" s="287" t="s">
        <v>185</v>
      </c>
      <c r="Y45" s="288"/>
      <c r="Z45" s="289"/>
      <c r="AA45" s="82"/>
      <c r="AB45" s="93">
        <f t="shared" ca="1" si="2"/>
        <v>0</v>
      </c>
    </row>
    <row r="46" spans="1:32" ht="14.15" customHeight="1" x14ac:dyDescent="0.2">
      <c r="A46" s="290">
        <f ca="1">IF(A45="","",IF(DAY(A45+1)=30,A45+1,""))</f>
        <v>46476</v>
      </c>
      <c r="B46" s="291"/>
      <c r="C46" s="80">
        <f ca="1">IF(A46="","",IF(WEEKDAY(A46,1)=1,1,IF(COUNTIF(祝日管理!B:B,A46)=1,"祝",WEEKDAY(A46,1))))</f>
        <v>3</v>
      </c>
      <c r="D46" s="292"/>
      <c r="E46" s="292"/>
      <c r="F46" s="292"/>
      <c r="G46" s="292"/>
      <c r="H46" s="292"/>
      <c r="I46" s="293"/>
      <c r="J46" s="298">
        <f t="shared" si="4"/>
        <v>0</v>
      </c>
      <c r="K46" s="294"/>
      <c r="L46" s="285">
        <f t="shared" si="5"/>
        <v>0</v>
      </c>
      <c r="M46" s="296"/>
      <c r="N46" s="297">
        <f t="shared" ca="1" si="6"/>
        <v>0</v>
      </c>
      <c r="O46" s="286"/>
      <c r="P46" s="285">
        <f t="shared" ca="1" si="7"/>
        <v>0</v>
      </c>
      <c r="Q46" s="286"/>
      <c r="R46" s="285">
        <f t="shared" ca="1" si="8"/>
        <v>0</v>
      </c>
      <c r="S46" s="286"/>
      <c r="T46" s="285">
        <f t="shared" ca="1" si="9"/>
        <v>0</v>
      </c>
      <c r="U46" s="286"/>
      <c r="V46" s="285">
        <f t="shared" ca="1" si="10"/>
        <v>0</v>
      </c>
      <c r="W46" s="286"/>
      <c r="X46" s="287"/>
      <c r="Y46" s="288"/>
      <c r="Z46" s="289"/>
      <c r="AA46" s="81"/>
      <c r="AB46" s="93">
        <f t="shared" ca="1" si="2"/>
        <v>7.5</v>
      </c>
      <c r="AF46">
        <f>+時間・月額</f>
        <v>250000</v>
      </c>
    </row>
    <row r="47" spans="1:32" ht="14.15" customHeight="1" thickBot="1" x14ac:dyDescent="0.25">
      <c r="A47" s="290">
        <f ca="1">IF(A46="","",IF(DAY(A46+1)=31,A46+1,""))</f>
        <v>46477</v>
      </c>
      <c r="B47" s="291"/>
      <c r="C47" s="80">
        <f ca="1">IF(A47="","",IF(WEEKDAY(A47,1)=1,1,IF(COUNTIF(祝日管理!B:B,A47)=1,"祝",WEEKDAY(A47,1))))</f>
        <v>4</v>
      </c>
      <c r="D47" s="292"/>
      <c r="E47" s="292"/>
      <c r="F47" s="292"/>
      <c r="G47" s="292"/>
      <c r="H47" s="292"/>
      <c r="I47" s="293"/>
      <c r="J47" s="294">
        <f t="shared" si="4"/>
        <v>0</v>
      </c>
      <c r="K47" s="295"/>
      <c r="L47" s="285">
        <f t="shared" si="5"/>
        <v>0</v>
      </c>
      <c r="M47" s="296"/>
      <c r="N47" s="283">
        <f t="shared" ca="1" si="6"/>
        <v>0</v>
      </c>
      <c r="O47" s="284"/>
      <c r="P47" s="285">
        <f t="shared" ca="1" si="7"/>
        <v>0</v>
      </c>
      <c r="Q47" s="286"/>
      <c r="R47" s="285">
        <f t="shared" ca="1" si="8"/>
        <v>0</v>
      </c>
      <c r="S47" s="286"/>
      <c r="T47" s="285">
        <f t="shared" ca="1" si="9"/>
        <v>0</v>
      </c>
      <c r="U47" s="286"/>
      <c r="V47" s="285">
        <f t="shared" ca="1" si="10"/>
        <v>0</v>
      </c>
      <c r="W47" s="286"/>
      <c r="X47" s="287"/>
      <c r="Y47" s="288"/>
      <c r="Z47" s="289"/>
      <c r="AA47" s="81"/>
      <c r="AB47" s="93">
        <f ca="1">IF(ISERROR((X47="")*(7.5-N47)),0,(X47="")*(7.5-N47))</f>
        <v>7.5</v>
      </c>
    </row>
    <row r="48" spans="1:32" ht="14.15" customHeight="1" thickBot="1" x14ac:dyDescent="0.25">
      <c r="A48" s="274" t="s">
        <v>56</v>
      </c>
      <c r="B48" s="275"/>
      <c r="C48" s="35"/>
      <c r="D48" s="276"/>
      <c r="E48" s="277"/>
      <c r="F48" s="276"/>
      <c r="G48" s="277"/>
      <c r="H48" s="276"/>
      <c r="I48" s="278"/>
      <c r="J48" s="279"/>
      <c r="K48" s="280"/>
      <c r="L48" s="281" t="s">
        <v>198</v>
      </c>
      <c r="M48" s="282"/>
      <c r="N48" s="265"/>
      <c r="O48" s="266"/>
      <c r="P48" s="267" t="s">
        <v>200</v>
      </c>
      <c r="Q48" s="268"/>
      <c r="R48" s="265"/>
      <c r="S48" s="266"/>
      <c r="T48" s="269"/>
      <c r="U48" s="270"/>
      <c r="V48" s="269"/>
      <c r="W48" s="270"/>
      <c r="X48" s="271"/>
      <c r="Y48" s="272"/>
      <c r="Z48" s="273"/>
      <c r="AA48" s="66"/>
      <c r="AB48" t="s">
        <v>191</v>
      </c>
    </row>
    <row r="49" spans="1:34" ht="14.15" customHeight="1" x14ac:dyDescent="0.2">
      <c r="A49" s="255" t="s">
        <v>196</v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8">
        <f>SUM(L17:M47)+N48</f>
        <v>0</v>
      </c>
      <c r="M49" s="259"/>
      <c r="N49" s="260">
        <f ca="1">ROUNDDOWN((SUM(N17:O48)+0.01)*4,0)/4</f>
        <v>0</v>
      </c>
      <c r="O49" s="261"/>
      <c r="P49" s="262">
        <f ca="1">ROUNDDOWN((SUM(P17:Q47)+0.01)*4,0)/4</f>
        <v>0</v>
      </c>
      <c r="Q49" s="263"/>
      <c r="R49" s="242">
        <f ca="1">ROUNDDOWN((SUM(R17:S47)+0.01)*4,0)/4</f>
        <v>0</v>
      </c>
      <c r="S49" s="264"/>
      <c r="T49" s="242">
        <f ca="1">ROUNDDOWN((SUM(T17:U47)+0.01)*4,0)/4</f>
        <v>0</v>
      </c>
      <c r="U49" s="243"/>
      <c r="V49" s="242">
        <f ca="1">ROUNDDOWN((SUM(V17:W47)+0.01)*4,0)/4</f>
        <v>0</v>
      </c>
      <c r="W49" s="243"/>
      <c r="X49" s="244">
        <f ca="1">SUM(通常時間計:休日深夜時間計)</f>
        <v>0</v>
      </c>
      <c r="Y49" s="245"/>
      <c r="Z49" s="245"/>
      <c r="AA49" s="64" t="s">
        <v>142</v>
      </c>
    </row>
    <row r="50" spans="1:34" ht="14.15" customHeight="1" thickBot="1" x14ac:dyDescent="0.25">
      <c r="A50" s="246" t="s">
        <v>106</v>
      </c>
      <c r="B50" s="246"/>
      <c r="C50" s="246"/>
      <c r="D50" s="246"/>
      <c r="E50" s="246"/>
      <c r="F50" s="246"/>
      <c r="G50" s="246"/>
      <c r="H50" s="246"/>
      <c r="I50" s="246"/>
      <c r="J50" s="246"/>
      <c r="K50" s="246"/>
      <c r="L50" s="247">
        <f ca="1">SUM(N50:W50)</f>
        <v>0</v>
      </c>
      <c r="M50" s="248"/>
      <c r="N50" s="249">
        <f ca="1">通常時間計</f>
        <v>0</v>
      </c>
      <c r="O50" s="250"/>
      <c r="P50" s="249">
        <f ca="1">IF(給与体系="140-160時間制",超過勤務時間計,MAX(0,超過勤務時間計+深夜残業時間計-60)*0.25+超過勤務時間計*1.25)</f>
        <v>0</v>
      </c>
      <c r="Q50" s="250"/>
      <c r="R50" s="251">
        <f ca="1">IF(給与体系="140-160時間制",深夜残業時間計,深夜残業時間計*1.5)</f>
        <v>0</v>
      </c>
      <c r="S50" s="252"/>
      <c r="T50" s="251">
        <f ca="1">IF(給与体系="140-160時間制",休日出勤時間計,休日出勤時間計*1.35)</f>
        <v>0</v>
      </c>
      <c r="U50" s="252"/>
      <c r="V50" s="251">
        <f ca="1">IF(給与体系="140-160時間制",休日深夜時間計,休日深夜時間計*1.6)</f>
        <v>0</v>
      </c>
      <c r="W50" s="252"/>
      <c r="X50" s="253">
        <f ca="1">SUM(N50:W50)</f>
        <v>0</v>
      </c>
      <c r="Y50" s="254"/>
      <c r="Z50" s="254"/>
      <c r="AA50" s="88">
        <f>+'2月'!AA50</f>
        <v>45748</v>
      </c>
      <c r="AB50" s="98">
        <f ca="1">+IFERROR(((MAX(0,超過勤務時間計+深夜残業時間計-60)*0.25+(超過勤務時間計+深夜残業時間計)*1.25))/(超過勤務時間計+深夜残業時間計),0)</f>
        <v>0</v>
      </c>
      <c r="AC50" s="2" t="s">
        <v>158</v>
      </c>
      <c r="AD50" s="2"/>
      <c r="AE50" s="231"/>
      <c r="AF50" s="231"/>
      <c r="AG50" s="60"/>
      <c r="AH50" s="61"/>
    </row>
    <row r="51" spans="1:34" ht="14.15" customHeight="1" thickTop="1" thickBot="1" x14ac:dyDescent="0.25">
      <c r="A51" s="232" t="s">
        <v>38</v>
      </c>
      <c r="B51" s="233"/>
      <c r="C51" s="234">
        <f>COUNTA(D17:D47)-W51-W52</f>
        <v>0</v>
      </c>
      <c r="D51" s="235"/>
      <c r="E51" s="236" t="s">
        <v>32</v>
      </c>
      <c r="F51" s="233"/>
      <c r="G51" s="237">
        <f>+COUNTIF($X17:$Z47,E51)</f>
        <v>0</v>
      </c>
      <c r="H51" s="238"/>
      <c r="I51" s="169" t="s">
        <v>111</v>
      </c>
      <c r="J51" s="170"/>
      <c r="K51" s="167">
        <f>+COUNTIF($X17:$Z47,I51)</f>
        <v>0</v>
      </c>
      <c r="L51" s="168"/>
      <c r="M51" s="169" t="s">
        <v>113</v>
      </c>
      <c r="N51" s="170"/>
      <c r="O51" s="167">
        <f>+COUNTIF($X17:$Z47,M51)</f>
        <v>0</v>
      </c>
      <c r="P51" s="168"/>
      <c r="Q51" s="169" t="s">
        <v>112</v>
      </c>
      <c r="R51" s="170"/>
      <c r="S51" s="167">
        <f>+COUNTIF($X17:$Z47,Q51)</f>
        <v>0</v>
      </c>
      <c r="T51" s="168"/>
      <c r="U51" s="169" t="s">
        <v>123</v>
      </c>
      <c r="V51" s="170"/>
      <c r="W51" s="171">
        <f>+K51+(O51+S51)/2</f>
        <v>0</v>
      </c>
      <c r="X51" s="172"/>
      <c r="Y51" s="208" t="s">
        <v>124</v>
      </c>
      <c r="Z51" s="209"/>
      <c r="AA51" s="63">
        <f>+AA52-W51-AA53</f>
        <v>35</v>
      </c>
      <c r="AB51" t="s">
        <v>174</v>
      </c>
    </row>
    <row r="52" spans="1:34" ht="14.15" customHeight="1" thickTop="1" thickBot="1" x14ac:dyDescent="0.25">
      <c r="A52" s="239" t="s">
        <v>153</v>
      </c>
      <c r="B52" s="239"/>
      <c r="C52" s="239"/>
      <c r="D52" s="239"/>
      <c r="E52" s="239"/>
      <c r="F52" s="240">
        <f>+'2月'!F52</f>
        <v>250000</v>
      </c>
      <c r="G52" s="240"/>
      <c r="H52" s="241"/>
      <c r="I52" s="169" t="s">
        <v>126</v>
      </c>
      <c r="J52" s="170"/>
      <c r="K52" s="167">
        <f>+COUNTIF($X17:$Z47,"*全*")-COUNTIF($X17:$Z47,"*欠勤(全*")-COUNTIF($X17:$Z47,"*振休(全*")-COUNTIF($X17:$Z47,"*代休(全*")-K51</f>
        <v>0</v>
      </c>
      <c r="L52" s="168"/>
      <c r="M52" s="169" t="s">
        <v>135</v>
      </c>
      <c r="N52" s="170"/>
      <c r="O52" s="167">
        <f>+COUNTIF($X17:$Z47,"*AM*")-COUNTIF($X17:$Z47,"*欠勤(A*")-COUNTIF($X17:$Z47,"*代休(A*")-O51</f>
        <v>0</v>
      </c>
      <c r="P52" s="168"/>
      <c r="Q52" s="169" t="s">
        <v>136</v>
      </c>
      <c r="R52" s="170"/>
      <c r="S52" s="167">
        <f>+COUNTIF($X17:$Z47,"*PM*")-COUNTIF($X17:$Z47,"*代休(P*")-S51</f>
        <v>0</v>
      </c>
      <c r="T52" s="168"/>
      <c r="U52" s="169" t="s">
        <v>127</v>
      </c>
      <c r="V52" s="170"/>
      <c r="W52" s="171">
        <f>+K52+(O52+S52)/2</f>
        <v>0</v>
      </c>
      <c r="X52" s="172"/>
      <c r="Y52" s="208" t="s">
        <v>125</v>
      </c>
      <c r="Z52" s="209"/>
      <c r="AA52" s="62">
        <f>+'2月'!AA51</f>
        <v>35</v>
      </c>
      <c r="AB52" t="s">
        <v>173</v>
      </c>
    </row>
    <row r="53" spans="1:34" ht="14.15" customHeight="1" thickTop="1" thickBot="1" x14ac:dyDescent="0.25">
      <c r="A53" s="224"/>
      <c r="B53" s="225"/>
      <c r="C53" s="226"/>
      <c r="D53" s="227" t="s">
        <v>21</v>
      </c>
      <c r="E53" s="228"/>
      <c r="F53" s="33"/>
      <c r="G53" s="228" t="s">
        <v>22</v>
      </c>
      <c r="H53" s="228"/>
      <c r="I53" s="34"/>
      <c r="J53" s="229"/>
      <c r="K53" s="225"/>
      <c r="L53" s="230"/>
      <c r="M53" s="27"/>
      <c r="N53" s="28"/>
      <c r="O53" s="32"/>
      <c r="P53" s="4"/>
      <c r="S53" s="4"/>
      <c r="Y53" s="208" t="s">
        <v>166</v>
      </c>
      <c r="Z53" s="209"/>
      <c r="AA53" s="63">
        <v>0</v>
      </c>
      <c r="AB53" t="s">
        <v>167</v>
      </c>
    </row>
    <row r="54" spans="1:34" ht="14.15" customHeight="1" thickTop="1" thickBot="1" x14ac:dyDescent="0.25">
      <c r="A54" s="217" t="s">
        <v>256</v>
      </c>
      <c r="B54" s="218"/>
      <c r="C54" s="218"/>
      <c r="D54" s="219" t="e">
        <f ca="1">ROUNDUP(IF(給与種別=0,時間・月額+手当１金額,IF(給与体系="時給制",(時間・月額+手当１金額/150),(時間・月額+手当１金額)/SUMIF(テーブル_勤務時間,給与体系,テーブル!C:C))),0)</f>
        <v>#DIV/0!</v>
      </c>
      <c r="E54" s="220"/>
      <c r="F54" s="99" t="s">
        <v>39</v>
      </c>
      <c r="G54" s="195">
        <f ca="1">+IF(給与種別=0,1,IF(給与体系&lt;&gt;"時給制",SUMIF(テーブル_勤務時間,給与体系,テーブル!K:K),通常時間計))</f>
        <v>0</v>
      </c>
      <c r="H54" s="195"/>
      <c r="I54" s="100" t="str">
        <f ca="1">IF(給与種別=2,"h","m")</f>
        <v>h</v>
      </c>
      <c r="J54" s="221">
        <f ca="1">IF(給与体系="時給制",基本給単価*基本給時間,SUMIF(テーブル!U2:U13,当月,テーブル!V2:V13))</f>
        <v>0</v>
      </c>
      <c r="K54" s="222"/>
      <c r="L54" s="223"/>
      <c r="M54" s="4"/>
      <c r="N54" s="202" t="s">
        <v>188</v>
      </c>
      <c r="O54" s="203"/>
      <c r="P54" s="203"/>
      <c r="Q54" s="204">
        <f>(合計_15分未満切捨て-(K51+K52)*7.5-(O51+O52)*3-(S51+S52)*4.5)</f>
        <v>0</v>
      </c>
      <c r="R54" s="205"/>
      <c r="S54" s="206"/>
      <c r="T54" s="207"/>
      <c r="U54" s="92" t="s">
        <v>197</v>
      </c>
      <c r="Y54" s="208" t="s">
        <v>203</v>
      </c>
      <c r="Z54" s="209"/>
      <c r="AA54" s="63">
        <f>+SUM('3月:4月'!W51:X51)</f>
        <v>0</v>
      </c>
      <c r="AB54" t="s">
        <v>204</v>
      </c>
    </row>
    <row r="55" spans="1:34" ht="14.15" customHeight="1" thickTop="1" thickBot="1" x14ac:dyDescent="0.25">
      <c r="A55" s="192" t="str">
        <f ca="1">+IF(給与体系="時給制","超過勤務","みなし給")</f>
        <v>みなし給</v>
      </c>
      <c r="B55" s="193"/>
      <c r="C55" s="194"/>
      <c r="D55" s="210" t="e">
        <f ca="1">IF(給与体系="140-160時間制",基本給単価/4,IF(時間外係数=0,基本給単価*1.25,ROUNDUP(IF(給与体系="時給制",(時間・月額+手当１金額/150)*時間外係数,(時間・月額+手当１金額)/SUMIF(テーブル_勤務時間,給与体系,テーブル!C:C)*SUMIF(テーブル_勤務時間,給与体系,テーブル!E:E)),0)))</f>
        <v>#DIV/0!</v>
      </c>
      <c r="E55" s="211"/>
      <c r="F55" s="99" t="s">
        <v>39</v>
      </c>
      <c r="G55" s="195">
        <f ca="1">+IF(給与体系="時給制",超過勤務時間計,SUMIF(テーブル_勤務時間,給与体系,テーブル_みなし時間))</f>
        <v>0</v>
      </c>
      <c r="H55" s="195"/>
      <c r="I55" s="100" t="s">
        <v>40</v>
      </c>
      <c r="J55" s="212">
        <f ca="1">IF(みなし給時間="","",IF(給与体系="時給制",みなし給単価*みなし給時間,SUMIF(テーブル!U2:U13,当月,テーブル!W2:W13)))</f>
        <v>0</v>
      </c>
      <c r="K55" s="213"/>
      <c r="L55" s="214"/>
      <c r="M55" s="4"/>
      <c r="N55" s="215" t="s">
        <v>189</v>
      </c>
      <c r="O55" s="216"/>
      <c r="P55" s="216"/>
      <c r="Q55" s="204">
        <f>+N48+R48*7.5</f>
        <v>0</v>
      </c>
      <c r="R55" s="205"/>
      <c r="S55" s="206"/>
      <c r="T55" s="207"/>
      <c r="U55" s="92" t="s">
        <v>201</v>
      </c>
      <c r="AA55" s="87" t="s">
        <v>192</v>
      </c>
    </row>
    <row r="56" spans="1:34" ht="14.15" customHeight="1" thickTop="1" thickBot="1" x14ac:dyDescent="0.25">
      <c r="A56" s="192" t="str">
        <f ca="1">+IF(給与体系="時給制","深夜残業","月額給")</f>
        <v>月額給</v>
      </c>
      <c r="B56" s="193"/>
      <c r="C56" s="194"/>
      <c r="D56" s="200" t="e">
        <f ca="1">IF(給与体系="時給制",ROUND(基本給単価*(1.5+MAX(0,時間外係数-1.25)),0),IF(給与体系="月給制","",VLOOKUP(給与体系,テーブル!B:F,5,0)))</f>
        <v>#N/A</v>
      </c>
      <c r="E56" s="201"/>
      <c r="F56" s="99" t="str">
        <f ca="1">+IF(給与体系="時給制","＊",IF(給与体系="月給制","","－"))</f>
        <v>－</v>
      </c>
      <c r="G56" s="195" t="e">
        <f ca="1">+IF(給与体系="時給制",深夜残業時間計,IF(給与体系="月給制","月額給",VLOOKUP(給与体系,テーブル!B:G,6,0)))</f>
        <v>#N/A</v>
      </c>
      <c r="H56" s="195"/>
      <c r="I56" s="100" t="str">
        <f ca="1">+IF(給与体系="時給制","h","制")</f>
        <v>制</v>
      </c>
      <c r="J56" s="179">
        <f ca="1">IF(給与体系="時給制",D56*G56,基本給+みなし給)</f>
        <v>0</v>
      </c>
      <c r="K56" s="180"/>
      <c r="L56" s="181"/>
      <c r="M56" s="4"/>
      <c r="N56" s="202" t="s">
        <v>190</v>
      </c>
      <c r="O56" s="203"/>
      <c r="P56" s="203"/>
      <c r="Q56" s="204">
        <f>+Q54-Q55</f>
        <v>0</v>
      </c>
      <c r="R56" s="205"/>
      <c r="S56" s="206"/>
      <c r="T56" s="207"/>
      <c r="U56" s="92" t="s">
        <v>199</v>
      </c>
      <c r="AA56" s="86">
        <f>IF(D62="テレワーク手当",J62/400,IF(D63="テレワーク手当",J63/400,IF(D64="テレワーク手当",J64/400,0)))</f>
        <v>0</v>
      </c>
      <c r="AB56" t="s">
        <v>193</v>
      </c>
    </row>
    <row r="57" spans="1:34" ht="14.15" customHeight="1" thickTop="1" thickBot="1" x14ac:dyDescent="0.25">
      <c r="A57" s="192" t="str">
        <f ca="1">+IF(給与体系="時給制","休日出勤","控除精算")</f>
        <v>控除精算</v>
      </c>
      <c r="B57" s="193"/>
      <c r="C57" s="194"/>
      <c r="D57" s="176" t="e">
        <f ca="1">ROUNDUP(IF(給与種別=0,0,IF(給与体系="時給制",(基本給単価)*1.35,(時間・月額)/SUMIF(テーブル_勤務時間,給与体系,テーブル!C:C))),0)</f>
        <v>#DIV/0!</v>
      </c>
      <c r="E57" s="177"/>
      <c r="F57" s="99" t="s">
        <v>39</v>
      </c>
      <c r="G57" s="195">
        <f ca="1">IF(給与体系="時給制",休日出勤時間計,IF(給与体系="月給制",-1*欠勤時間計,IF(給与体系="140-160時間制",MIN(0,時間合計-140),MIN(0,補正勤務時間合計-SUMIF(テーブル_勤務時間,給与体系,テーブル!H:H)))))</f>
        <v>0</v>
      </c>
      <c r="H57" s="195"/>
      <c r="I57" s="100" t="s">
        <v>40</v>
      </c>
      <c r="J57" s="179" t="e">
        <f ca="1">MAX(控除単価*控除時間,時間・月額*-1)</f>
        <v>#DIV/0!</v>
      </c>
      <c r="K57" s="180"/>
      <c r="L57" s="181"/>
      <c r="M57" s="4"/>
      <c r="N57" s="196" t="s">
        <v>134</v>
      </c>
      <c r="O57" s="197"/>
      <c r="P57" s="198">
        <f ca="1">_xlfn.XLOOKUP(当月,テーブル!U2:U13,テーブル!X2:X13,テーブル!$O$6,FALSE)</f>
        <v>0</v>
      </c>
      <c r="Q57" s="198"/>
      <c r="R57" s="198"/>
      <c r="S57" s="198"/>
      <c r="T57" s="198"/>
      <c r="U57" s="198"/>
      <c r="V57" s="198"/>
      <c r="W57" s="199"/>
    </row>
    <row r="58" spans="1:34" ht="14.15" customHeight="1" x14ac:dyDescent="0.2">
      <c r="A58" s="173" t="str">
        <f ca="1">+IF(給与体系="時給制","休日深夜","超過精算")</f>
        <v>超過精算</v>
      </c>
      <c r="B58" s="174"/>
      <c r="C58" s="175"/>
      <c r="D58" s="176" t="e">
        <f ca="1">ROUNDUP(IF(給与種別=0,((時間・月額+手当１金額)/150),IF(給与体系="時給制",(基本給単価)*1.6,(時間・月額)/SUMIF(テーブル_勤務時間,給与体系,テーブル!C:C))),0)</f>
        <v>#DIV/0!</v>
      </c>
      <c r="E58" s="177"/>
      <c r="F58" s="101" t="s">
        <v>39</v>
      </c>
      <c r="G58" s="178">
        <f ca="1">IF(給与体系="時給制",休日深夜時間計,IF(給与体系="140-160時間制",MAX(0,時間合計-160)*1.25+MAX(0,深夜残業時間計-80)*0.25,(IF(給与体系="管理監督者",(深夜残業時間計+休日深夜時間計)*0.25,MAX(0,補正勤務時間合計-SUMIF(テーブル_勤務時間,給与体系,テーブル!I:I))))))</f>
        <v>0</v>
      </c>
      <c r="H58" s="178"/>
      <c r="I58" s="102" t="s">
        <v>40</v>
      </c>
      <c r="J58" s="179" t="e">
        <f ca="1">超過単価*超過時間</f>
        <v>#DIV/0!</v>
      </c>
      <c r="K58" s="180"/>
      <c r="L58" s="181"/>
      <c r="M58" s="4"/>
      <c r="N58" s="182" t="s">
        <v>157</v>
      </c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94" t="s">
        <v>211</v>
      </c>
    </row>
    <row r="59" spans="1:34" ht="14.15" customHeight="1" thickBot="1" x14ac:dyDescent="0.25">
      <c r="A59" s="183" t="s">
        <v>227</v>
      </c>
      <c r="B59" s="184"/>
      <c r="C59" s="185"/>
      <c r="D59" s="186"/>
      <c r="E59" s="187"/>
      <c r="F59" s="83"/>
      <c r="G59" s="188" t="s">
        <v>255</v>
      </c>
      <c r="H59" s="188"/>
      <c r="I59" s="84"/>
      <c r="J59" s="189" t="str">
        <f>+IF(ISERROR(過不足調整単価*過不足調整時間),"",過不足調整単価*過不足調整時間)</f>
        <v/>
      </c>
      <c r="K59" s="190"/>
      <c r="L59" s="191"/>
      <c r="M59" s="4"/>
      <c r="N59" s="154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95">
        <f ca="1">+SUM(AB17:AB47)+G51*7.5+AB59</f>
        <v>157.5</v>
      </c>
    </row>
    <row r="60" spans="1:34" ht="14.15" customHeight="1" thickTop="1" x14ac:dyDescent="0.2">
      <c r="A60" s="145"/>
      <c r="B60" s="146"/>
      <c r="C60" s="147"/>
      <c r="D60" s="148" t="s">
        <v>148</v>
      </c>
      <c r="E60" s="149"/>
      <c r="F60" s="149"/>
      <c r="G60" s="149"/>
      <c r="H60" s="149"/>
      <c r="I60" s="150"/>
      <c r="J60" s="151" t="e">
        <f ca="1">IF(給与体系="時給制",SUM(基本給:L59),SUM(J56:L59))</f>
        <v>#DIV/0!</v>
      </c>
      <c r="K60" s="152"/>
      <c r="L60" s="153"/>
      <c r="M60" s="4"/>
      <c r="N60" s="154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6"/>
      <c r="AB60" t="s">
        <v>229</v>
      </c>
    </row>
    <row r="61" spans="1:34" ht="14.15" customHeight="1" x14ac:dyDescent="0.2">
      <c r="A61" s="157" t="s">
        <v>137</v>
      </c>
      <c r="B61" s="158" t="s">
        <v>182</v>
      </c>
      <c r="C61" s="159"/>
      <c r="D61" s="160">
        <f>'4月'!D61</f>
        <v>0</v>
      </c>
      <c r="E61" s="161"/>
      <c r="F61" s="161"/>
      <c r="G61" s="161"/>
      <c r="H61" s="161"/>
      <c r="I61" s="162"/>
      <c r="J61" s="126">
        <f>'4月'!手当１金額</f>
        <v>0</v>
      </c>
      <c r="K61" s="127"/>
      <c r="L61" s="128"/>
      <c r="M61" s="4"/>
      <c r="N61" s="115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7"/>
      <c r="AB61" t="s">
        <v>232</v>
      </c>
      <c r="AC61" t="s">
        <v>235</v>
      </c>
    </row>
    <row r="62" spans="1:34" ht="14.15" customHeight="1" x14ac:dyDescent="0.2">
      <c r="A62" s="157"/>
      <c r="B62" s="163" t="s">
        <v>183</v>
      </c>
      <c r="C62" s="120"/>
      <c r="D62" s="133"/>
      <c r="E62" s="134"/>
      <c r="F62" s="134"/>
      <c r="G62" s="134"/>
      <c r="H62" s="134"/>
      <c r="I62" s="135"/>
      <c r="J62" s="126"/>
      <c r="K62" s="127"/>
      <c r="L62" s="128"/>
      <c r="M62" s="4"/>
      <c r="N62" s="115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7"/>
      <c r="AB62" t="s">
        <v>239</v>
      </c>
      <c r="AC62" t="s">
        <v>236</v>
      </c>
    </row>
    <row r="63" spans="1:34" ht="14.15" customHeight="1" x14ac:dyDescent="0.2">
      <c r="A63" s="157"/>
      <c r="B63" s="164"/>
      <c r="C63" s="165"/>
      <c r="D63" s="133"/>
      <c r="E63" s="134"/>
      <c r="F63" s="134"/>
      <c r="G63" s="134"/>
      <c r="H63" s="134"/>
      <c r="I63" s="135"/>
      <c r="J63" s="126"/>
      <c r="K63" s="127"/>
      <c r="L63" s="128"/>
      <c r="M63" s="4"/>
      <c r="N63" s="115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7"/>
      <c r="AB63" t="s">
        <v>245</v>
      </c>
      <c r="AC63" t="s">
        <v>249</v>
      </c>
    </row>
    <row r="64" spans="1:34" ht="14.15" customHeight="1" x14ac:dyDescent="0.2">
      <c r="A64" s="157"/>
      <c r="B64" s="166"/>
      <c r="C64" s="123"/>
      <c r="D64" s="133"/>
      <c r="E64" s="134"/>
      <c r="F64" s="134"/>
      <c r="G64" s="134"/>
      <c r="H64" s="134"/>
      <c r="I64" s="135"/>
      <c r="J64" s="126"/>
      <c r="K64" s="127"/>
      <c r="L64" s="128"/>
      <c r="M64" s="4"/>
      <c r="N64" s="115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7"/>
      <c r="AB64" t="s">
        <v>247</v>
      </c>
      <c r="AC64" t="s">
        <v>237</v>
      </c>
    </row>
    <row r="65" spans="1:29" ht="14.15" customHeight="1" x14ac:dyDescent="0.2">
      <c r="A65" s="136" t="s">
        <v>28</v>
      </c>
      <c r="B65" s="137"/>
      <c r="C65" s="137"/>
      <c r="D65" s="137"/>
      <c r="E65" s="137"/>
      <c r="F65" s="137"/>
      <c r="G65" s="137"/>
      <c r="H65" s="137"/>
      <c r="I65" s="138"/>
      <c r="J65" s="139" t="e">
        <f ca="1">J60+SUM(J62:L64)</f>
        <v>#DIV/0!</v>
      </c>
      <c r="K65" s="140"/>
      <c r="L65" s="141"/>
      <c r="M65" s="4"/>
      <c r="N65" s="142" t="str">
        <f>+IF('4月'!J66=0," ※前月の通勤費がゼロのため通勤交通費が表示されない","")</f>
        <v xml:space="preserve"> ※前月の通勤費がゼロのため通勤交通費が表示されない</v>
      </c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4"/>
    </row>
    <row r="66" spans="1:29" ht="14.15" customHeight="1" x14ac:dyDescent="0.2">
      <c r="A66" s="132" t="s">
        <v>169</v>
      </c>
      <c r="B66" s="124"/>
      <c r="C66" s="124"/>
      <c r="D66" s="124"/>
      <c r="E66" s="124"/>
      <c r="F66" s="124"/>
      <c r="G66" s="124"/>
      <c r="H66" s="124"/>
      <c r="I66" s="125"/>
      <c r="J66" s="126">
        <f>+'2月'!$J$66</f>
        <v>0</v>
      </c>
      <c r="K66" s="127"/>
      <c r="L66" s="128"/>
      <c r="M66" s="4"/>
      <c r="N66" s="115" t="str">
        <f>+IF(C51=0," ※出勤がないため通勤交通費の支給は無し","")</f>
        <v xml:space="preserve"> ※出勤がないため通勤交通費の支給は無し</v>
      </c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7"/>
      <c r="AB66" t="s">
        <v>246</v>
      </c>
      <c r="AC66" t="s">
        <v>253</v>
      </c>
    </row>
    <row r="67" spans="1:29" ht="14.15" customHeight="1" x14ac:dyDescent="0.2">
      <c r="A67" s="132" t="s">
        <v>141</v>
      </c>
      <c r="B67" s="124"/>
      <c r="C67" s="125"/>
      <c r="D67" s="124" t="s">
        <v>138</v>
      </c>
      <c r="E67" s="124"/>
      <c r="F67" s="124"/>
      <c r="G67" s="124"/>
      <c r="H67" s="124"/>
      <c r="I67" s="125"/>
      <c r="J67" s="126">
        <v>0</v>
      </c>
      <c r="K67" s="127"/>
      <c r="L67" s="128"/>
      <c r="N67" s="115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7"/>
      <c r="AB67" t="s">
        <v>248</v>
      </c>
      <c r="AC67" t="s">
        <v>254</v>
      </c>
    </row>
    <row r="68" spans="1:29" ht="14.15" customHeight="1" x14ac:dyDescent="0.2">
      <c r="A68" s="118" t="s">
        <v>140</v>
      </c>
      <c r="B68" s="119"/>
      <c r="C68" s="120"/>
      <c r="D68" s="124" t="s">
        <v>138</v>
      </c>
      <c r="E68" s="124"/>
      <c r="F68" s="124"/>
      <c r="G68" s="124"/>
      <c r="H68" s="124"/>
      <c r="I68" s="125"/>
      <c r="J68" s="126">
        <v>0</v>
      </c>
      <c r="K68" s="127"/>
      <c r="L68" s="128"/>
      <c r="N68" s="115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7"/>
    </row>
    <row r="69" spans="1:29" ht="13.5" customHeight="1" x14ac:dyDescent="0.2">
      <c r="A69" s="121"/>
      <c r="B69" s="122"/>
      <c r="C69" s="123"/>
      <c r="D69" s="124" t="s">
        <v>139</v>
      </c>
      <c r="E69" s="124"/>
      <c r="F69" s="124"/>
      <c r="G69" s="124"/>
      <c r="H69" s="124"/>
      <c r="I69" s="125"/>
      <c r="J69" s="129"/>
      <c r="K69" s="130"/>
      <c r="L69" s="131"/>
      <c r="N69" s="115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7"/>
      <c r="AB69" t="s">
        <v>240</v>
      </c>
      <c r="AC69" t="s">
        <v>233</v>
      </c>
    </row>
    <row r="70" spans="1:29" ht="14.15" customHeight="1" thickBot="1" x14ac:dyDescent="0.25">
      <c r="A70" s="109" t="s">
        <v>31</v>
      </c>
      <c r="B70" s="110"/>
      <c r="C70" s="110"/>
      <c r="D70" s="110"/>
      <c r="E70" s="110"/>
      <c r="F70" s="110"/>
      <c r="G70" s="110"/>
      <c r="H70" s="110"/>
      <c r="I70" s="111"/>
      <c r="J70" s="112" t="e">
        <f ca="1">SUM(J65:L69)</f>
        <v>#DIV/0!</v>
      </c>
      <c r="K70" s="113"/>
      <c r="L70" s="114"/>
      <c r="N70" s="115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7"/>
      <c r="AB70" t="s">
        <v>242</v>
      </c>
      <c r="AC70" t="s">
        <v>241</v>
      </c>
    </row>
    <row r="71" spans="1:29" ht="13.5" thickTop="1" x14ac:dyDescent="0.2">
      <c r="T71">
        <v>0</v>
      </c>
      <c r="AB71" t="s">
        <v>230</v>
      </c>
      <c r="AC71" t="s">
        <v>231</v>
      </c>
    </row>
    <row r="73" spans="1:29" x14ac:dyDescent="0.2">
      <c r="AB73" t="s">
        <v>228</v>
      </c>
    </row>
    <row r="74" spans="1:29" x14ac:dyDescent="0.2">
      <c r="AB74" t="s">
        <v>232</v>
      </c>
      <c r="AC74" t="s">
        <v>234</v>
      </c>
    </row>
    <row r="75" spans="1:29" x14ac:dyDescent="0.2">
      <c r="AB75" t="s">
        <v>239</v>
      </c>
      <c r="AC75" t="s">
        <v>238</v>
      </c>
    </row>
    <row r="76" spans="1:29" x14ac:dyDescent="0.2">
      <c r="AB76" t="s">
        <v>245</v>
      </c>
      <c r="AC76" t="s">
        <v>250</v>
      </c>
    </row>
    <row r="79" spans="1:29" x14ac:dyDescent="0.2">
      <c r="AB79" t="s">
        <v>246</v>
      </c>
      <c r="AC79" t="s">
        <v>251</v>
      </c>
    </row>
    <row r="80" spans="1:29" x14ac:dyDescent="0.2">
      <c r="AB80" t="s">
        <v>248</v>
      </c>
      <c r="AC80" t="s">
        <v>252</v>
      </c>
    </row>
    <row r="82" spans="28:29" x14ac:dyDescent="0.2">
      <c r="AB82" t="s">
        <v>240</v>
      </c>
      <c r="AC82" t="s">
        <v>243</v>
      </c>
    </row>
    <row r="83" spans="28:29" x14ac:dyDescent="0.2">
      <c r="AB83" t="s">
        <v>242</v>
      </c>
      <c r="AC83" t="s">
        <v>244</v>
      </c>
    </row>
  </sheetData>
  <dataConsolidate/>
  <mergeCells count="534">
    <mergeCell ref="T9:Z9"/>
    <mergeCell ref="A10:B11"/>
    <mergeCell ref="C10:J11"/>
    <mergeCell ref="T10:Z10"/>
    <mergeCell ref="Y2:Z2"/>
    <mergeCell ref="A3:Z4"/>
    <mergeCell ref="A5:D5"/>
    <mergeCell ref="E5:I6"/>
    <mergeCell ref="A6:D6"/>
    <mergeCell ref="P7:Z7"/>
    <mergeCell ref="N7:O7"/>
    <mergeCell ref="A12:B13"/>
    <mergeCell ref="C12:J13"/>
    <mergeCell ref="A15:B16"/>
    <mergeCell ref="C15:C16"/>
    <mergeCell ref="D15:G15"/>
    <mergeCell ref="H15:I16"/>
    <mergeCell ref="J15:K16"/>
    <mergeCell ref="A8:B9"/>
    <mergeCell ref="C8:J9"/>
    <mergeCell ref="A17:B17"/>
    <mergeCell ref="D17:E17"/>
    <mergeCell ref="F17:G17"/>
    <mergeCell ref="H17:I17"/>
    <mergeCell ref="J17:K17"/>
    <mergeCell ref="L17:M17"/>
    <mergeCell ref="L15:M16"/>
    <mergeCell ref="N15:O16"/>
    <mergeCell ref="P15:Q16"/>
    <mergeCell ref="N17:O17"/>
    <mergeCell ref="P17:Q17"/>
    <mergeCell ref="R17:S17"/>
    <mergeCell ref="T17:U17"/>
    <mergeCell ref="V17:W17"/>
    <mergeCell ref="X17:Z17"/>
    <mergeCell ref="X15:Z16"/>
    <mergeCell ref="AA15:AA16"/>
    <mergeCell ref="D16:E16"/>
    <mergeCell ref="F16:G16"/>
    <mergeCell ref="R15:S16"/>
    <mergeCell ref="T15:U16"/>
    <mergeCell ref="V15:W16"/>
    <mergeCell ref="N18:O18"/>
    <mergeCell ref="P18:Q18"/>
    <mergeCell ref="R18:S18"/>
    <mergeCell ref="T18:U18"/>
    <mergeCell ref="V18:W18"/>
    <mergeCell ref="X18:Z18"/>
    <mergeCell ref="A18:B18"/>
    <mergeCell ref="D18:E18"/>
    <mergeCell ref="F18:G18"/>
    <mergeCell ref="H18:I18"/>
    <mergeCell ref="J18:K18"/>
    <mergeCell ref="L18:M18"/>
    <mergeCell ref="N19:O19"/>
    <mergeCell ref="P19:Q19"/>
    <mergeCell ref="R19:S19"/>
    <mergeCell ref="T19:U19"/>
    <mergeCell ref="V19:W19"/>
    <mergeCell ref="X19:Z19"/>
    <mergeCell ref="A19:B19"/>
    <mergeCell ref="D19:E19"/>
    <mergeCell ref="F19:G19"/>
    <mergeCell ref="H19:I19"/>
    <mergeCell ref="J19:K19"/>
    <mergeCell ref="L19:M19"/>
    <mergeCell ref="N20:O20"/>
    <mergeCell ref="P20:Q20"/>
    <mergeCell ref="R20:S20"/>
    <mergeCell ref="T20:U20"/>
    <mergeCell ref="V20:W20"/>
    <mergeCell ref="X20:Z20"/>
    <mergeCell ref="A20:B20"/>
    <mergeCell ref="D20:E20"/>
    <mergeCell ref="F20:G20"/>
    <mergeCell ref="H20:I20"/>
    <mergeCell ref="J20:K20"/>
    <mergeCell ref="L20:M20"/>
    <mergeCell ref="N21:O21"/>
    <mergeCell ref="P21:Q21"/>
    <mergeCell ref="R21:S21"/>
    <mergeCell ref="T21:U21"/>
    <mergeCell ref="V21:W21"/>
    <mergeCell ref="X21:Z21"/>
    <mergeCell ref="A21:B21"/>
    <mergeCell ref="D21:E21"/>
    <mergeCell ref="F21:G21"/>
    <mergeCell ref="H21:I21"/>
    <mergeCell ref="J21:K21"/>
    <mergeCell ref="L21:M21"/>
    <mergeCell ref="N22:O22"/>
    <mergeCell ref="P22:Q22"/>
    <mergeCell ref="R22:S22"/>
    <mergeCell ref="T22:U22"/>
    <mergeCell ref="V22:W22"/>
    <mergeCell ref="X22:Z22"/>
    <mergeCell ref="A22:B22"/>
    <mergeCell ref="D22:E22"/>
    <mergeCell ref="F22:G22"/>
    <mergeCell ref="H22:I22"/>
    <mergeCell ref="J22:K22"/>
    <mergeCell ref="L22:M22"/>
    <mergeCell ref="N23:O23"/>
    <mergeCell ref="P23:Q23"/>
    <mergeCell ref="R23:S23"/>
    <mergeCell ref="T23:U23"/>
    <mergeCell ref="V23:W23"/>
    <mergeCell ref="X23:Z23"/>
    <mergeCell ref="A23:B23"/>
    <mergeCell ref="D23:E23"/>
    <mergeCell ref="F23:G23"/>
    <mergeCell ref="H23:I23"/>
    <mergeCell ref="J23:K23"/>
    <mergeCell ref="L23:M23"/>
    <mergeCell ref="N24:O24"/>
    <mergeCell ref="P24:Q24"/>
    <mergeCell ref="R24:S24"/>
    <mergeCell ref="T24:U24"/>
    <mergeCell ref="V24:W24"/>
    <mergeCell ref="X24:Z24"/>
    <mergeCell ref="A24:B24"/>
    <mergeCell ref="D24:E24"/>
    <mergeCell ref="F24:G24"/>
    <mergeCell ref="H24:I24"/>
    <mergeCell ref="J24:K24"/>
    <mergeCell ref="L24:M24"/>
    <mergeCell ref="N25:O25"/>
    <mergeCell ref="P25:Q25"/>
    <mergeCell ref="R25:S25"/>
    <mergeCell ref="T25:U25"/>
    <mergeCell ref="V25:W25"/>
    <mergeCell ref="X25:Z25"/>
    <mergeCell ref="A25:B25"/>
    <mergeCell ref="D25:E25"/>
    <mergeCell ref="F25:G25"/>
    <mergeCell ref="H25:I25"/>
    <mergeCell ref="J25:K25"/>
    <mergeCell ref="L25:M25"/>
    <mergeCell ref="N26:O26"/>
    <mergeCell ref="P26:Q26"/>
    <mergeCell ref="R26:S26"/>
    <mergeCell ref="T26:U26"/>
    <mergeCell ref="V26:W26"/>
    <mergeCell ref="X26:Z26"/>
    <mergeCell ref="A26:B26"/>
    <mergeCell ref="D26:E26"/>
    <mergeCell ref="F26:G26"/>
    <mergeCell ref="H26:I26"/>
    <mergeCell ref="J26:K26"/>
    <mergeCell ref="L26:M26"/>
    <mergeCell ref="N27:O27"/>
    <mergeCell ref="P27:Q27"/>
    <mergeCell ref="R27:S27"/>
    <mergeCell ref="T27:U27"/>
    <mergeCell ref="V27:W27"/>
    <mergeCell ref="X27:Z27"/>
    <mergeCell ref="A27:B27"/>
    <mergeCell ref="D27:E27"/>
    <mergeCell ref="F27:G27"/>
    <mergeCell ref="H27:I27"/>
    <mergeCell ref="J27:K27"/>
    <mergeCell ref="L27:M27"/>
    <mergeCell ref="N28:O28"/>
    <mergeCell ref="P28:Q28"/>
    <mergeCell ref="R28:S28"/>
    <mergeCell ref="T28:U28"/>
    <mergeCell ref="V28:W28"/>
    <mergeCell ref="X28:Z28"/>
    <mergeCell ref="A28:B28"/>
    <mergeCell ref="D28:E28"/>
    <mergeCell ref="F28:G28"/>
    <mergeCell ref="H28:I28"/>
    <mergeCell ref="J28:K28"/>
    <mergeCell ref="L28:M28"/>
    <mergeCell ref="N29:O29"/>
    <mergeCell ref="P29:Q29"/>
    <mergeCell ref="R29:S29"/>
    <mergeCell ref="T29:U29"/>
    <mergeCell ref="V29:W29"/>
    <mergeCell ref="X29:Z29"/>
    <mergeCell ref="A29:B29"/>
    <mergeCell ref="D29:E29"/>
    <mergeCell ref="F29:G29"/>
    <mergeCell ref="H29:I29"/>
    <mergeCell ref="J29:K29"/>
    <mergeCell ref="L29:M29"/>
    <mergeCell ref="N30:O30"/>
    <mergeCell ref="P30:Q30"/>
    <mergeCell ref="R30:S30"/>
    <mergeCell ref="T30:U30"/>
    <mergeCell ref="V30:W30"/>
    <mergeCell ref="X30:Z30"/>
    <mergeCell ref="A30:B30"/>
    <mergeCell ref="D30:E30"/>
    <mergeCell ref="F30:G30"/>
    <mergeCell ref="H30:I30"/>
    <mergeCell ref="J30:K30"/>
    <mergeCell ref="L30:M30"/>
    <mergeCell ref="N31:O31"/>
    <mergeCell ref="P31:Q31"/>
    <mergeCell ref="R31:S31"/>
    <mergeCell ref="T31:U31"/>
    <mergeCell ref="V31:W31"/>
    <mergeCell ref="X31:Z31"/>
    <mergeCell ref="A31:B31"/>
    <mergeCell ref="D31:E31"/>
    <mergeCell ref="F31:G31"/>
    <mergeCell ref="H31:I31"/>
    <mergeCell ref="J31:K31"/>
    <mergeCell ref="L31:M31"/>
    <mergeCell ref="N32:O32"/>
    <mergeCell ref="P32:Q32"/>
    <mergeCell ref="R32:S32"/>
    <mergeCell ref="T32:U32"/>
    <mergeCell ref="V32:W32"/>
    <mergeCell ref="X32:Z32"/>
    <mergeCell ref="A32:B32"/>
    <mergeCell ref="D32:E32"/>
    <mergeCell ref="F32:G32"/>
    <mergeCell ref="H32:I32"/>
    <mergeCell ref="J32:K32"/>
    <mergeCell ref="L32:M32"/>
    <mergeCell ref="N33:O33"/>
    <mergeCell ref="P33:Q33"/>
    <mergeCell ref="R33:S33"/>
    <mergeCell ref="T33:U33"/>
    <mergeCell ref="V33:W33"/>
    <mergeCell ref="X33:Z33"/>
    <mergeCell ref="A33:B33"/>
    <mergeCell ref="D33:E33"/>
    <mergeCell ref="F33:G33"/>
    <mergeCell ref="H33:I33"/>
    <mergeCell ref="J33:K33"/>
    <mergeCell ref="L33:M33"/>
    <mergeCell ref="N34:O34"/>
    <mergeCell ref="P34:Q34"/>
    <mergeCell ref="R34:S34"/>
    <mergeCell ref="T34:U34"/>
    <mergeCell ref="V34:W34"/>
    <mergeCell ref="X34:Z34"/>
    <mergeCell ref="A34:B34"/>
    <mergeCell ref="D34:E34"/>
    <mergeCell ref="F34:G34"/>
    <mergeCell ref="H34:I34"/>
    <mergeCell ref="J34:K34"/>
    <mergeCell ref="L34:M34"/>
    <mergeCell ref="N35:O35"/>
    <mergeCell ref="P35:Q35"/>
    <mergeCell ref="R35:S35"/>
    <mergeCell ref="T35:U35"/>
    <mergeCell ref="V35:W35"/>
    <mergeCell ref="X35:Z35"/>
    <mergeCell ref="A35:B35"/>
    <mergeCell ref="D35:E35"/>
    <mergeCell ref="F35:G35"/>
    <mergeCell ref="H35:I35"/>
    <mergeCell ref="J35:K35"/>
    <mergeCell ref="L35:M35"/>
    <mergeCell ref="N36:O36"/>
    <mergeCell ref="P36:Q36"/>
    <mergeCell ref="R36:S36"/>
    <mergeCell ref="T36:U36"/>
    <mergeCell ref="V36:W36"/>
    <mergeCell ref="X36:Z36"/>
    <mergeCell ref="A36:B36"/>
    <mergeCell ref="D36:E36"/>
    <mergeCell ref="F36:G36"/>
    <mergeCell ref="H36:I36"/>
    <mergeCell ref="J36:K36"/>
    <mergeCell ref="L36:M36"/>
    <mergeCell ref="N37:O37"/>
    <mergeCell ref="P37:Q37"/>
    <mergeCell ref="R37:S37"/>
    <mergeCell ref="T37:U37"/>
    <mergeCell ref="V37:W37"/>
    <mergeCell ref="X37:Z37"/>
    <mergeCell ref="A37:B37"/>
    <mergeCell ref="D37:E37"/>
    <mergeCell ref="F37:G37"/>
    <mergeCell ref="H37:I37"/>
    <mergeCell ref="J37:K37"/>
    <mergeCell ref="L37:M37"/>
    <mergeCell ref="N38:O38"/>
    <mergeCell ref="P38:Q38"/>
    <mergeCell ref="R38:S38"/>
    <mergeCell ref="T38:U38"/>
    <mergeCell ref="V38:W38"/>
    <mergeCell ref="X38:Z38"/>
    <mergeCell ref="A38:B38"/>
    <mergeCell ref="D38:E38"/>
    <mergeCell ref="F38:G38"/>
    <mergeCell ref="H38:I38"/>
    <mergeCell ref="J38:K38"/>
    <mergeCell ref="L38:M38"/>
    <mergeCell ref="N39:O39"/>
    <mergeCell ref="P39:Q39"/>
    <mergeCell ref="R39:S39"/>
    <mergeCell ref="T39:U39"/>
    <mergeCell ref="V39:W39"/>
    <mergeCell ref="X39:Z39"/>
    <mergeCell ref="A39:B39"/>
    <mergeCell ref="D39:E39"/>
    <mergeCell ref="F39:G39"/>
    <mergeCell ref="H39:I39"/>
    <mergeCell ref="J39:K39"/>
    <mergeCell ref="L39:M39"/>
    <mergeCell ref="N40:O40"/>
    <mergeCell ref="P40:Q40"/>
    <mergeCell ref="R40:S40"/>
    <mergeCell ref="T40:U40"/>
    <mergeCell ref="V40:W40"/>
    <mergeCell ref="X40:Z40"/>
    <mergeCell ref="A40:B40"/>
    <mergeCell ref="D40:E40"/>
    <mergeCell ref="F40:G40"/>
    <mergeCell ref="H40:I40"/>
    <mergeCell ref="J40:K40"/>
    <mergeCell ref="L40:M40"/>
    <mergeCell ref="N41:O41"/>
    <mergeCell ref="P41:Q41"/>
    <mergeCell ref="R41:S41"/>
    <mergeCell ref="T41:U41"/>
    <mergeCell ref="V41:W41"/>
    <mergeCell ref="X41:Z41"/>
    <mergeCell ref="A41:B41"/>
    <mergeCell ref="D41:E41"/>
    <mergeCell ref="F41:G41"/>
    <mergeCell ref="H41:I41"/>
    <mergeCell ref="J41:K41"/>
    <mergeCell ref="L41:M41"/>
    <mergeCell ref="N42:O42"/>
    <mergeCell ref="P42:Q42"/>
    <mergeCell ref="R42:S42"/>
    <mergeCell ref="T42:U42"/>
    <mergeCell ref="V42:W42"/>
    <mergeCell ref="X42:Z42"/>
    <mergeCell ref="A42:B42"/>
    <mergeCell ref="D42:E42"/>
    <mergeCell ref="F42:G42"/>
    <mergeCell ref="H42:I42"/>
    <mergeCell ref="J42:K42"/>
    <mergeCell ref="L42:M42"/>
    <mergeCell ref="N43:O43"/>
    <mergeCell ref="P43:Q43"/>
    <mergeCell ref="R43:S43"/>
    <mergeCell ref="T43:U43"/>
    <mergeCell ref="V43:W43"/>
    <mergeCell ref="X43:Z43"/>
    <mergeCell ref="A43:B43"/>
    <mergeCell ref="D43:E43"/>
    <mergeCell ref="F43:G43"/>
    <mergeCell ref="H43:I43"/>
    <mergeCell ref="J43:K43"/>
    <mergeCell ref="L43:M43"/>
    <mergeCell ref="N44:O44"/>
    <mergeCell ref="P44:Q44"/>
    <mergeCell ref="R44:S44"/>
    <mergeCell ref="T44:U44"/>
    <mergeCell ref="V44:W44"/>
    <mergeCell ref="X44:Z44"/>
    <mergeCell ref="A44:B44"/>
    <mergeCell ref="D44:E44"/>
    <mergeCell ref="F44:G44"/>
    <mergeCell ref="H44:I44"/>
    <mergeCell ref="J44:K44"/>
    <mergeCell ref="L44:M44"/>
    <mergeCell ref="N45:O45"/>
    <mergeCell ref="P45:Q45"/>
    <mergeCell ref="R45:S45"/>
    <mergeCell ref="T45:U45"/>
    <mergeCell ref="V45:W45"/>
    <mergeCell ref="X45:Z45"/>
    <mergeCell ref="A45:B45"/>
    <mergeCell ref="D45:E45"/>
    <mergeCell ref="F45:G45"/>
    <mergeCell ref="H45:I45"/>
    <mergeCell ref="J45:K45"/>
    <mergeCell ref="L45:M45"/>
    <mergeCell ref="N46:O46"/>
    <mergeCell ref="P46:Q46"/>
    <mergeCell ref="R46:S46"/>
    <mergeCell ref="T46:U46"/>
    <mergeCell ref="V46:W46"/>
    <mergeCell ref="X46:Z46"/>
    <mergeCell ref="A46:B46"/>
    <mergeCell ref="D46:E46"/>
    <mergeCell ref="F46:G46"/>
    <mergeCell ref="H46:I46"/>
    <mergeCell ref="J46:K46"/>
    <mergeCell ref="L46:M46"/>
    <mergeCell ref="N47:O47"/>
    <mergeCell ref="P47:Q47"/>
    <mergeCell ref="R47:S47"/>
    <mergeCell ref="T47:U47"/>
    <mergeCell ref="V47:W47"/>
    <mergeCell ref="X47:Z47"/>
    <mergeCell ref="A47:B47"/>
    <mergeCell ref="D47:E47"/>
    <mergeCell ref="F47:G47"/>
    <mergeCell ref="H47:I47"/>
    <mergeCell ref="J47:K47"/>
    <mergeCell ref="L47:M47"/>
    <mergeCell ref="N48:O48"/>
    <mergeCell ref="P48:Q48"/>
    <mergeCell ref="R48:S48"/>
    <mergeCell ref="T48:U48"/>
    <mergeCell ref="V48:W48"/>
    <mergeCell ref="X48:Z48"/>
    <mergeCell ref="A48:B48"/>
    <mergeCell ref="D48:E48"/>
    <mergeCell ref="F48:G48"/>
    <mergeCell ref="H48:I48"/>
    <mergeCell ref="J48:K48"/>
    <mergeCell ref="L48:M48"/>
    <mergeCell ref="Y52:Z52"/>
    <mergeCell ref="A52:E52"/>
    <mergeCell ref="F52:H52"/>
    <mergeCell ref="I52:J52"/>
    <mergeCell ref="V49:W49"/>
    <mergeCell ref="X49:Z49"/>
    <mergeCell ref="A50:K50"/>
    <mergeCell ref="L50:M50"/>
    <mergeCell ref="N50:O50"/>
    <mergeCell ref="P50:Q50"/>
    <mergeCell ref="R50:S50"/>
    <mergeCell ref="T50:U50"/>
    <mergeCell ref="V50:W50"/>
    <mergeCell ref="X50:Z50"/>
    <mergeCell ref="A49:K49"/>
    <mergeCell ref="L49:M49"/>
    <mergeCell ref="N49:O49"/>
    <mergeCell ref="P49:Q49"/>
    <mergeCell ref="R49:S49"/>
    <mergeCell ref="T49:U49"/>
    <mergeCell ref="K52:L52"/>
    <mergeCell ref="M52:N52"/>
    <mergeCell ref="O52:P52"/>
    <mergeCell ref="Q52:R52"/>
    <mergeCell ref="AE50:AF50"/>
    <mergeCell ref="A51:B51"/>
    <mergeCell ref="C51:D51"/>
    <mergeCell ref="E51:F51"/>
    <mergeCell ref="G51:H51"/>
    <mergeCell ref="I51:J51"/>
    <mergeCell ref="K51:L51"/>
    <mergeCell ref="M51:N51"/>
    <mergeCell ref="O51:P51"/>
    <mergeCell ref="Q51:R51"/>
    <mergeCell ref="S51:T51"/>
    <mergeCell ref="U51:V51"/>
    <mergeCell ref="W51:X51"/>
    <mergeCell ref="Y51:Z51"/>
    <mergeCell ref="Q56:T56"/>
    <mergeCell ref="Y53:Z53"/>
    <mergeCell ref="Y54:Z54"/>
    <mergeCell ref="A55:C55"/>
    <mergeCell ref="D55:E55"/>
    <mergeCell ref="G55:H55"/>
    <mergeCell ref="J55:L55"/>
    <mergeCell ref="N55:P55"/>
    <mergeCell ref="Q55:T55"/>
    <mergeCell ref="A54:C54"/>
    <mergeCell ref="D54:E54"/>
    <mergeCell ref="G54:H54"/>
    <mergeCell ref="J54:L54"/>
    <mergeCell ref="N54:P54"/>
    <mergeCell ref="Q54:T54"/>
    <mergeCell ref="A53:C53"/>
    <mergeCell ref="D53:E53"/>
    <mergeCell ref="G53:H53"/>
    <mergeCell ref="J53:L53"/>
    <mergeCell ref="S52:T52"/>
    <mergeCell ref="U52:V52"/>
    <mergeCell ref="W52:X52"/>
    <mergeCell ref="A58:C58"/>
    <mergeCell ref="D58:E58"/>
    <mergeCell ref="G58:H58"/>
    <mergeCell ref="J58:L58"/>
    <mergeCell ref="N58:Z58"/>
    <mergeCell ref="A59:C59"/>
    <mergeCell ref="D59:E59"/>
    <mergeCell ref="G59:H59"/>
    <mergeCell ref="J59:L59"/>
    <mergeCell ref="N59:Z59"/>
    <mergeCell ref="A57:C57"/>
    <mergeCell ref="D57:E57"/>
    <mergeCell ref="G57:H57"/>
    <mergeCell ref="J57:L57"/>
    <mergeCell ref="N57:O57"/>
    <mergeCell ref="P57:W57"/>
    <mergeCell ref="A56:C56"/>
    <mergeCell ref="D56:E56"/>
    <mergeCell ref="G56:H56"/>
    <mergeCell ref="J56:L56"/>
    <mergeCell ref="N56:P56"/>
    <mergeCell ref="D62:I62"/>
    <mergeCell ref="J62:L62"/>
    <mergeCell ref="N62:Z62"/>
    <mergeCell ref="D63:I63"/>
    <mergeCell ref="J63:L63"/>
    <mergeCell ref="N63:Z63"/>
    <mergeCell ref="A60:C60"/>
    <mergeCell ref="D60:I60"/>
    <mergeCell ref="J60:L60"/>
    <mergeCell ref="N60:Z60"/>
    <mergeCell ref="A61:A64"/>
    <mergeCell ref="B61:C61"/>
    <mergeCell ref="D61:I61"/>
    <mergeCell ref="J61:L61"/>
    <mergeCell ref="N61:Z61"/>
    <mergeCell ref="B62:C64"/>
    <mergeCell ref="A66:I66"/>
    <mergeCell ref="J66:L66"/>
    <mergeCell ref="N66:Z66"/>
    <mergeCell ref="A67:C67"/>
    <mergeCell ref="D67:I67"/>
    <mergeCell ref="J67:L67"/>
    <mergeCell ref="N67:Z67"/>
    <mergeCell ref="D64:I64"/>
    <mergeCell ref="J64:L64"/>
    <mergeCell ref="N64:Z64"/>
    <mergeCell ref="A65:I65"/>
    <mergeCell ref="J65:L65"/>
    <mergeCell ref="N65:Z65"/>
    <mergeCell ref="A70:I70"/>
    <mergeCell ref="J70:L70"/>
    <mergeCell ref="N70:Z70"/>
    <mergeCell ref="A68:C69"/>
    <mergeCell ref="D68:I68"/>
    <mergeCell ref="J68:L68"/>
    <mergeCell ref="N68:Z68"/>
    <mergeCell ref="D69:I69"/>
    <mergeCell ref="J69:L69"/>
    <mergeCell ref="N69:Z69"/>
  </mergeCells>
  <phoneticPr fontId="3"/>
  <conditionalFormatting sqref="A17:AA47">
    <cfRule type="expression" dxfId="3759" priority="314" stopIfTrue="1">
      <formula>$X17="所休"</formula>
    </cfRule>
    <cfRule type="expression" dxfId="3758" priority="313">
      <formula>$X17="法休"</formula>
    </cfRule>
  </conditionalFormatting>
  <conditionalFormatting sqref="J17:K17">
    <cfRule type="cellIs" dxfId="3757" priority="312" stopIfTrue="1" operator="equal">
      <formula>0</formula>
    </cfRule>
  </conditionalFormatting>
  <conditionalFormatting sqref="L17:M17">
    <cfRule type="cellIs" dxfId="3756" priority="311" stopIfTrue="1" operator="equal">
      <formula>0</formula>
    </cfRule>
  </conditionalFormatting>
  <conditionalFormatting sqref="N17:O17">
    <cfRule type="cellIs" dxfId="3755" priority="310" stopIfTrue="1" operator="equal">
      <formula>0</formula>
    </cfRule>
  </conditionalFormatting>
  <conditionalFormatting sqref="P17:Q17">
    <cfRule type="cellIs" dxfId="3754" priority="309" stopIfTrue="1" operator="equal">
      <formula>0</formula>
    </cfRule>
  </conditionalFormatting>
  <conditionalFormatting sqref="R17:S17">
    <cfRule type="cellIs" dxfId="3753" priority="308" stopIfTrue="1" operator="equal">
      <formula>0</formula>
    </cfRule>
  </conditionalFormatting>
  <conditionalFormatting sqref="T17:U17">
    <cfRule type="cellIs" dxfId="3752" priority="307" stopIfTrue="1" operator="equal">
      <formula>0</formula>
    </cfRule>
  </conditionalFormatting>
  <conditionalFormatting sqref="V17:W17">
    <cfRule type="cellIs" dxfId="3751" priority="306" stopIfTrue="1" operator="equal">
      <formula>0</formula>
    </cfRule>
  </conditionalFormatting>
  <conditionalFormatting sqref="J18:K18">
    <cfRule type="cellIs" dxfId="3750" priority="305" stopIfTrue="1" operator="equal">
      <formula>0</formula>
    </cfRule>
  </conditionalFormatting>
  <conditionalFormatting sqref="L18:M18">
    <cfRule type="cellIs" dxfId="3749" priority="304" stopIfTrue="1" operator="equal">
      <formula>0</formula>
    </cfRule>
  </conditionalFormatting>
  <conditionalFormatting sqref="N18:O18">
    <cfRule type="cellIs" dxfId="3748" priority="303" stopIfTrue="1" operator="equal">
      <formula>0</formula>
    </cfRule>
  </conditionalFormatting>
  <conditionalFormatting sqref="P18:Q18">
    <cfRule type="cellIs" dxfId="3747" priority="302" stopIfTrue="1" operator="equal">
      <formula>0</formula>
    </cfRule>
  </conditionalFormatting>
  <conditionalFormatting sqref="R18:S18">
    <cfRule type="cellIs" dxfId="3746" priority="301" stopIfTrue="1" operator="equal">
      <formula>0</formula>
    </cfRule>
  </conditionalFormatting>
  <conditionalFormatting sqref="T18:U18">
    <cfRule type="cellIs" dxfId="3745" priority="300" stopIfTrue="1" operator="equal">
      <formula>0</formula>
    </cfRule>
  </conditionalFormatting>
  <conditionalFormatting sqref="V18:W18">
    <cfRule type="cellIs" dxfId="3744" priority="299" stopIfTrue="1" operator="equal">
      <formula>0</formula>
    </cfRule>
  </conditionalFormatting>
  <conditionalFormatting sqref="J19:K19">
    <cfRule type="cellIs" dxfId="3743" priority="298" stopIfTrue="1" operator="equal">
      <formula>0</formula>
    </cfRule>
  </conditionalFormatting>
  <conditionalFormatting sqref="L19:M19">
    <cfRule type="cellIs" dxfId="3742" priority="297" stopIfTrue="1" operator="equal">
      <formula>0</formula>
    </cfRule>
  </conditionalFormatting>
  <conditionalFormatting sqref="N19:O19">
    <cfRule type="cellIs" dxfId="3741" priority="296" stopIfTrue="1" operator="equal">
      <formula>0</formula>
    </cfRule>
  </conditionalFormatting>
  <conditionalFormatting sqref="P19:Q19">
    <cfRule type="cellIs" dxfId="3740" priority="295" stopIfTrue="1" operator="equal">
      <formula>0</formula>
    </cfRule>
  </conditionalFormatting>
  <conditionalFormatting sqref="R19:S19">
    <cfRule type="cellIs" dxfId="3739" priority="294" stopIfTrue="1" operator="equal">
      <formula>0</formula>
    </cfRule>
  </conditionalFormatting>
  <conditionalFormatting sqref="T19:U19">
    <cfRule type="cellIs" dxfId="3738" priority="293" stopIfTrue="1" operator="equal">
      <formula>0</formula>
    </cfRule>
  </conditionalFormatting>
  <conditionalFormatting sqref="V19:W19">
    <cfRule type="cellIs" dxfId="3737" priority="292" stopIfTrue="1" operator="equal">
      <formula>0</formula>
    </cfRule>
  </conditionalFormatting>
  <conditionalFormatting sqref="J20:K20">
    <cfRule type="cellIs" dxfId="3736" priority="291" stopIfTrue="1" operator="equal">
      <formula>0</formula>
    </cfRule>
  </conditionalFormatting>
  <conditionalFormatting sqref="L20:M20">
    <cfRule type="cellIs" dxfId="3735" priority="290" stopIfTrue="1" operator="equal">
      <formula>0</formula>
    </cfRule>
  </conditionalFormatting>
  <conditionalFormatting sqref="N20:O20">
    <cfRule type="cellIs" dxfId="3734" priority="289" stopIfTrue="1" operator="equal">
      <formula>0</formula>
    </cfRule>
  </conditionalFormatting>
  <conditionalFormatting sqref="P20:Q20">
    <cfRule type="cellIs" dxfId="3733" priority="288" stopIfTrue="1" operator="equal">
      <formula>0</formula>
    </cfRule>
  </conditionalFormatting>
  <conditionalFormatting sqref="R20:S20">
    <cfRule type="cellIs" dxfId="3732" priority="287" stopIfTrue="1" operator="equal">
      <formula>0</formula>
    </cfRule>
  </conditionalFormatting>
  <conditionalFormatting sqref="T20:U20">
    <cfRule type="cellIs" dxfId="3731" priority="286" stopIfTrue="1" operator="equal">
      <formula>0</formula>
    </cfRule>
  </conditionalFormatting>
  <conditionalFormatting sqref="V20:W20">
    <cfRule type="cellIs" dxfId="3730" priority="285" stopIfTrue="1" operator="equal">
      <formula>0</formula>
    </cfRule>
  </conditionalFormatting>
  <conditionalFormatting sqref="J21:K21">
    <cfRule type="cellIs" dxfId="3729" priority="284" stopIfTrue="1" operator="equal">
      <formula>0</formula>
    </cfRule>
  </conditionalFormatting>
  <conditionalFormatting sqref="L21:M21">
    <cfRule type="cellIs" dxfId="3728" priority="283" stopIfTrue="1" operator="equal">
      <formula>0</formula>
    </cfRule>
  </conditionalFormatting>
  <conditionalFormatting sqref="N21:O21">
    <cfRule type="cellIs" dxfId="3727" priority="282" stopIfTrue="1" operator="equal">
      <formula>0</formula>
    </cfRule>
  </conditionalFormatting>
  <conditionalFormatting sqref="P21:Q21">
    <cfRule type="cellIs" dxfId="3726" priority="281" stopIfTrue="1" operator="equal">
      <formula>0</formula>
    </cfRule>
  </conditionalFormatting>
  <conditionalFormatting sqref="R21:S21">
    <cfRule type="cellIs" dxfId="3725" priority="280" stopIfTrue="1" operator="equal">
      <formula>0</formula>
    </cfRule>
  </conditionalFormatting>
  <conditionalFormatting sqref="T21:U21">
    <cfRule type="cellIs" dxfId="3724" priority="279" stopIfTrue="1" operator="equal">
      <formula>0</formula>
    </cfRule>
  </conditionalFormatting>
  <conditionalFormatting sqref="V21:W21">
    <cfRule type="cellIs" dxfId="3723" priority="278" stopIfTrue="1" operator="equal">
      <formula>0</formula>
    </cfRule>
  </conditionalFormatting>
  <conditionalFormatting sqref="J22:K22">
    <cfRule type="cellIs" dxfId="3722" priority="277" stopIfTrue="1" operator="equal">
      <formula>0</formula>
    </cfRule>
  </conditionalFormatting>
  <conditionalFormatting sqref="L22:M22">
    <cfRule type="cellIs" dxfId="3721" priority="276" stopIfTrue="1" operator="equal">
      <formula>0</formula>
    </cfRule>
  </conditionalFormatting>
  <conditionalFormatting sqref="N22:O22">
    <cfRule type="cellIs" dxfId="3720" priority="275" stopIfTrue="1" operator="equal">
      <formula>0</formula>
    </cfRule>
  </conditionalFormatting>
  <conditionalFormatting sqref="P22:Q22">
    <cfRule type="cellIs" dxfId="3719" priority="274" stopIfTrue="1" operator="equal">
      <formula>0</formula>
    </cfRule>
  </conditionalFormatting>
  <conditionalFormatting sqref="R22:S22">
    <cfRule type="cellIs" dxfId="3718" priority="273" stopIfTrue="1" operator="equal">
      <formula>0</formula>
    </cfRule>
  </conditionalFormatting>
  <conditionalFormatting sqref="T22:U22">
    <cfRule type="cellIs" dxfId="3717" priority="272" stopIfTrue="1" operator="equal">
      <formula>0</formula>
    </cfRule>
  </conditionalFormatting>
  <conditionalFormatting sqref="V22:W22">
    <cfRule type="cellIs" dxfId="3716" priority="271" stopIfTrue="1" operator="equal">
      <formula>0</formula>
    </cfRule>
  </conditionalFormatting>
  <conditionalFormatting sqref="J23:K23">
    <cfRule type="cellIs" dxfId="3715" priority="270" stopIfTrue="1" operator="equal">
      <formula>0</formula>
    </cfRule>
  </conditionalFormatting>
  <conditionalFormatting sqref="L23:M23">
    <cfRule type="cellIs" dxfId="3714" priority="269" stopIfTrue="1" operator="equal">
      <formula>0</formula>
    </cfRule>
  </conditionalFormatting>
  <conditionalFormatting sqref="N23:O23">
    <cfRule type="cellIs" dxfId="3713" priority="268" stopIfTrue="1" operator="equal">
      <formula>0</formula>
    </cfRule>
  </conditionalFormatting>
  <conditionalFormatting sqref="P23:Q23">
    <cfRule type="cellIs" dxfId="3712" priority="267" stopIfTrue="1" operator="equal">
      <formula>0</formula>
    </cfRule>
  </conditionalFormatting>
  <conditionalFormatting sqref="R23:S23">
    <cfRule type="cellIs" dxfId="3711" priority="266" stopIfTrue="1" operator="equal">
      <formula>0</formula>
    </cfRule>
  </conditionalFormatting>
  <conditionalFormatting sqref="T23:U23">
    <cfRule type="cellIs" dxfId="3710" priority="265" stopIfTrue="1" operator="equal">
      <formula>0</formula>
    </cfRule>
  </conditionalFormatting>
  <conditionalFormatting sqref="V23:W23">
    <cfRule type="cellIs" dxfId="3709" priority="264" stopIfTrue="1" operator="equal">
      <formula>0</formula>
    </cfRule>
  </conditionalFormatting>
  <conditionalFormatting sqref="J24:K24">
    <cfRule type="cellIs" dxfId="3708" priority="263" stopIfTrue="1" operator="equal">
      <formula>0</formula>
    </cfRule>
  </conditionalFormatting>
  <conditionalFormatting sqref="L24:M24">
    <cfRule type="cellIs" dxfId="3707" priority="262" stopIfTrue="1" operator="equal">
      <formula>0</formula>
    </cfRule>
  </conditionalFormatting>
  <conditionalFormatting sqref="N24:O24">
    <cfRule type="cellIs" dxfId="3706" priority="261" stopIfTrue="1" operator="equal">
      <formula>0</formula>
    </cfRule>
  </conditionalFormatting>
  <conditionalFormatting sqref="P24:Q24">
    <cfRule type="cellIs" dxfId="3705" priority="260" stopIfTrue="1" operator="equal">
      <formula>0</formula>
    </cfRule>
  </conditionalFormatting>
  <conditionalFormatting sqref="R24:S24">
    <cfRule type="cellIs" dxfId="3704" priority="259" stopIfTrue="1" operator="equal">
      <formula>0</formula>
    </cfRule>
  </conditionalFormatting>
  <conditionalFormatting sqref="T24:U24">
    <cfRule type="cellIs" dxfId="3703" priority="258" stopIfTrue="1" operator="equal">
      <formula>0</formula>
    </cfRule>
  </conditionalFormatting>
  <conditionalFormatting sqref="V24:W24">
    <cfRule type="cellIs" dxfId="3702" priority="257" stopIfTrue="1" operator="equal">
      <formula>0</formula>
    </cfRule>
  </conditionalFormatting>
  <conditionalFormatting sqref="J25:K25">
    <cfRule type="cellIs" dxfId="3701" priority="256" stopIfTrue="1" operator="equal">
      <formula>0</formula>
    </cfRule>
  </conditionalFormatting>
  <conditionalFormatting sqref="L25:M25">
    <cfRule type="cellIs" dxfId="3700" priority="255" stopIfTrue="1" operator="equal">
      <formula>0</formula>
    </cfRule>
  </conditionalFormatting>
  <conditionalFormatting sqref="N25:O25">
    <cfRule type="cellIs" dxfId="3699" priority="254" stopIfTrue="1" operator="equal">
      <formula>0</formula>
    </cfRule>
  </conditionalFormatting>
  <conditionalFormatting sqref="P25:Q25">
    <cfRule type="cellIs" dxfId="3698" priority="253" stopIfTrue="1" operator="equal">
      <formula>0</formula>
    </cfRule>
  </conditionalFormatting>
  <conditionalFormatting sqref="R25:S25">
    <cfRule type="cellIs" dxfId="3697" priority="252" stopIfTrue="1" operator="equal">
      <formula>0</formula>
    </cfRule>
  </conditionalFormatting>
  <conditionalFormatting sqref="T25:U25">
    <cfRule type="cellIs" dxfId="3696" priority="251" stopIfTrue="1" operator="equal">
      <formula>0</formula>
    </cfRule>
  </conditionalFormatting>
  <conditionalFormatting sqref="V25:W25">
    <cfRule type="cellIs" dxfId="3695" priority="250" stopIfTrue="1" operator="equal">
      <formula>0</formula>
    </cfRule>
  </conditionalFormatting>
  <conditionalFormatting sqref="J26:K26">
    <cfRule type="cellIs" dxfId="3694" priority="249" stopIfTrue="1" operator="equal">
      <formula>0</formula>
    </cfRule>
  </conditionalFormatting>
  <conditionalFormatting sqref="L26:M26">
    <cfRule type="cellIs" dxfId="3693" priority="248" stopIfTrue="1" operator="equal">
      <formula>0</formula>
    </cfRule>
  </conditionalFormatting>
  <conditionalFormatting sqref="N26:O26">
    <cfRule type="cellIs" dxfId="3692" priority="247" stopIfTrue="1" operator="equal">
      <formula>0</formula>
    </cfRule>
  </conditionalFormatting>
  <conditionalFormatting sqref="P26:Q26">
    <cfRule type="cellIs" dxfId="3691" priority="246" stopIfTrue="1" operator="equal">
      <formula>0</formula>
    </cfRule>
  </conditionalFormatting>
  <conditionalFormatting sqref="R26:S26">
    <cfRule type="cellIs" dxfId="3690" priority="245" stopIfTrue="1" operator="equal">
      <formula>0</formula>
    </cfRule>
  </conditionalFormatting>
  <conditionalFormatting sqref="T26:U26">
    <cfRule type="cellIs" dxfId="3689" priority="244" stopIfTrue="1" operator="equal">
      <formula>0</formula>
    </cfRule>
  </conditionalFormatting>
  <conditionalFormatting sqref="V26:W26">
    <cfRule type="cellIs" dxfId="3688" priority="243" stopIfTrue="1" operator="equal">
      <formula>0</formula>
    </cfRule>
  </conditionalFormatting>
  <conditionalFormatting sqref="J27:K27">
    <cfRule type="cellIs" dxfId="3687" priority="242" stopIfTrue="1" operator="equal">
      <formula>0</formula>
    </cfRule>
  </conditionalFormatting>
  <conditionalFormatting sqref="L27:M27">
    <cfRule type="cellIs" dxfId="3686" priority="241" stopIfTrue="1" operator="equal">
      <formula>0</formula>
    </cfRule>
  </conditionalFormatting>
  <conditionalFormatting sqref="N27:O27">
    <cfRule type="cellIs" dxfId="3685" priority="240" stopIfTrue="1" operator="equal">
      <formula>0</formula>
    </cfRule>
  </conditionalFormatting>
  <conditionalFormatting sqref="P27:Q27">
    <cfRule type="cellIs" dxfId="3684" priority="239" stopIfTrue="1" operator="equal">
      <formula>0</formula>
    </cfRule>
  </conditionalFormatting>
  <conditionalFormatting sqref="R27:S27">
    <cfRule type="cellIs" dxfId="3683" priority="238" stopIfTrue="1" operator="equal">
      <formula>0</formula>
    </cfRule>
  </conditionalFormatting>
  <conditionalFormatting sqref="T27:U27">
    <cfRule type="cellIs" dxfId="3682" priority="237" stopIfTrue="1" operator="equal">
      <formula>0</formula>
    </cfRule>
  </conditionalFormatting>
  <conditionalFormatting sqref="V27:W27">
    <cfRule type="cellIs" dxfId="3681" priority="236" stopIfTrue="1" operator="equal">
      <formula>0</formula>
    </cfRule>
  </conditionalFormatting>
  <conditionalFormatting sqref="J28:K28">
    <cfRule type="cellIs" dxfId="3680" priority="235" stopIfTrue="1" operator="equal">
      <formula>0</formula>
    </cfRule>
  </conditionalFormatting>
  <conditionalFormatting sqref="L28:M28">
    <cfRule type="cellIs" dxfId="3679" priority="234" stopIfTrue="1" operator="equal">
      <formula>0</formula>
    </cfRule>
  </conditionalFormatting>
  <conditionalFormatting sqref="N28:O28">
    <cfRule type="cellIs" dxfId="3678" priority="233" stopIfTrue="1" operator="equal">
      <formula>0</formula>
    </cfRule>
  </conditionalFormatting>
  <conditionalFormatting sqref="P28:Q28">
    <cfRule type="cellIs" dxfId="3677" priority="232" stopIfTrue="1" operator="equal">
      <formula>0</formula>
    </cfRule>
  </conditionalFormatting>
  <conditionalFormatting sqref="R28:S28">
    <cfRule type="cellIs" dxfId="3676" priority="231" stopIfTrue="1" operator="equal">
      <formula>0</formula>
    </cfRule>
  </conditionalFormatting>
  <conditionalFormatting sqref="T28:U28">
    <cfRule type="cellIs" dxfId="3675" priority="230" stopIfTrue="1" operator="equal">
      <formula>0</formula>
    </cfRule>
  </conditionalFormatting>
  <conditionalFormatting sqref="V28:W28">
    <cfRule type="cellIs" dxfId="3674" priority="229" stopIfTrue="1" operator="equal">
      <formula>0</formula>
    </cfRule>
  </conditionalFormatting>
  <conditionalFormatting sqref="J29:K29">
    <cfRule type="cellIs" dxfId="3673" priority="228" stopIfTrue="1" operator="equal">
      <formula>0</formula>
    </cfRule>
  </conditionalFormatting>
  <conditionalFormatting sqref="L29:M29">
    <cfRule type="cellIs" dxfId="3672" priority="227" stopIfTrue="1" operator="equal">
      <formula>0</formula>
    </cfRule>
  </conditionalFormatting>
  <conditionalFormatting sqref="N29:O29">
    <cfRule type="cellIs" dxfId="3671" priority="226" stopIfTrue="1" operator="equal">
      <formula>0</formula>
    </cfRule>
  </conditionalFormatting>
  <conditionalFormatting sqref="P29:Q29">
    <cfRule type="cellIs" dxfId="3670" priority="225" stopIfTrue="1" operator="equal">
      <formula>0</formula>
    </cfRule>
  </conditionalFormatting>
  <conditionalFormatting sqref="R29:S29">
    <cfRule type="cellIs" dxfId="3669" priority="224" stopIfTrue="1" operator="equal">
      <formula>0</formula>
    </cfRule>
  </conditionalFormatting>
  <conditionalFormatting sqref="T29:U29">
    <cfRule type="cellIs" dxfId="3668" priority="223" stopIfTrue="1" operator="equal">
      <formula>0</formula>
    </cfRule>
  </conditionalFormatting>
  <conditionalFormatting sqref="V29:W29">
    <cfRule type="cellIs" dxfId="3667" priority="222" stopIfTrue="1" operator="equal">
      <formula>0</formula>
    </cfRule>
  </conditionalFormatting>
  <conditionalFormatting sqref="J30:K30">
    <cfRule type="cellIs" dxfId="3666" priority="221" stopIfTrue="1" operator="equal">
      <formula>0</formula>
    </cfRule>
  </conditionalFormatting>
  <conditionalFormatting sqref="L30:M30">
    <cfRule type="cellIs" dxfId="3665" priority="220" stopIfTrue="1" operator="equal">
      <formula>0</formula>
    </cfRule>
  </conditionalFormatting>
  <conditionalFormatting sqref="N30:O30">
    <cfRule type="cellIs" dxfId="3664" priority="219" stopIfTrue="1" operator="equal">
      <formula>0</formula>
    </cfRule>
  </conditionalFormatting>
  <conditionalFormatting sqref="P30:Q30">
    <cfRule type="cellIs" dxfId="3663" priority="218" stopIfTrue="1" operator="equal">
      <formula>0</formula>
    </cfRule>
  </conditionalFormatting>
  <conditionalFormatting sqref="R30:S30">
    <cfRule type="cellIs" dxfId="3662" priority="217" stopIfTrue="1" operator="equal">
      <formula>0</formula>
    </cfRule>
  </conditionalFormatting>
  <conditionalFormatting sqref="T30:U30">
    <cfRule type="cellIs" dxfId="3661" priority="216" stopIfTrue="1" operator="equal">
      <formula>0</formula>
    </cfRule>
  </conditionalFormatting>
  <conditionalFormatting sqref="V30:W30">
    <cfRule type="cellIs" dxfId="3660" priority="215" stopIfTrue="1" operator="equal">
      <formula>0</formula>
    </cfRule>
  </conditionalFormatting>
  <conditionalFormatting sqref="J31:K31">
    <cfRule type="cellIs" dxfId="3659" priority="214" stopIfTrue="1" operator="equal">
      <formula>0</formula>
    </cfRule>
  </conditionalFormatting>
  <conditionalFormatting sqref="L31:M31">
    <cfRule type="cellIs" dxfId="3658" priority="213" stopIfTrue="1" operator="equal">
      <formula>0</formula>
    </cfRule>
  </conditionalFormatting>
  <conditionalFormatting sqref="N31:O31">
    <cfRule type="cellIs" dxfId="3657" priority="212" stopIfTrue="1" operator="equal">
      <formula>0</formula>
    </cfRule>
  </conditionalFormatting>
  <conditionalFormatting sqref="P31:Q31">
    <cfRule type="cellIs" dxfId="3656" priority="211" stopIfTrue="1" operator="equal">
      <formula>0</formula>
    </cfRule>
  </conditionalFormatting>
  <conditionalFormatting sqref="R31:S31">
    <cfRule type="cellIs" dxfId="3655" priority="210" stopIfTrue="1" operator="equal">
      <formula>0</formula>
    </cfRule>
  </conditionalFormatting>
  <conditionalFormatting sqref="T31:U31">
    <cfRule type="cellIs" dxfId="3654" priority="209" stopIfTrue="1" operator="equal">
      <formula>0</formula>
    </cfRule>
  </conditionalFormatting>
  <conditionalFormatting sqref="V31:W31">
    <cfRule type="cellIs" dxfId="3653" priority="208" stopIfTrue="1" operator="equal">
      <formula>0</formula>
    </cfRule>
  </conditionalFormatting>
  <conditionalFormatting sqref="J32:K32">
    <cfRule type="cellIs" dxfId="3652" priority="207" stopIfTrue="1" operator="equal">
      <formula>0</formula>
    </cfRule>
  </conditionalFormatting>
  <conditionalFormatting sqref="L32:M32">
    <cfRule type="cellIs" dxfId="3651" priority="206" stopIfTrue="1" operator="equal">
      <formula>0</formula>
    </cfRule>
  </conditionalFormatting>
  <conditionalFormatting sqref="N32:O32">
    <cfRule type="cellIs" dxfId="3650" priority="205" stopIfTrue="1" operator="equal">
      <formula>0</formula>
    </cfRule>
  </conditionalFormatting>
  <conditionalFormatting sqref="P32:Q32">
    <cfRule type="cellIs" dxfId="3649" priority="204" stopIfTrue="1" operator="equal">
      <formula>0</formula>
    </cfRule>
  </conditionalFormatting>
  <conditionalFormatting sqref="R32:S32">
    <cfRule type="cellIs" dxfId="3648" priority="203" stopIfTrue="1" operator="equal">
      <formula>0</formula>
    </cfRule>
  </conditionalFormatting>
  <conditionalFormatting sqref="T32:U32">
    <cfRule type="cellIs" dxfId="3647" priority="202" stopIfTrue="1" operator="equal">
      <formula>0</formula>
    </cfRule>
  </conditionalFormatting>
  <conditionalFormatting sqref="V32:W32">
    <cfRule type="cellIs" dxfId="3646" priority="201" stopIfTrue="1" operator="equal">
      <formula>0</formula>
    </cfRule>
  </conditionalFormatting>
  <conditionalFormatting sqref="J33:K33">
    <cfRule type="cellIs" dxfId="3645" priority="200" stopIfTrue="1" operator="equal">
      <formula>0</formula>
    </cfRule>
  </conditionalFormatting>
  <conditionalFormatting sqref="L33:M33">
    <cfRule type="cellIs" dxfId="3644" priority="199" stopIfTrue="1" operator="equal">
      <formula>0</formula>
    </cfRule>
  </conditionalFormatting>
  <conditionalFormatting sqref="N33:O33">
    <cfRule type="cellIs" dxfId="3643" priority="198" stopIfTrue="1" operator="equal">
      <formula>0</formula>
    </cfRule>
  </conditionalFormatting>
  <conditionalFormatting sqref="P33:Q33">
    <cfRule type="cellIs" dxfId="3642" priority="197" stopIfTrue="1" operator="equal">
      <formula>0</formula>
    </cfRule>
  </conditionalFormatting>
  <conditionalFormatting sqref="R33:S33">
    <cfRule type="cellIs" dxfId="3641" priority="196" stopIfTrue="1" operator="equal">
      <formula>0</formula>
    </cfRule>
  </conditionalFormatting>
  <conditionalFormatting sqref="T33:U33">
    <cfRule type="cellIs" dxfId="3640" priority="195" stopIfTrue="1" operator="equal">
      <formula>0</formula>
    </cfRule>
  </conditionalFormatting>
  <conditionalFormatting sqref="V33:W33">
    <cfRule type="cellIs" dxfId="3639" priority="194" stopIfTrue="1" operator="equal">
      <formula>0</formula>
    </cfRule>
  </conditionalFormatting>
  <conditionalFormatting sqref="J34:K34">
    <cfRule type="cellIs" dxfId="3638" priority="193" stopIfTrue="1" operator="equal">
      <formula>0</formula>
    </cfRule>
  </conditionalFormatting>
  <conditionalFormatting sqref="L34:M34">
    <cfRule type="cellIs" dxfId="3637" priority="192" stopIfTrue="1" operator="equal">
      <formula>0</formula>
    </cfRule>
  </conditionalFormatting>
  <conditionalFormatting sqref="N34:O34">
    <cfRule type="cellIs" dxfId="3636" priority="191" stopIfTrue="1" operator="equal">
      <formula>0</formula>
    </cfRule>
  </conditionalFormatting>
  <conditionalFormatting sqref="P34:Q34">
    <cfRule type="cellIs" dxfId="3635" priority="190" stopIfTrue="1" operator="equal">
      <formula>0</formula>
    </cfRule>
  </conditionalFormatting>
  <conditionalFormatting sqref="R34:S34">
    <cfRule type="cellIs" dxfId="3634" priority="189" stopIfTrue="1" operator="equal">
      <formula>0</formula>
    </cfRule>
  </conditionalFormatting>
  <conditionalFormatting sqref="T34:U34">
    <cfRule type="cellIs" dxfId="3633" priority="188" stopIfTrue="1" operator="equal">
      <formula>0</formula>
    </cfRule>
  </conditionalFormatting>
  <conditionalFormatting sqref="V34:W34">
    <cfRule type="cellIs" dxfId="3632" priority="187" stopIfTrue="1" operator="equal">
      <formula>0</formula>
    </cfRule>
  </conditionalFormatting>
  <conditionalFormatting sqref="J35:K35">
    <cfRule type="cellIs" dxfId="3631" priority="186" stopIfTrue="1" operator="equal">
      <formula>0</formula>
    </cfRule>
  </conditionalFormatting>
  <conditionalFormatting sqref="L35:M35">
    <cfRule type="cellIs" dxfId="3630" priority="185" stopIfTrue="1" operator="equal">
      <formula>0</formula>
    </cfRule>
  </conditionalFormatting>
  <conditionalFormatting sqref="N35:O35">
    <cfRule type="cellIs" dxfId="3629" priority="184" stopIfTrue="1" operator="equal">
      <formula>0</formula>
    </cfRule>
  </conditionalFormatting>
  <conditionalFormatting sqref="P35:Q35">
    <cfRule type="cellIs" dxfId="3628" priority="183" stopIfTrue="1" operator="equal">
      <formula>0</formula>
    </cfRule>
  </conditionalFormatting>
  <conditionalFormatting sqref="R35:S35">
    <cfRule type="cellIs" dxfId="3627" priority="182" stopIfTrue="1" operator="equal">
      <formula>0</formula>
    </cfRule>
  </conditionalFormatting>
  <conditionalFormatting sqref="T35:U35">
    <cfRule type="cellIs" dxfId="3626" priority="181" stopIfTrue="1" operator="equal">
      <formula>0</formula>
    </cfRule>
  </conditionalFormatting>
  <conditionalFormatting sqref="V35:W35">
    <cfRule type="cellIs" dxfId="3625" priority="180" stopIfTrue="1" operator="equal">
      <formula>0</formula>
    </cfRule>
  </conditionalFormatting>
  <conditionalFormatting sqref="J36:K36">
    <cfRule type="cellIs" dxfId="3624" priority="179" stopIfTrue="1" operator="equal">
      <formula>0</formula>
    </cfRule>
  </conditionalFormatting>
  <conditionalFormatting sqref="L36:M36">
    <cfRule type="cellIs" dxfId="3623" priority="178" stopIfTrue="1" operator="equal">
      <formula>0</formula>
    </cfRule>
  </conditionalFormatting>
  <conditionalFormatting sqref="N36:O36">
    <cfRule type="cellIs" dxfId="3622" priority="177" stopIfTrue="1" operator="equal">
      <formula>0</formula>
    </cfRule>
  </conditionalFormatting>
  <conditionalFormatting sqref="P36:Q36">
    <cfRule type="cellIs" dxfId="3621" priority="176" stopIfTrue="1" operator="equal">
      <formula>0</formula>
    </cfRule>
  </conditionalFormatting>
  <conditionalFormatting sqref="R36:S36">
    <cfRule type="cellIs" dxfId="3620" priority="175" stopIfTrue="1" operator="equal">
      <formula>0</formula>
    </cfRule>
  </conditionalFormatting>
  <conditionalFormatting sqref="T36:U36">
    <cfRule type="cellIs" dxfId="3619" priority="174" stopIfTrue="1" operator="equal">
      <formula>0</formula>
    </cfRule>
  </conditionalFormatting>
  <conditionalFormatting sqref="V36:W36">
    <cfRule type="cellIs" dxfId="3618" priority="173" stopIfTrue="1" operator="equal">
      <formula>0</formula>
    </cfRule>
  </conditionalFormatting>
  <conditionalFormatting sqref="J37:K37">
    <cfRule type="cellIs" dxfId="3617" priority="172" stopIfTrue="1" operator="equal">
      <formula>0</formula>
    </cfRule>
  </conditionalFormatting>
  <conditionalFormatting sqref="L37:M37">
    <cfRule type="cellIs" dxfId="3616" priority="171" stopIfTrue="1" operator="equal">
      <formula>0</formula>
    </cfRule>
  </conditionalFormatting>
  <conditionalFormatting sqref="N37:O37">
    <cfRule type="cellIs" dxfId="3615" priority="170" stopIfTrue="1" operator="equal">
      <formula>0</formula>
    </cfRule>
  </conditionalFormatting>
  <conditionalFormatting sqref="P37:Q37">
    <cfRule type="cellIs" dxfId="3614" priority="169" stopIfTrue="1" operator="equal">
      <formula>0</formula>
    </cfRule>
  </conditionalFormatting>
  <conditionalFormatting sqref="R37:S37">
    <cfRule type="cellIs" dxfId="3613" priority="168" stopIfTrue="1" operator="equal">
      <formula>0</formula>
    </cfRule>
  </conditionalFormatting>
  <conditionalFormatting sqref="T37:U37">
    <cfRule type="cellIs" dxfId="3612" priority="167" stopIfTrue="1" operator="equal">
      <formula>0</formula>
    </cfRule>
  </conditionalFormatting>
  <conditionalFormatting sqref="V37:W37">
    <cfRule type="cellIs" dxfId="3611" priority="166" stopIfTrue="1" operator="equal">
      <formula>0</formula>
    </cfRule>
  </conditionalFormatting>
  <conditionalFormatting sqref="J38:K38">
    <cfRule type="cellIs" dxfId="3610" priority="165" stopIfTrue="1" operator="equal">
      <formula>0</formula>
    </cfRule>
  </conditionalFormatting>
  <conditionalFormatting sqref="L38:M38">
    <cfRule type="cellIs" dxfId="3609" priority="164" stopIfTrue="1" operator="equal">
      <formula>0</formula>
    </cfRule>
  </conditionalFormatting>
  <conditionalFormatting sqref="N38:O38">
    <cfRule type="cellIs" dxfId="3608" priority="163" stopIfTrue="1" operator="equal">
      <formula>0</formula>
    </cfRule>
  </conditionalFormatting>
  <conditionalFormatting sqref="P38:Q38">
    <cfRule type="cellIs" dxfId="3607" priority="162" stopIfTrue="1" operator="equal">
      <formula>0</formula>
    </cfRule>
  </conditionalFormatting>
  <conditionalFormatting sqref="R38:S38">
    <cfRule type="cellIs" dxfId="3606" priority="161" stopIfTrue="1" operator="equal">
      <formula>0</formula>
    </cfRule>
  </conditionalFormatting>
  <conditionalFormatting sqref="T38:U38">
    <cfRule type="cellIs" dxfId="3605" priority="160" stopIfTrue="1" operator="equal">
      <formula>0</formula>
    </cfRule>
  </conditionalFormatting>
  <conditionalFormatting sqref="V38:W38">
    <cfRule type="cellIs" dxfId="3604" priority="159" stopIfTrue="1" operator="equal">
      <formula>0</formula>
    </cfRule>
  </conditionalFormatting>
  <conditionalFormatting sqref="J39:K39">
    <cfRule type="cellIs" dxfId="3603" priority="158" stopIfTrue="1" operator="equal">
      <formula>0</formula>
    </cfRule>
  </conditionalFormatting>
  <conditionalFormatting sqref="L39:M39">
    <cfRule type="cellIs" dxfId="3602" priority="157" stopIfTrue="1" operator="equal">
      <formula>0</formula>
    </cfRule>
  </conditionalFormatting>
  <conditionalFormatting sqref="N39:O39">
    <cfRule type="cellIs" dxfId="3601" priority="156" stopIfTrue="1" operator="equal">
      <formula>0</formula>
    </cfRule>
  </conditionalFormatting>
  <conditionalFormatting sqref="P39:Q39">
    <cfRule type="cellIs" dxfId="3600" priority="155" stopIfTrue="1" operator="equal">
      <formula>0</formula>
    </cfRule>
  </conditionalFormatting>
  <conditionalFormatting sqref="R39:S39">
    <cfRule type="cellIs" dxfId="3599" priority="154" stopIfTrue="1" operator="equal">
      <formula>0</formula>
    </cfRule>
  </conditionalFormatting>
  <conditionalFormatting sqref="T39:U39">
    <cfRule type="cellIs" dxfId="3598" priority="153" stopIfTrue="1" operator="equal">
      <formula>0</formula>
    </cfRule>
  </conditionalFormatting>
  <conditionalFormatting sqref="V39:W39">
    <cfRule type="cellIs" dxfId="3597" priority="152" stopIfTrue="1" operator="equal">
      <formula>0</formula>
    </cfRule>
  </conditionalFormatting>
  <conditionalFormatting sqref="J40:K40">
    <cfRule type="cellIs" dxfId="3596" priority="151" stopIfTrue="1" operator="equal">
      <formula>0</formula>
    </cfRule>
  </conditionalFormatting>
  <conditionalFormatting sqref="L40:M40">
    <cfRule type="cellIs" dxfId="3595" priority="150" stopIfTrue="1" operator="equal">
      <formula>0</formula>
    </cfRule>
  </conditionalFormatting>
  <conditionalFormatting sqref="N40:O40">
    <cfRule type="cellIs" dxfId="3594" priority="149" stopIfTrue="1" operator="equal">
      <formula>0</formula>
    </cfRule>
  </conditionalFormatting>
  <conditionalFormatting sqref="P40:Q40">
    <cfRule type="cellIs" dxfId="3593" priority="148" stopIfTrue="1" operator="equal">
      <formula>0</formula>
    </cfRule>
  </conditionalFormatting>
  <conditionalFormatting sqref="R40:S40">
    <cfRule type="cellIs" dxfId="3592" priority="147" stopIfTrue="1" operator="equal">
      <formula>0</formula>
    </cfRule>
  </conditionalFormatting>
  <conditionalFormatting sqref="T40:U40">
    <cfRule type="cellIs" dxfId="3591" priority="146" stopIfTrue="1" operator="equal">
      <formula>0</formula>
    </cfRule>
  </conditionalFormatting>
  <conditionalFormatting sqref="V40:W40">
    <cfRule type="cellIs" dxfId="3590" priority="145" stopIfTrue="1" operator="equal">
      <formula>0</formula>
    </cfRule>
  </conditionalFormatting>
  <conditionalFormatting sqref="J41:K41">
    <cfRule type="cellIs" dxfId="3589" priority="144" stopIfTrue="1" operator="equal">
      <formula>0</formula>
    </cfRule>
  </conditionalFormatting>
  <conditionalFormatting sqref="L41:M41">
    <cfRule type="cellIs" dxfId="3588" priority="143" stopIfTrue="1" operator="equal">
      <formula>0</formula>
    </cfRule>
  </conditionalFormatting>
  <conditionalFormatting sqref="N41:O41">
    <cfRule type="cellIs" dxfId="3587" priority="142" stopIfTrue="1" operator="equal">
      <formula>0</formula>
    </cfRule>
  </conditionalFormatting>
  <conditionalFormatting sqref="P41:Q41">
    <cfRule type="cellIs" dxfId="3586" priority="141" stopIfTrue="1" operator="equal">
      <formula>0</formula>
    </cfRule>
  </conditionalFormatting>
  <conditionalFormatting sqref="R41:S41">
    <cfRule type="cellIs" dxfId="3585" priority="140" stopIfTrue="1" operator="equal">
      <formula>0</formula>
    </cfRule>
  </conditionalFormatting>
  <conditionalFormatting sqref="T41:U41">
    <cfRule type="cellIs" dxfId="3584" priority="139" stopIfTrue="1" operator="equal">
      <formula>0</formula>
    </cfRule>
  </conditionalFormatting>
  <conditionalFormatting sqref="V41:W41">
    <cfRule type="cellIs" dxfId="3583" priority="138" stopIfTrue="1" operator="equal">
      <formula>0</formula>
    </cfRule>
  </conditionalFormatting>
  <conditionalFormatting sqref="J42:K42">
    <cfRule type="cellIs" dxfId="3582" priority="137" stopIfTrue="1" operator="equal">
      <formula>0</formula>
    </cfRule>
  </conditionalFormatting>
  <conditionalFormatting sqref="L42:M42">
    <cfRule type="cellIs" dxfId="3581" priority="136" stopIfTrue="1" operator="equal">
      <formula>0</formula>
    </cfRule>
  </conditionalFormatting>
  <conditionalFormatting sqref="N42:O42">
    <cfRule type="cellIs" dxfId="3580" priority="135" stopIfTrue="1" operator="equal">
      <formula>0</formula>
    </cfRule>
  </conditionalFormatting>
  <conditionalFormatting sqref="P42:Q42">
    <cfRule type="cellIs" dxfId="3579" priority="134" stopIfTrue="1" operator="equal">
      <formula>0</formula>
    </cfRule>
  </conditionalFormatting>
  <conditionalFormatting sqref="R42:S42">
    <cfRule type="cellIs" dxfId="3578" priority="133" stopIfTrue="1" operator="equal">
      <formula>0</formula>
    </cfRule>
  </conditionalFormatting>
  <conditionalFormatting sqref="T42:U42">
    <cfRule type="cellIs" dxfId="3577" priority="132" stopIfTrue="1" operator="equal">
      <formula>0</formula>
    </cfRule>
  </conditionalFormatting>
  <conditionalFormatting sqref="V42:W42">
    <cfRule type="cellIs" dxfId="3576" priority="131" stopIfTrue="1" operator="equal">
      <formula>0</formula>
    </cfRule>
  </conditionalFormatting>
  <conditionalFormatting sqref="J43:K43">
    <cfRule type="cellIs" dxfId="3575" priority="130" stopIfTrue="1" operator="equal">
      <formula>0</formula>
    </cfRule>
  </conditionalFormatting>
  <conditionalFormatting sqref="L43:M43">
    <cfRule type="cellIs" dxfId="3574" priority="129" stopIfTrue="1" operator="equal">
      <formula>0</formula>
    </cfRule>
  </conditionalFormatting>
  <conditionalFormatting sqref="N43:O43">
    <cfRule type="cellIs" dxfId="3573" priority="128" stopIfTrue="1" operator="equal">
      <formula>0</formula>
    </cfRule>
  </conditionalFormatting>
  <conditionalFormatting sqref="P43:Q43">
    <cfRule type="cellIs" dxfId="3572" priority="127" stopIfTrue="1" operator="equal">
      <formula>0</formula>
    </cfRule>
  </conditionalFormatting>
  <conditionalFormatting sqref="R43:S43">
    <cfRule type="cellIs" dxfId="3571" priority="126" stopIfTrue="1" operator="equal">
      <formula>0</formula>
    </cfRule>
  </conditionalFormatting>
  <conditionalFormatting sqref="T43:U43">
    <cfRule type="cellIs" dxfId="3570" priority="125" stopIfTrue="1" operator="equal">
      <formula>0</formula>
    </cfRule>
  </conditionalFormatting>
  <conditionalFormatting sqref="V43:W43">
    <cfRule type="cellIs" dxfId="3569" priority="124" stopIfTrue="1" operator="equal">
      <formula>0</formula>
    </cfRule>
  </conditionalFormatting>
  <conditionalFormatting sqref="J44:K44">
    <cfRule type="cellIs" dxfId="3568" priority="123" stopIfTrue="1" operator="equal">
      <formula>0</formula>
    </cfRule>
  </conditionalFormatting>
  <conditionalFormatting sqref="L44:M44">
    <cfRule type="cellIs" dxfId="3567" priority="122" stopIfTrue="1" operator="equal">
      <formula>0</formula>
    </cfRule>
  </conditionalFormatting>
  <conditionalFormatting sqref="N44:O44">
    <cfRule type="cellIs" dxfId="3566" priority="121" stopIfTrue="1" operator="equal">
      <formula>0</formula>
    </cfRule>
  </conditionalFormatting>
  <conditionalFormatting sqref="P44:Q44">
    <cfRule type="cellIs" dxfId="3565" priority="120" stopIfTrue="1" operator="equal">
      <formula>0</formula>
    </cfRule>
  </conditionalFormatting>
  <conditionalFormatting sqref="R44:S44">
    <cfRule type="cellIs" dxfId="3564" priority="119" stopIfTrue="1" operator="equal">
      <formula>0</formula>
    </cfRule>
  </conditionalFormatting>
  <conditionalFormatting sqref="T44:U44">
    <cfRule type="cellIs" dxfId="3563" priority="118" stopIfTrue="1" operator="equal">
      <formula>0</formula>
    </cfRule>
  </conditionalFormatting>
  <conditionalFormatting sqref="V44:W44">
    <cfRule type="cellIs" dxfId="3562" priority="117" stopIfTrue="1" operator="equal">
      <formula>0</formula>
    </cfRule>
  </conditionalFormatting>
  <conditionalFormatting sqref="J45:K45">
    <cfRule type="cellIs" dxfId="3561" priority="116" stopIfTrue="1" operator="equal">
      <formula>0</formula>
    </cfRule>
  </conditionalFormatting>
  <conditionalFormatting sqref="L45:M45">
    <cfRule type="cellIs" dxfId="3560" priority="115" stopIfTrue="1" operator="equal">
      <formula>0</formula>
    </cfRule>
  </conditionalFormatting>
  <conditionalFormatting sqref="N45:O45">
    <cfRule type="cellIs" dxfId="3559" priority="114" stopIfTrue="1" operator="equal">
      <formula>0</formula>
    </cfRule>
  </conditionalFormatting>
  <conditionalFormatting sqref="P45:Q45">
    <cfRule type="cellIs" dxfId="3558" priority="113" stopIfTrue="1" operator="equal">
      <formula>0</formula>
    </cfRule>
  </conditionalFormatting>
  <conditionalFormatting sqref="R45:S45">
    <cfRule type="cellIs" dxfId="3557" priority="112" stopIfTrue="1" operator="equal">
      <formula>0</formula>
    </cfRule>
  </conditionalFormatting>
  <conditionalFormatting sqref="T45:U45">
    <cfRule type="cellIs" dxfId="3556" priority="111" stopIfTrue="1" operator="equal">
      <formula>0</formula>
    </cfRule>
  </conditionalFormatting>
  <conditionalFormatting sqref="V45:W45">
    <cfRule type="cellIs" dxfId="3555" priority="110" stopIfTrue="1" operator="equal">
      <formula>0</formula>
    </cfRule>
  </conditionalFormatting>
  <conditionalFormatting sqref="J46:K46">
    <cfRule type="cellIs" dxfId="3554" priority="109" stopIfTrue="1" operator="equal">
      <formula>0</formula>
    </cfRule>
  </conditionalFormatting>
  <conditionalFormatting sqref="L46:M46">
    <cfRule type="cellIs" dxfId="3553" priority="108" stopIfTrue="1" operator="equal">
      <formula>0</formula>
    </cfRule>
  </conditionalFormatting>
  <conditionalFormatting sqref="N46:O46">
    <cfRule type="cellIs" dxfId="3552" priority="107" stopIfTrue="1" operator="equal">
      <formula>0</formula>
    </cfRule>
  </conditionalFormatting>
  <conditionalFormatting sqref="P46:Q46">
    <cfRule type="cellIs" dxfId="3551" priority="106" stopIfTrue="1" operator="equal">
      <formula>0</formula>
    </cfRule>
  </conditionalFormatting>
  <conditionalFormatting sqref="R46:S46">
    <cfRule type="cellIs" dxfId="3550" priority="105" stopIfTrue="1" operator="equal">
      <formula>0</formula>
    </cfRule>
  </conditionalFormatting>
  <conditionalFormatting sqref="T46:U46">
    <cfRule type="cellIs" dxfId="3549" priority="104" stopIfTrue="1" operator="equal">
      <formula>0</formula>
    </cfRule>
  </conditionalFormatting>
  <conditionalFormatting sqref="V46:W46">
    <cfRule type="cellIs" dxfId="3548" priority="103" stopIfTrue="1" operator="equal">
      <formula>0</formula>
    </cfRule>
  </conditionalFormatting>
  <conditionalFormatting sqref="J47:K47">
    <cfRule type="cellIs" dxfId="3547" priority="102" stopIfTrue="1" operator="equal">
      <formula>0</formula>
    </cfRule>
  </conditionalFormatting>
  <conditionalFormatting sqref="L47:M47">
    <cfRule type="cellIs" dxfId="3546" priority="101" stopIfTrue="1" operator="equal">
      <formula>0</formula>
    </cfRule>
  </conditionalFormatting>
  <conditionalFormatting sqref="N47:O47">
    <cfRule type="cellIs" dxfId="3545" priority="100" stopIfTrue="1" operator="equal">
      <formula>0</formula>
    </cfRule>
  </conditionalFormatting>
  <conditionalFormatting sqref="P47:Q47">
    <cfRule type="cellIs" dxfId="3544" priority="99" stopIfTrue="1" operator="equal">
      <formula>0</formula>
    </cfRule>
  </conditionalFormatting>
  <conditionalFormatting sqref="R47:S47">
    <cfRule type="cellIs" dxfId="3543" priority="98" stopIfTrue="1" operator="equal">
      <formula>0</formula>
    </cfRule>
  </conditionalFormatting>
  <conditionalFormatting sqref="T47:U47">
    <cfRule type="cellIs" dxfId="3542" priority="97" stopIfTrue="1" operator="equal">
      <formula>0</formula>
    </cfRule>
  </conditionalFormatting>
  <conditionalFormatting sqref="V47:W47">
    <cfRule type="cellIs" dxfId="3541" priority="96" stopIfTrue="1" operator="equal">
      <formula>0</formula>
    </cfRule>
  </conditionalFormatting>
  <conditionalFormatting sqref="D54:L59">
    <cfRule type="expression" dxfId="3540" priority="95">
      <formula>$AB$8=0</formula>
    </cfRule>
  </conditionalFormatting>
  <conditionalFormatting sqref="D54:I56">
    <cfRule type="expression" dxfId="3539" priority="94">
      <formula>$AB$8=1</formula>
    </cfRule>
  </conditionalFormatting>
  <printOptions horizontalCentered="1"/>
  <pageMargins left="0.7" right="0.7" top="0.39370078740157477" bottom="0.39370078740157477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Button 1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Button 2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6" name="Button 3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7" name="Button 4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8" name="Button 5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9" name="Button 6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10" name="Button 7">
              <controlPr defaultSize="0" print="0" autoFill="0" autoPict="0" macro="[0]!休日初期化">
                <anchor moveWithCells="1" sizeWithCells="1">
                  <from>
                    <xdr:col>27</xdr:col>
                    <xdr:colOff>488950</xdr:colOff>
                    <xdr:row>25</xdr:row>
                    <xdr:rowOff>69850</xdr:rowOff>
                  </from>
                  <to>
                    <xdr:col>28</xdr:col>
                    <xdr:colOff>266700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1" name="Button 8">
              <controlPr defaultSize="0" print="0" autoFill="0" autoPict="0" macro="[0]!初期状態">
                <anchor moveWithCells="1" sizeWithCells="1">
                  <from>
                    <xdr:col>27</xdr:col>
                    <xdr:colOff>533400</xdr:colOff>
                    <xdr:row>32</xdr:row>
                    <xdr:rowOff>31750</xdr:rowOff>
                  </from>
                  <to>
                    <xdr:col>28</xdr:col>
                    <xdr:colOff>419100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2" name="Button 9">
              <controlPr defaultSize="0" print="0" autoFill="0" autoPict="0" macro="[0]!ws_add">
                <anchor moveWithCells="1" sizeWithCells="1">
                  <from>
                    <xdr:col>27</xdr:col>
                    <xdr:colOff>488950</xdr:colOff>
                    <xdr:row>35</xdr:row>
                    <xdr:rowOff>69850</xdr:rowOff>
                  </from>
                  <to>
                    <xdr:col>29</xdr:col>
                    <xdr:colOff>603250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3" name="Button 10">
              <controlPr defaultSize="0" print="0" autoFill="0" autoPict="0" macro="[0]!統合">
                <anchor moveWithCells="1" sizeWithCells="1">
                  <from>
                    <xdr:col>26</xdr:col>
                    <xdr:colOff>63500</xdr:colOff>
                    <xdr:row>59</xdr:row>
                    <xdr:rowOff>19050</xdr:rowOff>
                  </from>
                  <to>
                    <xdr:col>26</xdr:col>
                    <xdr:colOff>673100</xdr:colOff>
                    <xdr:row>60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4" name="Button 11">
              <controlPr defaultSize="0" print="0" autoFill="0" autoPict="0" macro="[0]!休暇処理">
                <anchor moveWithCells="1" sizeWithCells="1">
                  <from>
                    <xdr:col>26</xdr:col>
                    <xdr:colOff>63500</xdr:colOff>
                    <xdr:row>61</xdr:row>
                    <xdr:rowOff>19050</xdr:rowOff>
                  </from>
                  <to>
                    <xdr:col>26</xdr:col>
                    <xdr:colOff>673100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5" name="Button 12">
              <controlPr defaultSize="0" print="0" autoFill="0" autoPict="0" macro="[0]!化粧直し">
                <anchor moveWithCells="1" sizeWithCells="1">
                  <from>
                    <xdr:col>26</xdr:col>
                    <xdr:colOff>69850</xdr:colOff>
                    <xdr:row>63</xdr:row>
                    <xdr:rowOff>31750</xdr:rowOff>
                  </from>
                  <to>
                    <xdr:col>26</xdr:col>
                    <xdr:colOff>679450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6" name="Button 13">
              <controlPr defaultSize="0" print="0" autoFill="0" autoPict="0" macro="[0]!休日初期化">
                <anchor moveWithCells="1" sizeWithCells="1">
                  <from>
                    <xdr:col>26</xdr:col>
                    <xdr:colOff>146050</xdr:colOff>
                    <xdr:row>65</xdr:row>
                    <xdr:rowOff>69850</xdr:rowOff>
                  </from>
                  <to>
                    <xdr:col>26</xdr:col>
                    <xdr:colOff>641350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7" name="Button 14">
              <controlPr defaultSize="0" print="0" autoFill="0" autoPict="0" macro="[0]!初期状態">
                <anchor moveWithCells="1" sizeWithCells="1">
                  <from>
                    <xdr:col>26</xdr:col>
                    <xdr:colOff>57150</xdr:colOff>
                    <xdr:row>67</xdr:row>
                    <xdr:rowOff>88900</xdr:rowOff>
                  </from>
                  <to>
                    <xdr:col>26</xdr:col>
                    <xdr:colOff>666750</xdr:colOff>
                    <xdr:row>69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stopIfTrue="1" id="{0FE1D06F-EA32-4526-898C-9B02A3A5D1F4}">
            <xm:f xml:space="preserve"> OR($X$17=+テーブル!A2,$X$17=+テーブル!A3,$X$17=+テーブル!A9,$X$17=+テーブル!A10,$X$17=+テーブル!A12,$X$17=+テーブル!A13,$X$17=+テーブル!A16)</xm:f>
            <x14:dxf>
              <font>
                <color rgb="FFFF0000"/>
              </font>
            </x14:dxf>
          </x14:cfRule>
          <xm:sqref>D17:E17</xm:sqref>
        </x14:conditionalFormatting>
        <x14:conditionalFormatting xmlns:xm="http://schemas.microsoft.com/office/excel/2006/main">
          <x14:cfRule type="expression" priority="92" stopIfTrue="1" id="{1E25FA16-ECB2-429D-835C-3E45F2AA7A9E}">
            <xm:f xml:space="preserve"> OR($X$17=+テーブル!A2,$X$17=+テーブル!A4,$X$17=+テーブル!A9,$X$17=+テーブル!A11,$X$17=+テーブル!A12,$X$17=+テーブル!A14,$X$17=+テーブル!A16)</xm:f>
            <x14:dxf>
              <font>
                <color rgb="FFFF0000"/>
              </font>
            </x14:dxf>
          </x14:cfRule>
          <xm:sqref>F17:G17</xm:sqref>
        </x14:conditionalFormatting>
        <x14:conditionalFormatting xmlns:xm="http://schemas.microsoft.com/office/excel/2006/main">
          <x14:cfRule type="expression" priority="91" stopIfTrue="1" id="{2A42BFA0-F1B2-4771-9294-2667E80A4E23}">
            <xm:f xml:space="preserve"> OR($X$17=+テーブル!A2,$X$17=+テーブル!A3,$X$17=+テーブル!A4,$X$17=+テーブル!A9,$X$17=+テーブル!A10,$X$17=+テーブル!A11,$X$17=+テーブル!A12,$X$17=+テーブル!A13,$X$17=+テーブル!A14,$X$17=+テーブル!A16)</xm:f>
            <x14:dxf>
              <font>
                <color rgb="FFFF0000"/>
              </font>
            </x14:dxf>
          </x14:cfRule>
          <xm:sqref>H17:I17</xm:sqref>
        </x14:conditionalFormatting>
        <x14:conditionalFormatting xmlns:xm="http://schemas.microsoft.com/office/excel/2006/main">
          <x14:cfRule type="expression" priority="90" stopIfTrue="1" id="{E3717BF5-1390-4E4C-907C-C6D8E6270CEE}">
            <xm:f xml:space="preserve"> OR($X$18=+テーブル!A2,$X$18=+テーブル!A3,$X$18=+テーブル!A9,$X$18=+テーブル!A10,$X$18=+テーブル!A12,$X$18=+テーブル!A13,$X$18=+テーブル!A16)</xm:f>
            <x14:dxf>
              <font>
                <color rgb="FFFF0000"/>
              </font>
            </x14:dxf>
          </x14:cfRule>
          <xm:sqref>D18:E18</xm:sqref>
        </x14:conditionalFormatting>
        <x14:conditionalFormatting xmlns:xm="http://schemas.microsoft.com/office/excel/2006/main">
          <x14:cfRule type="expression" priority="89" stopIfTrue="1" id="{B227C44E-64F6-4175-A9F7-98148B512D36}">
            <xm:f xml:space="preserve"> OR($X$18=+テーブル!A2,$X$18=+テーブル!A4,$X$18=+テーブル!A9,$X$18=+テーブル!A11,$X$18=+テーブル!A12,$X$18=+テーブル!A14,$X$18=+テーブル!A16)</xm:f>
            <x14:dxf>
              <font>
                <color rgb="FFFF0000"/>
              </font>
            </x14:dxf>
          </x14:cfRule>
          <xm:sqref>F18:G18</xm:sqref>
        </x14:conditionalFormatting>
        <x14:conditionalFormatting xmlns:xm="http://schemas.microsoft.com/office/excel/2006/main">
          <x14:cfRule type="expression" priority="88" stopIfTrue="1" id="{5A9D123C-B69A-4875-876E-A55F9C024BA6}">
            <xm:f xml:space="preserve"> OR($X$18=+テーブル!A2,$X$18=+テーブル!A3,$X$18=+テーブル!A4,$X$18=+テーブル!A9,$X$18=+テーブル!A10,$X$18=+テーブル!A11,$X$18=+テーブル!A12,$X$18=+テーブル!A13,$X$18=+テーブル!A14,$X$18=+テーブル!A16)</xm:f>
            <x14:dxf>
              <font>
                <color rgb="FFFF0000"/>
              </font>
            </x14:dxf>
          </x14:cfRule>
          <xm:sqref>H18:I18</xm:sqref>
        </x14:conditionalFormatting>
        <x14:conditionalFormatting xmlns:xm="http://schemas.microsoft.com/office/excel/2006/main">
          <x14:cfRule type="expression" priority="87" stopIfTrue="1" id="{D1A803F4-4CB2-4964-BAC7-EA667E080397}">
            <xm:f xml:space="preserve"> OR($X$19=+テーブル!A2,$X$19=+テーブル!A3,$X$19=+テーブル!A9,$X$19=+テーブル!A10,$X$19=+テーブル!A12,$X$19=+テーブル!A13,$X$19=+テーブル!A16)</xm:f>
            <x14:dxf>
              <font>
                <color rgb="FFFF0000"/>
              </font>
            </x14:dxf>
          </x14:cfRule>
          <xm:sqref>D19:E19</xm:sqref>
        </x14:conditionalFormatting>
        <x14:conditionalFormatting xmlns:xm="http://schemas.microsoft.com/office/excel/2006/main">
          <x14:cfRule type="expression" priority="86" stopIfTrue="1" id="{557A1C0A-2C25-443F-9F26-F475FADA589A}">
            <xm:f xml:space="preserve"> OR($X$19=+テーブル!A2,$X$19=+テーブル!A4,$X$19=+テーブル!A9,$X$19=+テーブル!A11,$X$19=+テーブル!A12,$X$19=+テーブル!A14,$X$19=+テーブル!A16)</xm:f>
            <x14:dxf>
              <font>
                <color rgb="FFFF0000"/>
              </font>
            </x14:dxf>
          </x14:cfRule>
          <xm:sqref>F19:G19</xm:sqref>
        </x14:conditionalFormatting>
        <x14:conditionalFormatting xmlns:xm="http://schemas.microsoft.com/office/excel/2006/main">
          <x14:cfRule type="expression" priority="85" stopIfTrue="1" id="{6682F91E-DCFB-46DA-95A2-EB0556DA4B72}">
            <xm:f xml:space="preserve"> OR($X$19=+テーブル!A2,$X$19=+テーブル!A3,$X$19=+テーブル!A4,$X$19=+テーブル!A9,$X$19=+テーブル!A10,$X$19=+テーブル!A11,$X$19=+テーブル!A12,$X$19=+テーブル!A13,$X$19=+テーブル!A14,$X$19=+テーブル!A16)</xm:f>
            <x14:dxf>
              <font>
                <color rgb="FFFF0000"/>
              </font>
            </x14:dxf>
          </x14:cfRule>
          <xm:sqref>H19:I19</xm:sqref>
        </x14:conditionalFormatting>
        <x14:conditionalFormatting xmlns:xm="http://schemas.microsoft.com/office/excel/2006/main">
          <x14:cfRule type="expression" priority="84" stopIfTrue="1" id="{DC2AA404-46CF-475C-88B6-06D2D48DD407}">
            <xm:f xml:space="preserve"> OR($X$20=+テーブル!A2,$X$20=+テーブル!A3,$X$20=+テーブル!A9,$X$20=+テーブル!A10,$X$20=+テーブル!A12,$X$20=+テーブル!A13,$X$20=+テーブル!A16)</xm:f>
            <x14:dxf>
              <font>
                <color rgb="FFFF000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83" stopIfTrue="1" id="{E7EF58BA-E930-49D4-A824-3E40597457A7}">
            <xm:f xml:space="preserve"> OR($X$20=+テーブル!A2,$X$20=+テーブル!A4,$X$20=+テーブル!A9,$X$20=+テーブル!A11,$X$20=+テーブル!A12,$X$20=+テーブル!A14,$X$20=+テーブル!A16)</xm:f>
            <x14:dxf>
              <font>
                <color rgb="FFFF0000"/>
              </font>
            </x14:dxf>
          </x14:cfRule>
          <xm:sqref>F20:G20</xm:sqref>
        </x14:conditionalFormatting>
        <x14:conditionalFormatting xmlns:xm="http://schemas.microsoft.com/office/excel/2006/main">
          <x14:cfRule type="expression" priority="82" stopIfTrue="1" id="{3B59EB38-77B2-423E-8AD2-77D68E1F2E4A}">
            <xm:f xml:space="preserve"> OR($X$20=+テーブル!A2,$X$20=+テーブル!A3,$X$20=+テーブル!A4,$X$20=+テーブル!A9,$X$20=+テーブル!A10,$X$20=+テーブル!A11,$X$20=+テーブル!A12,$X$20=+テーブル!A13,$X$20=+テーブル!A14,$X$20=+テーブル!A16)</xm:f>
            <x14:dxf>
              <font>
                <color rgb="FFFF0000"/>
              </font>
            </x14:dxf>
          </x14:cfRule>
          <xm:sqref>H20:I20</xm:sqref>
        </x14:conditionalFormatting>
        <x14:conditionalFormatting xmlns:xm="http://schemas.microsoft.com/office/excel/2006/main">
          <x14:cfRule type="expression" priority="81" stopIfTrue="1" id="{6FCE797B-352D-44B2-AE32-68A5E1C87F4B}">
            <xm:f xml:space="preserve"> OR($X$21=+テーブル!A2,$X$21=+テーブル!A3,$X$21=+テーブル!A9,$X$21=+テーブル!A10,$X$21=+テーブル!A12,$X$21=+テーブル!A13,$X$21=+テーブル!A16)</xm:f>
            <x14:dxf>
              <font>
                <color rgb="FFFF0000"/>
              </font>
            </x14:dxf>
          </x14:cfRule>
          <xm:sqref>D21:E21</xm:sqref>
        </x14:conditionalFormatting>
        <x14:conditionalFormatting xmlns:xm="http://schemas.microsoft.com/office/excel/2006/main">
          <x14:cfRule type="expression" priority="80" stopIfTrue="1" id="{0F5E95C8-7FA9-49F6-B41E-31361006A6CB}">
            <xm:f xml:space="preserve"> OR($X$21=+テーブル!A2,$X$21=+テーブル!A4,$X$21=+テーブル!A9,$X$21=+テーブル!A11,$X$21=+テーブル!A12,$X$21=+テーブル!A14,$X$21=+テーブル!A16)</xm:f>
            <x14:dxf>
              <font>
                <color rgb="FFFF0000"/>
              </font>
            </x14:dxf>
          </x14:cfRule>
          <xm:sqref>F21:G21</xm:sqref>
        </x14:conditionalFormatting>
        <x14:conditionalFormatting xmlns:xm="http://schemas.microsoft.com/office/excel/2006/main">
          <x14:cfRule type="expression" priority="79" stopIfTrue="1" id="{AF52CFB9-F6AB-452C-81ED-05DD4F58CDA2}">
            <xm:f xml:space="preserve"> OR($X$21=+テーブル!A2,$X$21=+テーブル!A3,$X$21=+テーブル!A4,$X$21=+テーブル!A9,$X$21=+テーブル!A10,$X$21=+テーブル!A11,$X$21=+テーブル!A12,$X$21=+テーブル!A13,$X$21=+テーブル!A14,$X$21=+テーブル!A16)</xm:f>
            <x14:dxf>
              <font>
                <color rgb="FFFF0000"/>
              </font>
            </x14:dxf>
          </x14:cfRule>
          <xm:sqref>H21:I21</xm:sqref>
        </x14:conditionalFormatting>
        <x14:conditionalFormatting xmlns:xm="http://schemas.microsoft.com/office/excel/2006/main">
          <x14:cfRule type="expression" priority="78" stopIfTrue="1" id="{6D07D417-6A91-4BD1-8E2D-8D78A85290D3}">
            <xm:f xml:space="preserve"> OR($X$22=+テーブル!A2,$X$22=+テーブル!A3,$X$22=+テーブル!A9,$X$22=+テーブル!A10,$X$22=+テーブル!A12,$X$22=+テーブル!A13,$X$22=+テーブル!A16)</xm:f>
            <x14:dxf>
              <font>
                <color rgb="FFFF0000"/>
              </font>
            </x14:dxf>
          </x14:cfRule>
          <xm:sqref>D22:E22</xm:sqref>
        </x14:conditionalFormatting>
        <x14:conditionalFormatting xmlns:xm="http://schemas.microsoft.com/office/excel/2006/main">
          <x14:cfRule type="expression" priority="77" stopIfTrue="1" id="{49D10D84-235F-44E4-AF38-85A57541E735}">
            <xm:f xml:space="preserve"> OR($X$22=+テーブル!A2,$X$22=+テーブル!A4,$X$22=+テーブル!A9,$X$22=+テーブル!A11,$X$22=+テーブル!A12,$X$22=+テーブル!A14,$X$22=+テーブル!A16)</xm:f>
            <x14:dxf>
              <font>
                <color rgb="FFFF0000"/>
              </font>
            </x14:dxf>
          </x14:cfRule>
          <xm:sqref>F22:G22</xm:sqref>
        </x14:conditionalFormatting>
        <x14:conditionalFormatting xmlns:xm="http://schemas.microsoft.com/office/excel/2006/main">
          <x14:cfRule type="expression" priority="76" stopIfTrue="1" id="{69CFF4F2-426E-47D3-9664-0230EE35666E}">
            <xm:f xml:space="preserve"> OR($X$22=+テーブル!A2,$X$22=+テーブル!A3,$X$22=+テーブル!A4,$X$22=+テーブル!A9,$X$22=+テーブル!A10,$X$22=+テーブル!A11,$X$22=+テーブル!A12,$X$22=+テーブル!A13,$X$22=+テーブル!A14,$X$22=+テーブル!A16)</xm:f>
            <x14:dxf>
              <font>
                <color rgb="FFFF0000"/>
              </font>
            </x14:dxf>
          </x14:cfRule>
          <xm:sqref>H22:I22</xm:sqref>
        </x14:conditionalFormatting>
        <x14:conditionalFormatting xmlns:xm="http://schemas.microsoft.com/office/excel/2006/main">
          <x14:cfRule type="expression" priority="75" stopIfTrue="1" id="{38968422-A9C5-4561-B77F-2C8242CA07E4}">
            <xm:f xml:space="preserve"> OR($X$23=+テーブル!A2,$X$23=+テーブル!A3,$X$23=+テーブル!A9,$X$23=+テーブル!A10,$X$23=+テーブル!A12,$X$23=+テーブル!A13,$X$23=+テーブル!A16)</xm:f>
            <x14:dxf>
              <font>
                <color rgb="FFFF0000"/>
              </font>
            </x14:dxf>
          </x14:cfRule>
          <xm:sqref>D23:E23</xm:sqref>
        </x14:conditionalFormatting>
        <x14:conditionalFormatting xmlns:xm="http://schemas.microsoft.com/office/excel/2006/main">
          <x14:cfRule type="expression" priority="74" stopIfTrue="1" id="{2A018419-46EB-427D-B210-E505ADBFAAC8}">
            <xm:f xml:space="preserve"> OR($X$23=+テーブル!A2,$X$23=+テーブル!A4,$X$23=+テーブル!A9,$X$23=+テーブル!A11,$X$23=+テーブル!A12,$X$23=+テーブル!A14,$X$23=+テーブル!A16)</xm:f>
            <x14:dxf>
              <font>
                <color rgb="FFFF0000"/>
              </font>
            </x14:dxf>
          </x14:cfRule>
          <xm:sqref>F23:G23</xm:sqref>
        </x14:conditionalFormatting>
        <x14:conditionalFormatting xmlns:xm="http://schemas.microsoft.com/office/excel/2006/main">
          <x14:cfRule type="expression" priority="73" stopIfTrue="1" id="{81ED602D-A133-46E2-84CC-EBC474FC060F}">
            <xm:f xml:space="preserve"> OR($X$23=+テーブル!A2,$X$23=+テーブル!A3,$X$23=+テーブル!A4,$X$23=+テーブル!A9,$X$23=+テーブル!A10,$X$23=+テーブル!A11,$X$23=+テーブル!A12,$X$23=+テーブル!A13,$X$23=+テーブル!A14,$X$23=+テーブル!A16)</xm:f>
            <x14:dxf>
              <font>
                <color rgb="FFFF0000"/>
              </font>
            </x14:dxf>
          </x14:cfRule>
          <xm:sqref>H23:I23</xm:sqref>
        </x14:conditionalFormatting>
        <x14:conditionalFormatting xmlns:xm="http://schemas.microsoft.com/office/excel/2006/main">
          <x14:cfRule type="expression" priority="72" stopIfTrue="1" id="{802FC8EF-7544-4533-8884-4E81725B52B3}">
            <xm:f xml:space="preserve"> OR($X$24=+テーブル!A2,$X$24=+テーブル!A3,$X$24=+テーブル!A9,$X$24=+テーブル!A10,$X$24=+テーブル!A12,$X$24=+テーブル!A13,$X$24=+テーブル!A16)</xm:f>
            <x14:dxf>
              <font>
                <color rgb="FFFF0000"/>
              </font>
            </x14:dxf>
          </x14:cfRule>
          <xm:sqref>D24:E24</xm:sqref>
        </x14:conditionalFormatting>
        <x14:conditionalFormatting xmlns:xm="http://schemas.microsoft.com/office/excel/2006/main">
          <x14:cfRule type="expression" priority="71" stopIfTrue="1" id="{4C4DBE92-80A0-4121-B8A7-EB9A5FCAF5F5}">
            <xm:f xml:space="preserve"> OR($X$24=+テーブル!A2,$X$24=+テーブル!A4,$X$24=+テーブル!A9,$X$24=+テーブル!A11,$X$24=+テーブル!A12,$X$24=+テーブル!A14,$X$24=+テーブル!A16)</xm:f>
            <x14:dxf>
              <font>
                <color rgb="FFFF0000"/>
              </font>
            </x14:dxf>
          </x14:cfRule>
          <xm:sqref>F24:G24</xm:sqref>
        </x14:conditionalFormatting>
        <x14:conditionalFormatting xmlns:xm="http://schemas.microsoft.com/office/excel/2006/main">
          <x14:cfRule type="expression" priority="70" stopIfTrue="1" id="{5244B222-6153-482E-97CE-0FB2140F861F}">
            <xm:f xml:space="preserve"> OR($X$24=+テーブル!A2,$X$24=+テーブル!A3,$X$24=+テーブル!A4,$X$24=+テーブル!A9,$X$24=+テーブル!A10,$X$24=+テーブル!A11,$X$24=+テーブル!A12,$X$24=+テーブル!A13,$X$24=+テーブル!A14,$X$24=+テーブル!A16)</xm:f>
            <x14:dxf>
              <font>
                <color rgb="FFFF0000"/>
              </font>
            </x14:dxf>
          </x14:cfRule>
          <xm:sqref>H24:I24</xm:sqref>
        </x14:conditionalFormatting>
        <x14:conditionalFormatting xmlns:xm="http://schemas.microsoft.com/office/excel/2006/main">
          <x14:cfRule type="expression" priority="69" stopIfTrue="1" id="{C2F35938-ACD1-4790-B219-8B1625C9E3C8}">
            <xm:f xml:space="preserve"> OR($X$25=+テーブル!A2,$X$25=+テーブル!A3,$X$25=+テーブル!A9,$X$25=+テーブル!A10,$X$25=+テーブル!A12,$X$25=+テーブル!A13,$X$25=+テーブル!A16)</xm:f>
            <x14:dxf>
              <font>
                <color rgb="FFFF0000"/>
              </font>
            </x14:dxf>
          </x14:cfRule>
          <xm:sqref>D25:E25</xm:sqref>
        </x14:conditionalFormatting>
        <x14:conditionalFormatting xmlns:xm="http://schemas.microsoft.com/office/excel/2006/main">
          <x14:cfRule type="expression" priority="68" stopIfTrue="1" id="{B8D46D97-C81C-419B-A689-61C291E505B9}">
            <xm:f xml:space="preserve"> OR($X$25=+テーブル!A2,$X$25=+テーブル!A4,$X$25=+テーブル!A9,$X$25=+テーブル!A11,$X$25=+テーブル!A12,$X$25=+テーブル!A14,$X$25=+テーブル!A16)</xm:f>
            <x14:dxf>
              <font>
                <color rgb="FFFF0000"/>
              </font>
            </x14:dxf>
          </x14:cfRule>
          <xm:sqref>F25:G25</xm:sqref>
        </x14:conditionalFormatting>
        <x14:conditionalFormatting xmlns:xm="http://schemas.microsoft.com/office/excel/2006/main">
          <x14:cfRule type="expression" priority="67" stopIfTrue="1" id="{4BCF7C7E-2442-4B91-95D0-AAF2B39BEAD1}">
            <xm:f xml:space="preserve"> OR($X$25=+テーブル!A2,$X$25=+テーブル!A3,$X$25=+テーブル!A4,$X$25=+テーブル!A9,$X$25=+テーブル!A10,$X$25=+テーブル!A11,$X$25=+テーブル!A12,$X$25=+テーブル!A13,$X$25=+テーブル!A14,$X$25=+テーブル!A16)</xm:f>
            <x14:dxf>
              <font>
                <color rgb="FFFF0000"/>
              </font>
            </x14:dxf>
          </x14:cfRule>
          <xm:sqref>H25:I25</xm:sqref>
        </x14:conditionalFormatting>
        <x14:conditionalFormatting xmlns:xm="http://schemas.microsoft.com/office/excel/2006/main">
          <x14:cfRule type="expression" priority="66" stopIfTrue="1" id="{63998A19-D008-42AA-BDC7-3A71F20171FF}">
            <xm:f xml:space="preserve"> OR($X$26=+テーブル!A2,$X$26=+テーブル!A3,$X$26=+テーブル!A9,$X$26=+テーブル!A10,$X$26=+テーブル!A12,$X$26=+テーブル!A13,$X$26=+テーブル!A16)</xm:f>
            <x14:dxf>
              <font>
                <color rgb="FFFF0000"/>
              </font>
            </x14:dxf>
          </x14:cfRule>
          <xm:sqref>D26:E26</xm:sqref>
        </x14:conditionalFormatting>
        <x14:conditionalFormatting xmlns:xm="http://schemas.microsoft.com/office/excel/2006/main">
          <x14:cfRule type="expression" priority="65" stopIfTrue="1" id="{ECE89A7A-7051-41F4-9676-D74017F07382}">
            <xm:f xml:space="preserve"> OR($X$26=+テーブル!A2,$X$26=+テーブル!A4,$X$26=+テーブル!A9,$X$26=+テーブル!A11,$X$26=+テーブル!A12,$X$26=+テーブル!A14,$X$26=+テーブル!A16)</xm:f>
            <x14:dxf>
              <font>
                <color rgb="FFFF0000"/>
              </font>
            </x14:dxf>
          </x14:cfRule>
          <xm:sqref>F26:G26</xm:sqref>
        </x14:conditionalFormatting>
        <x14:conditionalFormatting xmlns:xm="http://schemas.microsoft.com/office/excel/2006/main">
          <x14:cfRule type="expression" priority="64" stopIfTrue="1" id="{2CD0AC1B-AEB2-45E5-BBAB-4A36480480CE}">
            <xm:f xml:space="preserve"> OR($X$26=+テーブル!A2,$X$26=+テーブル!A3,$X$26=+テーブル!A4,$X$26=+テーブル!A9,$X$26=+テーブル!A10,$X$26=+テーブル!A11,$X$26=+テーブル!A12,$X$26=+テーブル!A13,$X$26=+テーブル!A14,$X$26=+テーブル!A16)</xm:f>
            <x14:dxf>
              <font>
                <color rgb="FFFF0000"/>
              </font>
            </x14:dxf>
          </x14:cfRule>
          <xm:sqref>H26:I26</xm:sqref>
        </x14:conditionalFormatting>
        <x14:conditionalFormatting xmlns:xm="http://schemas.microsoft.com/office/excel/2006/main">
          <x14:cfRule type="expression" priority="63" stopIfTrue="1" id="{29139F02-227B-4ACF-B5A0-60B9A8C10B86}">
            <xm:f xml:space="preserve"> OR($X$27=+テーブル!A2,$X$27=+テーブル!A3,$X$27=+テーブル!A9,$X$27=+テーブル!A10,$X$27=+テーブル!A12,$X$27=+テーブル!A13,$X$27=+テーブル!A16)</xm:f>
            <x14:dxf>
              <font>
                <color rgb="FFFF0000"/>
              </font>
            </x14:dxf>
          </x14:cfRule>
          <xm:sqref>D27:E27</xm:sqref>
        </x14:conditionalFormatting>
        <x14:conditionalFormatting xmlns:xm="http://schemas.microsoft.com/office/excel/2006/main">
          <x14:cfRule type="expression" priority="62" stopIfTrue="1" id="{DF48F8FB-6A34-4836-A0C2-2B0DFBDD0484}">
            <xm:f xml:space="preserve"> OR($X$27=+テーブル!A2,$X$27=+テーブル!A4,$X$27=+テーブル!A9,$X$27=+テーブル!A11,$X$27=+テーブル!A12,$X$27=+テーブル!A14,$X$27=+テーブル!A16)</xm:f>
            <x14:dxf>
              <font>
                <color rgb="FFFF0000"/>
              </font>
            </x14:dxf>
          </x14:cfRule>
          <xm:sqref>F27:G27</xm:sqref>
        </x14:conditionalFormatting>
        <x14:conditionalFormatting xmlns:xm="http://schemas.microsoft.com/office/excel/2006/main">
          <x14:cfRule type="expression" priority="61" stopIfTrue="1" id="{1B4E7629-690A-489D-9237-93433B1E7985}">
            <xm:f xml:space="preserve"> OR($X$27=+テーブル!A2,$X$27=+テーブル!A3,$X$27=+テーブル!A4,$X$27=+テーブル!A9,$X$27=+テーブル!A10,$X$27=+テーブル!A11,$X$27=+テーブル!A12,$X$27=+テーブル!A13,$X$27=+テーブル!A14,$X$27=+テーブル!A16)</xm:f>
            <x14:dxf>
              <font>
                <color rgb="FFFF0000"/>
              </font>
            </x14:dxf>
          </x14:cfRule>
          <xm:sqref>H27:I27</xm:sqref>
        </x14:conditionalFormatting>
        <x14:conditionalFormatting xmlns:xm="http://schemas.microsoft.com/office/excel/2006/main">
          <x14:cfRule type="expression" priority="60" stopIfTrue="1" id="{EAC6A050-DA60-46B0-9749-56FCAD6C1D35}">
            <xm:f xml:space="preserve"> OR($X$28=+テーブル!A2,$X$28=+テーブル!A3,$X$28=+テーブル!A9,$X$28=+テーブル!A10,$X$28=+テーブル!A12,$X$28=+テーブル!A13,$X$28=+テーブル!A16)</xm:f>
            <x14:dxf>
              <font>
                <color rgb="FFFF0000"/>
              </font>
            </x14:dxf>
          </x14:cfRule>
          <xm:sqref>D28:E28</xm:sqref>
        </x14:conditionalFormatting>
        <x14:conditionalFormatting xmlns:xm="http://schemas.microsoft.com/office/excel/2006/main">
          <x14:cfRule type="expression" priority="59" stopIfTrue="1" id="{7BC927E6-5021-488F-B964-94425CD34136}">
            <xm:f xml:space="preserve"> OR($X$28=+テーブル!A2,$X$28=+テーブル!A4,$X$28=+テーブル!A9,$X$28=+テーブル!A11,$X$28=+テーブル!A12,$X$28=+テーブル!A14,$X$28=+テーブル!A16)</xm:f>
            <x14:dxf>
              <font>
                <color rgb="FFFF0000"/>
              </font>
            </x14:dxf>
          </x14:cfRule>
          <xm:sqref>F28:G28</xm:sqref>
        </x14:conditionalFormatting>
        <x14:conditionalFormatting xmlns:xm="http://schemas.microsoft.com/office/excel/2006/main">
          <x14:cfRule type="expression" priority="58" stopIfTrue="1" id="{619AEF73-8810-436C-A95E-9754C1673E59}">
            <xm:f xml:space="preserve"> OR($X$28=+テーブル!A2,$X$28=+テーブル!A3,$X$28=+テーブル!A4,$X$28=+テーブル!A9,$X$28=+テーブル!A10,$X$28=+テーブル!A11,$X$28=+テーブル!A12,$X$28=+テーブル!A13,$X$28=+テーブル!A14,$X$28=+テーブル!A16)</xm:f>
            <x14:dxf>
              <font>
                <color rgb="FFFF0000"/>
              </font>
            </x14:dxf>
          </x14:cfRule>
          <xm:sqref>H28:I28</xm:sqref>
        </x14:conditionalFormatting>
        <x14:conditionalFormatting xmlns:xm="http://schemas.microsoft.com/office/excel/2006/main">
          <x14:cfRule type="expression" priority="57" stopIfTrue="1" id="{3BC4B2F5-BD07-42BC-9C55-D6B3466EE7C9}">
            <xm:f xml:space="preserve"> OR($X$29=+テーブル!A2,$X$29=+テーブル!A3,$X$29=+テーブル!A9,$X$29=+テーブル!A10,$X$29=+テーブル!A12,$X$29=+テーブル!A13,$X$29=+テーブル!A16)</xm:f>
            <x14:dxf>
              <font>
                <color rgb="FFFF0000"/>
              </font>
            </x14:dxf>
          </x14:cfRule>
          <xm:sqref>D29:E29</xm:sqref>
        </x14:conditionalFormatting>
        <x14:conditionalFormatting xmlns:xm="http://schemas.microsoft.com/office/excel/2006/main">
          <x14:cfRule type="expression" priority="56" stopIfTrue="1" id="{1558618A-51A7-4761-A822-9AE0CC63286D}">
            <xm:f xml:space="preserve"> OR($X$29=+テーブル!A2,$X$29=+テーブル!A4,$X$29=+テーブル!A9,$X$29=+テーブル!A11,$X$29=+テーブル!A12,$X$29=+テーブル!A14,$X$29=+テーブル!A16)</xm:f>
            <x14:dxf>
              <font>
                <color rgb="FFFF0000"/>
              </font>
            </x14:dxf>
          </x14:cfRule>
          <xm:sqref>F29:G29</xm:sqref>
        </x14:conditionalFormatting>
        <x14:conditionalFormatting xmlns:xm="http://schemas.microsoft.com/office/excel/2006/main">
          <x14:cfRule type="expression" priority="55" stopIfTrue="1" id="{FD0219D1-C388-43C2-B79E-32EE4DDA37FF}">
            <xm:f xml:space="preserve"> OR($X$29=+テーブル!A2,$X$29=+テーブル!A3,$X$29=+テーブル!A4,$X$29=+テーブル!A9,$X$29=+テーブル!A10,$X$29=+テーブル!A11,$X$29=+テーブル!A12,$X$29=+テーブル!A13,$X$29=+テーブル!A14,$X$29=+テーブル!A16)</xm:f>
            <x14:dxf>
              <font>
                <color rgb="FFFF0000"/>
              </font>
            </x14:dxf>
          </x14:cfRule>
          <xm:sqref>H29:I29</xm:sqref>
        </x14:conditionalFormatting>
        <x14:conditionalFormatting xmlns:xm="http://schemas.microsoft.com/office/excel/2006/main">
          <x14:cfRule type="expression" priority="54" stopIfTrue="1" id="{08A639F1-6E88-4E84-85E0-3734433BCF7B}">
            <xm:f xml:space="preserve"> OR($X$30=+テーブル!A2,$X$30=+テーブル!A3,$X$30=+テーブル!A9,$X$30=+テーブル!A10,$X$30=+テーブル!A12,$X$30=+テーブル!A13,$X$30=+テーブル!A16)</xm:f>
            <x14:dxf>
              <font>
                <color rgb="FFFF0000"/>
              </font>
            </x14:dxf>
          </x14:cfRule>
          <xm:sqref>D30:E30</xm:sqref>
        </x14:conditionalFormatting>
        <x14:conditionalFormatting xmlns:xm="http://schemas.microsoft.com/office/excel/2006/main">
          <x14:cfRule type="expression" priority="53" stopIfTrue="1" id="{BBBD39E4-894C-4861-B68F-E0830F845946}">
            <xm:f xml:space="preserve"> OR($X$30=+テーブル!A2,$X$30=+テーブル!A4,$X$30=+テーブル!A9,$X$30=+テーブル!A11,$X$30=+テーブル!A12,$X$30=+テーブル!A14,$X$30=+テーブル!A16)</xm:f>
            <x14:dxf>
              <font>
                <color rgb="FFFF0000"/>
              </font>
            </x14:dxf>
          </x14:cfRule>
          <xm:sqref>F30:G30</xm:sqref>
        </x14:conditionalFormatting>
        <x14:conditionalFormatting xmlns:xm="http://schemas.microsoft.com/office/excel/2006/main">
          <x14:cfRule type="expression" priority="52" stopIfTrue="1" id="{05B43901-C8C3-44A5-A13E-CC7498E7737A}">
            <xm:f xml:space="preserve"> OR($X$30=+テーブル!A2,$X$30=+テーブル!A3,$X$30=+テーブル!A4,$X$30=+テーブル!A9,$X$30=+テーブル!A10,$X$30=+テーブル!A11,$X$30=+テーブル!A12,$X$30=+テーブル!A13,$X$30=+テーブル!A14,$X$30=+テーブル!A16)</xm:f>
            <x14:dxf>
              <font>
                <color rgb="FFFF0000"/>
              </font>
            </x14:dxf>
          </x14:cfRule>
          <xm:sqref>H30:I30</xm:sqref>
        </x14:conditionalFormatting>
        <x14:conditionalFormatting xmlns:xm="http://schemas.microsoft.com/office/excel/2006/main">
          <x14:cfRule type="expression" priority="51" stopIfTrue="1" id="{54223F92-8126-4A47-8CA6-4EB129B2D4A0}">
            <xm:f xml:space="preserve"> OR($X$31=+テーブル!A2,$X$31=+テーブル!A3,$X$31=+テーブル!A9,$X$31=+テーブル!A10,$X$31=+テーブル!A12,$X$31=+テーブル!A13,$X$31=+テーブル!A16)</xm:f>
            <x14:dxf>
              <font>
                <color rgb="FFFF0000"/>
              </font>
            </x14:dxf>
          </x14:cfRule>
          <xm:sqref>D31:E31</xm:sqref>
        </x14:conditionalFormatting>
        <x14:conditionalFormatting xmlns:xm="http://schemas.microsoft.com/office/excel/2006/main">
          <x14:cfRule type="expression" priority="50" stopIfTrue="1" id="{0C545605-78F7-4C02-8523-5DA2B26151D0}">
            <xm:f xml:space="preserve"> OR($X$31=+テーブル!A2,$X$31=+テーブル!A4,$X$31=+テーブル!A9,$X$31=+テーブル!A11,$X$31=+テーブル!A12,$X$31=+テーブル!A14,$X$31=+テーブル!A16)</xm:f>
            <x14:dxf>
              <font>
                <color rgb="FFFF0000"/>
              </font>
            </x14:dxf>
          </x14:cfRule>
          <xm:sqref>F31:G31</xm:sqref>
        </x14:conditionalFormatting>
        <x14:conditionalFormatting xmlns:xm="http://schemas.microsoft.com/office/excel/2006/main">
          <x14:cfRule type="expression" priority="49" stopIfTrue="1" id="{7D957FBE-A6E2-44CD-AEAD-F79E2457D417}">
            <xm:f xml:space="preserve"> OR($X$31=+テーブル!A2,$X$31=+テーブル!A3,$X$31=+テーブル!A4,$X$31=+テーブル!A9,$X$31=+テーブル!A10,$X$31=+テーブル!A11,$X$31=+テーブル!A12,$X$31=+テーブル!A13,$X$31=+テーブル!A14,$X$31=+テーブル!A16)</xm:f>
            <x14:dxf>
              <font>
                <color rgb="FFFF0000"/>
              </font>
            </x14:dxf>
          </x14:cfRule>
          <xm:sqref>H31:I31</xm:sqref>
        </x14:conditionalFormatting>
        <x14:conditionalFormatting xmlns:xm="http://schemas.microsoft.com/office/excel/2006/main">
          <x14:cfRule type="expression" priority="48" stopIfTrue="1" id="{64AA757A-710F-4E74-AE30-97FB540A0C2E}">
            <xm:f xml:space="preserve"> OR($X$32=+テーブル!A2,$X$32=+テーブル!A3,$X$32=+テーブル!A9,$X$32=+テーブル!A10,$X$32=+テーブル!A12,$X$32=+テーブル!A13,$X$32=+テーブル!A16)</xm:f>
            <x14:dxf>
              <font>
                <color rgb="FFFF0000"/>
              </font>
            </x14:dxf>
          </x14:cfRule>
          <xm:sqref>D32:E32</xm:sqref>
        </x14:conditionalFormatting>
        <x14:conditionalFormatting xmlns:xm="http://schemas.microsoft.com/office/excel/2006/main">
          <x14:cfRule type="expression" priority="47" stopIfTrue="1" id="{D19CF238-5708-4248-9BAF-D8BBC636CAA1}">
            <xm:f xml:space="preserve"> OR($X$32=+テーブル!A2,$X$32=+テーブル!A4,$X$32=+テーブル!A9,$X$32=+テーブル!A11,$X$32=+テーブル!A12,$X$32=+テーブル!A14,$X$32=+テーブル!A16)</xm:f>
            <x14:dxf>
              <font>
                <color rgb="FFFF0000"/>
              </font>
            </x14:dxf>
          </x14:cfRule>
          <xm:sqref>F32:G32</xm:sqref>
        </x14:conditionalFormatting>
        <x14:conditionalFormatting xmlns:xm="http://schemas.microsoft.com/office/excel/2006/main">
          <x14:cfRule type="expression" priority="46" stopIfTrue="1" id="{5886856E-8F65-48AD-AEA7-C7C1F72BEEDA}">
            <xm:f xml:space="preserve"> OR($X$32=+テーブル!A2,$X$32=+テーブル!A3,$X$32=+テーブル!A4,$X$32=+テーブル!A9,$X$32=+テーブル!A10,$X$32=+テーブル!A11,$X$32=+テーブル!A12,$X$32=+テーブル!A13,$X$32=+テーブル!A14,$X$32=+テーブル!A16)</xm:f>
            <x14:dxf>
              <font>
                <color rgb="FFFF0000"/>
              </font>
            </x14:dxf>
          </x14:cfRule>
          <xm:sqref>H32:I32</xm:sqref>
        </x14:conditionalFormatting>
        <x14:conditionalFormatting xmlns:xm="http://schemas.microsoft.com/office/excel/2006/main">
          <x14:cfRule type="expression" priority="45" stopIfTrue="1" id="{B51487C4-15A4-4F7B-9AAC-93E863CBC610}">
            <xm:f xml:space="preserve"> OR($X$33=+テーブル!A2,$X$33=+テーブル!A3,$X$33=+テーブル!A9,$X$33=+テーブル!A10,$X$33=+テーブル!A12,$X$33=+テーブル!A13,$X$33=+テーブル!A16)</xm:f>
            <x14:dxf>
              <font>
                <color rgb="FFFF0000"/>
              </font>
            </x14:dxf>
          </x14:cfRule>
          <xm:sqref>D33:E33</xm:sqref>
        </x14:conditionalFormatting>
        <x14:conditionalFormatting xmlns:xm="http://schemas.microsoft.com/office/excel/2006/main">
          <x14:cfRule type="expression" priority="44" stopIfTrue="1" id="{B14C7927-B5EB-4B34-ADF1-92EDCAE5F10C}">
            <xm:f xml:space="preserve"> OR($X$33=+テーブル!A2,$X$33=+テーブル!A4,$X$33=+テーブル!A9,$X$33=+テーブル!A11,$X$33=+テーブル!A12,$X$33=+テーブル!A14,$X$33=+テーブル!A16)</xm:f>
            <x14:dxf>
              <font>
                <color rgb="FFFF0000"/>
              </font>
            </x14:dxf>
          </x14:cfRule>
          <xm:sqref>F33:G33</xm:sqref>
        </x14:conditionalFormatting>
        <x14:conditionalFormatting xmlns:xm="http://schemas.microsoft.com/office/excel/2006/main">
          <x14:cfRule type="expression" priority="43" stopIfTrue="1" id="{E921D18C-4EA6-4529-98C4-EBBC17880CD6}">
            <xm:f xml:space="preserve"> OR($X$33=+テーブル!A2,$X$33=+テーブル!A3,$X$33=+テーブル!A4,$X$33=+テーブル!A9,$X$33=+テーブル!A10,$X$33=+テーブル!A11,$X$33=+テーブル!A12,$X$33=+テーブル!A13,$X$33=+テーブル!A14,$X$33=+テーブル!A16)</xm:f>
            <x14:dxf>
              <font>
                <color rgb="FFFF0000"/>
              </font>
            </x14:dxf>
          </x14:cfRule>
          <xm:sqref>H33:I33</xm:sqref>
        </x14:conditionalFormatting>
        <x14:conditionalFormatting xmlns:xm="http://schemas.microsoft.com/office/excel/2006/main">
          <x14:cfRule type="expression" priority="42" stopIfTrue="1" id="{EDE4332A-F0B5-471B-9601-6F02E67B8492}">
            <xm:f xml:space="preserve"> OR($X$34=+テーブル!A2,$X$34=+テーブル!A3,$X$34=+テーブル!A9,$X$34=+テーブル!A10,$X$34=+テーブル!A12,$X$34=+テーブル!A13,$X$34=+テーブル!A16)</xm:f>
            <x14:dxf>
              <font>
                <color rgb="FFFF0000"/>
              </font>
            </x14:dxf>
          </x14:cfRule>
          <xm:sqref>D34:E34</xm:sqref>
        </x14:conditionalFormatting>
        <x14:conditionalFormatting xmlns:xm="http://schemas.microsoft.com/office/excel/2006/main">
          <x14:cfRule type="expression" priority="41" stopIfTrue="1" id="{0E87E26C-E39E-417B-B77E-CEA6A85D6921}">
            <xm:f xml:space="preserve"> OR($X$34=+テーブル!A2,$X$34=+テーブル!A4,$X$34=+テーブル!A9,$X$34=+テーブル!A11,$X$34=+テーブル!A12,$X$34=+テーブル!A14,$X$34=+テーブル!A16)</xm:f>
            <x14:dxf>
              <font>
                <color rgb="FFFF0000"/>
              </font>
            </x14:dxf>
          </x14:cfRule>
          <xm:sqref>F34:G34</xm:sqref>
        </x14:conditionalFormatting>
        <x14:conditionalFormatting xmlns:xm="http://schemas.microsoft.com/office/excel/2006/main">
          <x14:cfRule type="expression" priority="40" stopIfTrue="1" id="{C6FB5799-EEDA-437D-A6C4-92FE1004AECB}">
            <xm:f xml:space="preserve"> OR($X$34=+テーブル!A2,$X$34=+テーブル!A3,$X$34=+テーブル!A4,$X$34=+テーブル!A9,$X$34=+テーブル!A10,$X$34=+テーブル!A11,$X$34=+テーブル!A12,$X$34=+テーブル!A13,$X$34=+テーブル!A14,$X$34=+テーブル!A16)</xm:f>
            <x14:dxf>
              <font>
                <color rgb="FFFF0000"/>
              </font>
            </x14:dxf>
          </x14:cfRule>
          <xm:sqref>H34:I34</xm:sqref>
        </x14:conditionalFormatting>
        <x14:conditionalFormatting xmlns:xm="http://schemas.microsoft.com/office/excel/2006/main">
          <x14:cfRule type="expression" priority="39" stopIfTrue="1" id="{D40E40CB-5447-48E6-B0A3-97310599182F}">
            <xm:f xml:space="preserve"> OR($X$35=+テーブル!A2,$X$35=+テーブル!A3,$X$35=+テーブル!A9,$X$35=+テーブル!A10,$X$35=+テーブル!A12,$X$35=+テーブル!A13,$X$35=+テーブル!A16)</xm:f>
            <x14:dxf>
              <font>
                <color rgb="FFFF0000"/>
              </font>
            </x14:dxf>
          </x14:cfRule>
          <xm:sqref>D35:E35</xm:sqref>
        </x14:conditionalFormatting>
        <x14:conditionalFormatting xmlns:xm="http://schemas.microsoft.com/office/excel/2006/main">
          <x14:cfRule type="expression" priority="38" stopIfTrue="1" id="{C30106CD-961A-4FDB-A22E-006EEBA6DF55}">
            <xm:f xml:space="preserve"> OR($X$35=+テーブル!A2,$X$35=+テーブル!A4,$X$35=+テーブル!A9,$X$35=+テーブル!A11,$X$35=+テーブル!A12,$X$35=+テーブル!A14,$X$35=+テーブル!A16)</xm:f>
            <x14:dxf>
              <font>
                <color rgb="FFFF0000"/>
              </font>
            </x14:dxf>
          </x14:cfRule>
          <xm:sqref>F35:G35</xm:sqref>
        </x14:conditionalFormatting>
        <x14:conditionalFormatting xmlns:xm="http://schemas.microsoft.com/office/excel/2006/main">
          <x14:cfRule type="expression" priority="37" stopIfTrue="1" id="{F4FD1F1A-7989-405F-BB7D-A2881A338137}">
            <xm:f xml:space="preserve"> OR($X$35=+テーブル!A2,$X$35=+テーブル!A3,$X$35=+テーブル!A4,$X$35=+テーブル!A9,$X$35=+テーブル!A10,$X$35=+テーブル!A11,$X$35=+テーブル!A12,$X$35=+テーブル!A13,$X$35=+テーブル!A14,$X$35=+テーブル!A16)</xm:f>
            <x14:dxf>
              <font>
                <color rgb="FFFF0000"/>
              </font>
            </x14:dxf>
          </x14:cfRule>
          <xm:sqref>H35:I35</xm:sqref>
        </x14:conditionalFormatting>
        <x14:conditionalFormatting xmlns:xm="http://schemas.microsoft.com/office/excel/2006/main">
          <x14:cfRule type="expression" priority="36" stopIfTrue="1" id="{9AE44DB5-F578-4269-BDD1-1466D192FCAB}">
            <xm:f xml:space="preserve"> OR($X$36=+テーブル!A2,$X$36=+テーブル!A3,$X$36=+テーブル!A9,$X$36=+テーブル!A10,$X$36=+テーブル!A12,$X$36=+テーブル!A13,$X$36=+テーブル!A16)</xm:f>
            <x14:dxf>
              <font>
                <color rgb="FFFF0000"/>
              </font>
            </x14:dxf>
          </x14:cfRule>
          <xm:sqref>D36:E36</xm:sqref>
        </x14:conditionalFormatting>
        <x14:conditionalFormatting xmlns:xm="http://schemas.microsoft.com/office/excel/2006/main">
          <x14:cfRule type="expression" priority="35" stopIfTrue="1" id="{77949FBD-6138-4F7A-AB9A-32FC7EF83C73}">
            <xm:f xml:space="preserve"> OR($X$36=+テーブル!A2,$X$36=+テーブル!A4,$X$36=+テーブル!A9,$X$36=+テーブル!A11,$X$36=+テーブル!A12,$X$36=+テーブル!A14,$X$36=+テーブル!A16)</xm:f>
            <x14:dxf>
              <font>
                <color rgb="FFFF0000"/>
              </font>
            </x14:dxf>
          </x14:cfRule>
          <xm:sqref>F36:G36</xm:sqref>
        </x14:conditionalFormatting>
        <x14:conditionalFormatting xmlns:xm="http://schemas.microsoft.com/office/excel/2006/main">
          <x14:cfRule type="expression" priority="34" stopIfTrue="1" id="{F416E7D4-0321-4FB0-96E8-BE75783BE280}">
            <xm:f xml:space="preserve"> OR($X$36=+テーブル!A2,$X$36=+テーブル!A3,$X$36=+テーブル!A4,$X$36=+テーブル!A9,$X$36=+テーブル!A10,$X$36=+テーブル!A11,$X$36=+テーブル!A12,$X$36=+テーブル!A13,$X$36=+テーブル!A14,$X$36=+テーブル!A16)</xm:f>
            <x14:dxf>
              <font>
                <color rgb="FFFF0000"/>
              </font>
            </x14:dxf>
          </x14:cfRule>
          <xm:sqref>H36:I36</xm:sqref>
        </x14:conditionalFormatting>
        <x14:conditionalFormatting xmlns:xm="http://schemas.microsoft.com/office/excel/2006/main">
          <x14:cfRule type="expression" priority="33" stopIfTrue="1" id="{DB6370C6-8F36-4EAA-8F2B-D754958236A2}">
            <xm:f xml:space="preserve"> OR($X$37=+テーブル!A2,$X$37=+テーブル!A3,$X$37=+テーブル!A9,$X$37=+テーブル!A10,$X$37=+テーブル!A12,$X$37=+テーブル!A13,$X$37=+テーブル!A16)</xm:f>
            <x14:dxf>
              <font>
                <color rgb="FFFF0000"/>
              </font>
            </x14:dxf>
          </x14:cfRule>
          <xm:sqref>D37:E37</xm:sqref>
        </x14:conditionalFormatting>
        <x14:conditionalFormatting xmlns:xm="http://schemas.microsoft.com/office/excel/2006/main">
          <x14:cfRule type="expression" priority="32" stopIfTrue="1" id="{767144F0-D21B-4283-9A6E-370CFFA1E2F4}">
            <xm:f xml:space="preserve"> OR($X$37=+テーブル!A2,$X$37=+テーブル!A4,$X$37=+テーブル!A9,$X$37=+テーブル!A11,$X$37=+テーブル!A12,$X$37=+テーブル!A14,$X$37=+テーブル!A16)</xm:f>
            <x14:dxf>
              <font>
                <color rgb="FFFF0000"/>
              </font>
            </x14:dxf>
          </x14:cfRule>
          <xm:sqref>F37:G37</xm:sqref>
        </x14:conditionalFormatting>
        <x14:conditionalFormatting xmlns:xm="http://schemas.microsoft.com/office/excel/2006/main">
          <x14:cfRule type="expression" priority="31" stopIfTrue="1" id="{82C7C2BB-5C21-46EA-8BC2-498E6E73AD4C}">
            <xm:f xml:space="preserve"> OR($X$37=+テーブル!A2,$X$37=+テーブル!A3,$X$37=+テーブル!A4,$X$37=+テーブル!A9,$X$37=+テーブル!A10,$X$37=+テーブル!A11,$X$37=+テーブル!A12,$X$37=+テーブル!A13,$X$37=+テーブル!A14,$X$37=+テーブル!A16)</xm:f>
            <x14:dxf>
              <font>
                <color rgb="FFFF0000"/>
              </font>
            </x14:dxf>
          </x14:cfRule>
          <xm:sqref>H37:I37</xm:sqref>
        </x14:conditionalFormatting>
        <x14:conditionalFormatting xmlns:xm="http://schemas.microsoft.com/office/excel/2006/main">
          <x14:cfRule type="expression" priority="30" stopIfTrue="1" id="{2AC4AB4D-ECB7-4FCA-A7A2-03B1BA5016BE}">
            <xm:f xml:space="preserve"> OR($X$38=+テーブル!A2,$X$38=+テーブル!A3,$X$38=+テーブル!A9,$X$38=+テーブル!A10,$X$38=+テーブル!A12,$X$38=+テーブル!A13,$X$38=+テーブル!A16)</xm:f>
            <x14:dxf>
              <font>
                <color rgb="FFFF0000"/>
              </font>
            </x14:dxf>
          </x14:cfRule>
          <xm:sqref>D38:E38</xm:sqref>
        </x14:conditionalFormatting>
        <x14:conditionalFormatting xmlns:xm="http://schemas.microsoft.com/office/excel/2006/main">
          <x14:cfRule type="expression" priority="29" stopIfTrue="1" id="{AC906D68-5E83-48BB-AA38-FE5DED09AA58}">
            <xm:f xml:space="preserve"> OR($X$38=+テーブル!A2,$X$38=+テーブル!A4,$X$38=+テーブル!A9,$X$38=+テーブル!A11,$X$38=+テーブル!A12,$X$38=+テーブル!A14,$X$38=+テーブル!A16)</xm:f>
            <x14:dxf>
              <font>
                <color rgb="FFFF0000"/>
              </font>
            </x14:dxf>
          </x14:cfRule>
          <xm:sqref>F38:G38</xm:sqref>
        </x14:conditionalFormatting>
        <x14:conditionalFormatting xmlns:xm="http://schemas.microsoft.com/office/excel/2006/main">
          <x14:cfRule type="expression" priority="28" stopIfTrue="1" id="{6885C991-9891-4C98-AB19-1C92C0831995}">
            <xm:f xml:space="preserve"> OR($X$38=+テーブル!A2,$X$38=+テーブル!A3,$X$38=+テーブル!A4,$X$38=+テーブル!A9,$X$38=+テーブル!A10,$X$38=+テーブル!A11,$X$38=+テーブル!A12,$X$38=+テーブル!A13,$X$38=+テーブル!A14,$X$38=+テーブル!A16)</xm:f>
            <x14:dxf>
              <font>
                <color rgb="FFFF0000"/>
              </font>
            </x14:dxf>
          </x14:cfRule>
          <xm:sqref>H38:I38</xm:sqref>
        </x14:conditionalFormatting>
        <x14:conditionalFormatting xmlns:xm="http://schemas.microsoft.com/office/excel/2006/main">
          <x14:cfRule type="expression" priority="27" stopIfTrue="1" id="{B48754DE-FF42-47FC-BAE9-91D6471AD238}">
            <xm:f xml:space="preserve"> OR($X$39=+テーブル!A2,$X$39=+テーブル!A3,$X$39=+テーブル!A9,$X$39=+テーブル!A10,$X$39=+テーブル!A12,$X$39=+テーブル!A13,$X$39=+テーブル!A16)</xm:f>
            <x14:dxf>
              <font>
                <color rgb="FFFF0000"/>
              </font>
            </x14:dxf>
          </x14:cfRule>
          <xm:sqref>D39:E39</xm:sqref>
        </x14:conditionalFormatting>
        <x14:conditionalFormatting xmlns:xm="http://schemas.microsoft.com/office/excel/2006/main">
          <x14:cfRule type="expression" priority="26" stopIfTrue="1" id="{764A1A37-CB76-4971-9CC3-06E4DEE2919C}">
            <xm:f xml:space="preserve"> OR($X$39=+テーブル!A2,$X$39=+テーブル!A4,$X$39=+テーブル!A9,$X$39=+テーブル!A11,$X$39=+テーブル!A12,$X$39=+テーブル!A14,$X$39=+テーブル!A16)</xm:f>
            <x14:dxf>
              <font>
                <color rgb="FFFF0000"/>
              </font>
            </x14:dxf>
          </x14:cfRule>
          <xm:sqref>F39:G39</xm:sqref>
        </x14:conditionalFormatting>
        <x14:conditionalFormatting xmlns:xm="http://schemas.microsoft.com/office/excel/2006/main">
          <x14:cfRule type="expression" priority="25" stopIfTrue="1" id="{F248FFE3-00CB-43A3-8820-ADEA3D33A527}">
            <xm:f xml:space="preserve"> OR($X$39=+テーブル!A2,$X$39=+テーブル!A3,$X$39=+テーブル!A4,$X$39=+テーブル!A9,$X$39=+テーブル!A10,$X$39=+テーブル!A11,$X$39=+テーブル!A12,$X$39=+テーブル!A13,$X$39=+テーブル!A14,$X$39=+テーブル!A16)</xm:f>
            <x14:dxf>
              <font>
                <color rgb="FFFF0000"/>
              </font>
            </x14:dxf>
          </x14:cfRule>
          <xm:sqref>H39:I39</xm:sqref>
        </x14:conditionalFormatting>
        <x14:conditionalFormatting xmlns:xm="http://schemas.microsoft.com/office/excel/2006/main">
          <x14:cfRule type="expression" priority="24" stopIfTrue="1" id="{5B0730B7-B2D7-4A6B-8551-A4BFB80B6DC9}">
            <xm:f xml:space="preserve"> OR($X$40=+テーブル!A2,$X$40=+テーブル!A3,$X$40=+テーブル!A9,$X$40=+テーブル!A10,$X$40=+テーブル!A12,$X$40=+テーブル!A13,$X$40=+テーブル!A16)</xm:f>
            <x14:dxf>
              <font>
                <color rgb="FFFF0000"/>
              </font>
            </x14:dxf>
          </x14:cfRule>
          <xm:sqref>D40:E40</xm:sqref>
        </x14:conditionalFormatting>
        <x14:conditionalFormatting xmlns:xm="http://schemas.microsoft.com/office/excel/2006/main">
          <x14:cfRule type="expression" priority="23" stopIfTrue="1" id="{2D42552B-FB3A-4B83-9B66-AB6C5CB0C25D}">
            <xm:f xml:space="preserve"> OR($X$40=+テーブル!A2,$X$40=+テーブル!A4,$X$40=+テーブル!A9,$X$40=+テーブル!A11,$X$40=+テーブル!A12,$X$40=+テーブル!A14,$X$40=+テーブル!A16)</xm:f>
            <x14:dxf>
              <font>
                <color rgb="FFFF0000"/>
              </font>
            </x14:dxf>
          </x14:cfRule>
          <xm:sqref>F40:G40</xm:sqref>
        </x14:conditionalFormatting>
        <x14:conditionalFormatting xmlns:xm="http://schemas.microsoft.com/office/excel/2006/main">
          <x14:cfRule type="expression" priority="22" stopIfTrue="1" id="{9CC5D348-FC93-48BE-BE51-399991194AA0}">
            <xm:f xml:space="preserve"> OR($X$40=+テーブル!A2,$X$40=+テーブル!A3,$X$40=+テーブル!A4,$X$40=+テーブル!A9,$X$40=+テーブル!A10,$X$40=+テーブル!A11,$X$40=+テーブル!A12,$X$40=+テーブル!A13,$X$40=+テーブル!A14,$X$40=+テーブル!A16)</xm:f>
            <x14:dxf>
              <font>
                <color rgb="FFFF0000"/>
              </font>
            </x14:dxf>
          </x14:cfRule>
          <xm:sqref>H40:I40</xm:sqref>
        </x14:conditionalFormatting>
        <x14:conditionalFormatting xmlns:xm="http://schemas.microsoft.com/office/excel/2006/main">
          <x14:cfRule type="expression" priority="21" stopIfTrue="1" id="{6646FB0B-6EBA-4C5B-974A-A8151B4DE70E}">
            <xm:f xml:space="preserve"> OR($X$41=+テーブル!A2,$X$41=+テーブル!A3,$X$41=+テーブル!A9,$X$41=+テーブル!A10,$X$41=+テーブル!A12,$X$41=+テーブル!A13,$X$41=+テーブル!A16)</xm:f>
            <x14:dxf>
              <font>
                <color rgb="FFFF0000"/>
              </font>
            </x14:dxf>
          </x14:cfRule>
          <xm:sqref>D41:E41</xm:sqref>
        </x14:conditionalFormatting>
        <x14:conditionalFormatting xmlns:xm="http://schemas.microsoft.com/office/excel/2006/main">
          <x14:cfRule type="expression" priority="20" stopIfTrue="1" id="{F30E9519-5ED0-4B0B-A361-43FDC5A34D49}">
            <xm:f xml:space="preserve"> OR($X$41=+テーブル!A2,$X$41=+テーブル!A4,$X$41=+テーブル!A9,$X$41=+テーブル!A11,$X$41=+テーブル!A12,$X$41=+テーブル!A14,$X$41=+テーブル!A16)</xm:f>
            <x14:dxf>
              <font>
                <color rgb="FFFF0000"/>
              </font>
            </x14:dxf>
          </x14:cfRule>
          <xm:sqref>F41:G41</xm:sqref>
        </x14:conditionalFormatting>
        <x14:conditionalFormatting xmlns:xm="http://schemas.microsoft.com/office/excel/2006/main">
          <x14:cfRule type="expression" priority="19" stopIfTrue="1" id="{E9A3C256-1538-4A09-956D-531D0C0C7032}">
            <xm:f xml:space="preserve"> OR($X$41=+テーブル!A2,$X$41=+テーブル!A3,$X$41=+テーブル!A4,$X$41=+テーブル!A9,$X$41=+テーブル!A10,$X$41=+テーブル!A11,$X$41=+テーブル!A12,$X$41=+テーブル!A13,$X$41=+テーブル!A14,$X$41=+テーブル!A16)</xm:f>
            <x14:dxf>
              <font>
                <color rgb="FFFF0000"/>
              </font>
            </x14:dxf>
          </x14:cfRule>
          <xm:sqref>H41:I41</xm:sqref>
        </x14:conditionalFormatting>
        <x14:conditionalFormatting xmlns:xm="http://schemas.microsoft.com/office/excel/2006/main">
          <x14:cfRule type="expression" priority="18" stopIfTrue="1" id="{DD7185CD-231A-4557-B0EE-C1601FC48D11}">
            <xm:f xml:space="preserve"> OR($X$42=+テーブル!A2,$X$42=+テーブル!A3,$X$42=+テーブル!A9,$X$42=+テーブル!A10,$X$42=+テーブル!A12,$X$42=+テーブル!A13,$X$42=+テーブル!A16)</xm:f>
            <x14:dxf>
              <font>
                <color rgb="FFFF0000"/>
              </font>
            </x14:dxf>
          </x14:cfRule>
          <xm:sqref>D42:E42</xm:sqref>
        </x14:conditionalFormatting>
        <x14:conditionalFormatting xmlns:xm="http://schemas.microsoft.com/office/excel/2006/main">
          <x14:cfRule type="expression" priority="17" stopIfTrue="1" id="{F0BC7A0A-A430-4C01-8EA2-60C2E471059A}">
            <xm:f xml:space="preserve"> OR($X$42=+テーブル!A2,$X$42=+テーブル!A4,$X$42=+テーブル!A9,$X$42=+テーブル!A11,$X$42=+テーブル!A12,$X$42=+テーブル!A14,$X$42=+テーブル!A16)</xm:f>
            <x14:dxf>
              <font>
                <color rgb="FFFF0000"/>
              </font>
            </x14:dxf>
          </x14:cfRule>
          <xm:sqref>F42:G42</xm:sqref>
        </x14:conditionalFormatting>
        <x14:conditionalFormatting xmlns:xm="http://schemas.microsoft.com/office/excel/2006/main">
          <x14:cfRule type="expression" priority="16" stopIfTrue="1" id="{E08FEF87-AED1-4701-A728-CA4C571A488E}">
            <xm:f xml:space="preserve"> OR($X$42=+テーブル!A2,$X$42=+テーブル!A3,$X$42=+テーブル!A4,$X$42=+テーブル!A9,$X$42=+テーブル!A10,$X$42=+テーブル!A11,$X$42=+テーブル!A12,$X$42=+テーブル!A13,$X$42=+テーブル!A14,$X$42=+テーブル!A16)</xm:f>
            <x14:dxf>
              <font>
                <color rgb="FFFF0000"/>
              </font>
            </x14:dxf>
          </x14:cfRule>
          <xm:sqref>H42:I42</xm:sqref>
        </x14:conditionalFormatting>
        <x14:conditionalFormatting xmlns:xm="http://schemas.microsoft.com/office/excel/2006/main">
          <x14:cfRule type="expression" priority="15" stopIfTrue="1" id="{63D1F6CC-F22B-4308-97BA-79457CFC42B3}">
            <xm:f xml:space="preserve"> OR($X$43=+テーブル!A2,$X$43=+テーブル!A3,$X$43=+テーブル!A9,$X$43=+テーブル!A10,$X$43=+テーブル!A12,$X$43=+テーブル!A13,$X$43=+テーブル!A16)</xm:f>
            <x14:dxf>
              <font>
                <color rgb="FFFF0000"/>
              </font>
            </x14:dxf>
          </x14:cfRule>
          <xm:sqref>D43:E43</xm:sqref>
        </x14:conditionalFormatting>
        <x14:conditionalFormatting xmlns:xm="http://schemas.microsoft.com/office/excel/2006/main">
          <x14:cfRule type="expression" priority="14" stopIfTrue="1" id="{130F8A9D-54EE-4BEF-9EA7-BA204588116D}">
            <xm:f xml:space="preserve"> OR($X$43=+テーブル!A2,$X$43=+テーブル!A4,$X$43=+テーブル!A9,$X$43=+テーブル!A11,$X$43=+テーブル!A12,$X$43=+テーブル!A14,$X$43=+テーブル!A16)</xm:f>
            <x14:dxf>
              <font>
                <color rgb="FFFF0000"/>
              </font>
            </x14:dxf>
          </x14:cfRule>
          <xm:sqref>F43:G43</xm:sqref>
        </x14:conditionalFormatting>
        <x14:conditionalFormatting xmlns:xm="http://schemas.microsoft.com/office/excel/2006/main">
          <x14:cfRule type="expression" priority="13" stopIfTrue="1" id="{C2188B10-5A37-418D-80FD-E7E1A8AE1AE2}">
            <xm:f xml:space="preserve"> OR($X$43=+テーブル!A2,$X$43=+テーブル!A3,$X$43=+テーブル!A4,$X$43=+テーブル!A9,$X$43=+テーブル!A10,$X$43=+テーブル!A11,$X$43=+テーブル!A12,$X$43=+テーブル!A13,$X$43=+テーブル!A14,$X$43=+テーブル!A16)</xm:f>
            <x14:dxf>
              <font>
                <color rgb="FFFF0000"/>
              </font>
            </x14:dxf>
          </x14:cfRule>
          <xm:sqref>H43:I43</xm:sqref>
        </x14:conditionalFormatting>
        <x14:conditionalFormatting xmlns:xm="http://schemas.microsoft.com/office/excel/2006/main">
          <x14:cfRule type="expression" priority="12" stopIfTrue="1" id="{2649E5C9-A9E6-4026-982A-0A8235F13639}">
            <xm:f xml:space="preserve"> OR($X$44=+テーブル!A2,$X$44=+テーブル!A3,$X$44=+テーブル!A9,$X$44=+テーブル!A10,$X$44=+テーブル!A12,$X$44=+テーブル!A13,$X$44=+テーブル!A16)</xm:f>
            <x14:dxf>
              <font>
                <color rgb="FFFF0000"/>
              </font>
            </x14:dxf>
          </x14:cfRule>
          <xm:sqref>D44:E44</xm:sqref>
        </x14:conditionalFormatting>
        <x14:conditionalFormatting xmlns:xm="http://schemas.microsoft.com/office/excel/2006/main">
          <x14:cfRule type="expression" priority="11" stopIfTrue="1" id="{9BFF0602-7F91-4F2B-BDEF-C66FD812F535}">
            <xm:f xml:space="preserve"> OR($X$44=+テーブル!A2,$X$44=+テーブル!A4,$X$44=+テーブル!A9,$X$44=+テーブル!A11,$X$44=+テーブル!A12,$X$44=+テーブル!A14,$X$44=+テーブル!A16)</xm:f>
            <x14:dxf>
              <font>
                <color rgb="FFFF0000"/>
              </font>
            </x14:dxf>
          </x14:cfRule>
          <xm:sqref>F44:G44</xm:sqref>
        </x14:conditionalFormatting>
        <x14:conditionalFormatting xmlns:xm="http://schemas.microsoft.com/office/excel/2006/main">
          <x14:cfRule type="expression" priority="10" stopIfTrue="1" id="{B13E1768-DD9F-4AF4-8BBD-41595EF57A61}">
            <xm:f xml:space="preserve"> OR($X$44=+テーブル!A2,$X$44=+テーブル!A3,$X$44=+テーブル!A4,$X$44=+テーブル!A9,$X$44=+テーブル!A10,$X$44=+テーブル!A11,$X$44=+テーブル!A12,$X$44=+テーブル!A13,$X$44=+テーブル!A14,$X$44=+テーブル!A16)</xm:f>
            <x14:dxf>
              <font>
                <color rgb="FFFF0000"/>
              </font>
            </x14:dxf>
          </x14:cfRule>
          <xm:sqref>H44:I44</xm:sqref>
        </x14:conditionalFormatting>
        <x14:conditionalFormatting xmlns:xm="http://schemas.microsoft.com/office/excel/2006/main">
          <x14:cfRule type="expression" priority="9" stopIfTrue="1" id="{A4F04415-EB7F-4D23-A5EB-A59B214257D7}">
            <xm:f xml:space="preserve"> OR($X$45=+テーブル!A2,$X$45=+テーブル!A3,$X$45=+テーブル!A9,$X$45=+テーブル!A10,$X$45=+テーブル!A12,$X$45=+テーブル!A13,$X$45=+テーブル!A16)</xm:f>
            <x14:dxf>
              <font>
                <color rgb="FFFF0000"/>
              </font>
            </x14:dxf>
          </x14:cfRule>
          <xm:sqref>D45:E45</xm:sqref>
        </x14:conditionalFormatting>
        <x14:conditionalFormatting xmlns:xm="http://schemas.microsoft.com/office/excel/2006/main">
          <x14:cfRule type="expression" priority="8" stopIfTrue="1" id="{64D78A47-E083-4A07-B584-AF3C2B221F01}">
            <xm:f xml:space="preserve"> OR($X$45=+テーブル!A2,$X$45=+テーブル!A4,$X$45=+テーブル!A9,$X$45=+テーブル!A11,$X$45=+テーブル!A12,$X$45=+テーブル!A14,$X$45=+テーブル!A16)</xm:f>
            <x14:dxf>
              <font>
                <color rgb="FFFF0000"/>
              </font>
            </x14:dxf>
          </x14:cfRule>
          <xm:sqref>F45:G45</xm:sqref>
        </x14:conditionalFormatting>
        <x14:conditionalFormatting xmlns:xm="http://schemas.microsoft.com/office/excel/2006/main">
          <x14:cfRule type="expression" priority="7" stopIfTrue="1" id="{BFBA9F91-981F-4F7C-9A0C-2F8CFFE531FD}">
            <xm:f xml:space="preserve"> OR($X$45=+テーブル!A2,$X$45=+テーブル!A3,$X$45=+テーブル!A4,$X$45=+テーブル!A9,$X$45=+テーブル!A10,$X$45=+テーブル!A11,$X$45=+テーブル!A12,$X$45=+テーブル!A13,$X$45=+テーブル!A14,$X$45=+テーブル!A16)</xm:f>
            <x14:dxf>
              <font>
                <color rgb="FFFF0000"/>
              </font>
            </x14:dxf>
          </x14:cfRule>
          <xm:sqref>H45:I45</xm:sqref>
        </x14:conditionalFormatting>
        <x14:conditionalFormatting xmlns:xm="http://schemas.microsoft.com/office/excel/2006/main">
          <x14:cfRule type="expression" priority="6" stopIfTrue="1" id="{EDD66461-0873-4D8C-8AF3-523F53A51CBE}">
            <xm:f xml:space="preserve"> OR($X$46=+テーブル!A2,$X$46=+テーブル!A3,$X$46=+テーブル!A9,$X$46=+テーブル!A10,$X$46=+テーブル!A12,$X$46=+テーブル!A13,$X$46=+テーブル!A16)</xm:f>
            <x14:dxf>
              <font>
                <color rgb="FFFF0000"/>
              </font>
            </x14:dxf>
          </x14:cfRule>
          <xm:sqref>D46:E46</xm:sqref>
        </x14:conditionalFormatting>
        <x14:conditionalFormatting xmlns:xm="http://schemas.microsoft.com/office/excel/2006/main">
          <x14:cfRule type="expression" priority="5" stopIfTrue="1" id="{72C63BE1-22EF-41E3-A4AC-A8ACEF4F2C4B}">
            <xm:f xml:space="preserve"> OR($X$46=+テーブル!A2,$X$46=+テーブル!A4,$X$46=+テーブル!A9,$X$46=+テーブル!A11,$X$46=+テーブル!A12,$X$46=+テーブル!A14,$X$46=+テーブル!A16)</xm:f>
            <x14:dxf>
              <font>
                <color rgb="FFFF0000"/>
              </font>
            </x14:dxf>
          </x14:cfRule>
          <xm:sqref>F46:G46</xm:sqref>
        </x14:conditionalFormatting>
        <x14:conditionalFormatting xmlns:xm="http://schemas.microsoft.com/office/excel/2006/main">
          <x14:cfRule type="expression" priority="4" stopIfTrue="1" id="{83C736EA-A11E-4840-A40B-D8BAD44F1F4E}">
            <xm:f xml:space="preserve"> OR($X$46=+テーブル!A2,$X$46=+テーブル!A3,$X$46=+テーブル!A4,$X$46=+テーブル!A9,$X$46=+テーブル!A10,$X$46=+テーブル!A11,$X$46=+テーブル!A12,$X$46=+テーブル!A13,$X$46=+テーブル!A14,$X$46=+テーブル!A16)</xm:f>
            <x14:dxf>
              <font>
                <color rgb="FFFF0000"/>
              </font>
            </x14:dxf>
          </x14:cfRule>
          <xm:sqref>H46:I46</xm:sqref>
        </x14:conditionalFormatting>
        <x14:conditionalFormatting xmlns:xm="http://schemas.microsoft.com/office/excel/2006/main">
          <x14:cfRule type="expression" priority="3" stopIfTrue="1" id="{9D8807E4-AF9F-4BBE-A144-2B2E1AC72842}">
            <xm:f xml:space="preserve"> OR($X$47=+テーブル!A2,$X$47=+テーブル!A3,$X$47=+テーブル!A9,$X$47=+テーブル!A10,$X$47=+テーブル!A12,$X$47=+テーブル!A13,$X$47=+テーブル!A16)</xm:f>
            <x14:dxf>
              <font>
                <color rgb="FFFF0000"/>
              </font>
            </x14:dxf>
          </x14:cfRule>
          <xm:sqref>D47:E47</xm:sqref>
        </x14:conditionalFormatting>
        <x14:conditionalFormatting xmlns:xm="http://schemas.microsoft.com/office/excel/2006/main">
          <x14:cfRule type="expression" priority="2" stopIfTrue="1" id="{941D596C-BEC4-4686-902C-02E725C669C7}">
            <xm:f xml:space="preserve"> OR($X$47=+テーブル!A2,$X$47=+テーブル!A4,$X$47=+テーブル!A9,$X$47=+テーブル!A11,$X$47=+テーブル!A12,$X$47=+テーブル!A14,$X$47=+テーブル!A16)</xm:f>
            <x14:dxf>
              <font>
                <color rgb="FFFF0000"/>
              </font>
            </x14:dxf>
          </x14:cfRule>
          <xm:sqref>F47:G47</xm:sqref>
        </x14:conditionalFormatting>
        <x14:conditionalFormatting xmlns:xm="http://schemas.microsoft.com/office/excel/2006/main">
          <x14:cfRule type="expression" priority="1" stopIfTrue="1" id="{326184B7-023F-40DC-AD27-E7ADCB65441C}">
            <xm:f xml:space="preserve"> OR($X$47=+テーブル!A2,$X$47=+テーブル!A3,$X$47=+テーブル!A4,$X$47=+テーブル!A9,$X$47=+テーブル!A10,$X$47=+テーブル!A11,$X$47=+テーブル!A12,$X$47=+テーブル!A13,$X$47=+テーブル!A14,$X$47=+テーブル!A16)</xm:f>
            <x14:dxf>
              <font>
                <color rgb="FFFF0000"/>
              </font>
            </x14:dxf>
          </x14:cfRule>
          <xm:sqref>H47:I47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E40850E-9B54-45D5-AF6B-858F49D97F89}">
          <x14:formula1>
            <xm:f>テーブル!$Q:$Q</xm:f>
          </x14:formula1>
          <xm:sqref>D62:I64</xm:sqref>
        </x14:dataValidation>
        <x14:dataValidation type="list" allowBlank="1" showInputMessage="1" showErrorMessage="1" xr:uid="{A0D0FF79-7D26-4ADE-962B-12E63341A94A}">
          <x14:formula1>
            <xm:f>テーブル!$P:$P</xm:f>
          </x14:formula1>
          <xm:sqref>D61:I61</xm:sqref>
        </x14:dataValidation>
        <x14:dataValidation type="list" allowBlank="1" showInputMessage="1" showErrorMessage="1" xr:uid="{1206EB91-7EC9-495C-8645-53F32B2B1DCE}">
          <x14:formula1>
            <xm:f>テーブル!$B:$B</xm:f>
          </x14:formula1>
          <xm:sqref>P57:W57</xm:sqref>
        </x14:dataValidation>
        <x14:dataValidation type="list" allowBlank="1" showInputMessage="1" showErrorMessage="1" xr:uid="{1739F4F4-BB06-42D5-84DC-1B6378DBB59C}">
          <x14:formula1>
            <xm:f>テーブル!$A:$A</xm:f>
          </x14:formula1>
          <xm:sqref>X17:Z47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880DD-CD54-460C-B20B-7C8B9425B57E}">
  <sheetPr codeName="Sheet37">
    <pageSetUpPr fitToPage="1"/>
  </sheetPr>
  <dimension ref="A1:AH83"/>
  <sheetViews>
    <sheetView view="pageBreakPreview" zoomScaleNormal="130" zoomScaleSheetLayoutView="100" workbookViewId="0">
      <pane ySplit="16" topLeftCell="A17" activePane="bottomLeft" state="frozen"/>
      <selection activeCell="AC46" sqref="AC46"/>
      <selection pane="bottomLeft" activeCell="AC46" sqref="AC46"/>
    </sheetView>
  </sheetViews>
  <sheetFormatPr defaultRowHeight="13" x14ac:dyDescent="0.2"/>
  <cols>
    <col min="1" max="1" width="5.36328125" customWidth="1"/>
    <col min="2" max="7" width="3.6328125" customWidth="1"/>
    <col min="8" max="8" width="4.36328125" customWidth="1"/>
    <col min="9" max="12" width="3.6328125" customWidth="1"/>
    <col min="13" max="15" width="3.90625" customWidth="1"/>
    <col min="16" max="26" width="3.6328125" customWidth="1"/>
    <col min="27" max="28" width="10.453125" bestFit="1" customWidth="1"/>
    <col min="257" max="282" width="3.6328125" customWidth="1"/>
    <col min="513" max="538" width="3.6328125" customWidth="1"/>
    <col min="769" max="794" width="3.6328125" customWidth="1"/>
    <col min="1025" max="1050" width="3.6328125" customWidth="1"/>
    <col min="1281" max="1306" width="3.6328125" customWidth="1"/>
    <col min="1537" max="1562" width="3.6328125" customWidth="1"/>
    <col min="1793" max="1818" width="3.6328125" customWidth="1"/>
    <col min="2049" max="2074" width="3.6328125" customWidth="1"/>
    <col min="2305" max="2330" width="3.6328125" customWidth="1"/>
    <col min="2561" max="2586" width="3.6328125" customWidth="1"/>
    <col min="2817" max="2842" width="3.6328125" customWidth="1"/>
    <col min="3073" max="3098" width="3.6328125" customWidth="1"/>
    <col min="3329" max="3354" width="3.6328125" customWidth="1"/>
    <col min="3585" max="3610" width="3.6328125" customWidth="1"/>
    <col min="3841" max="3866" width="3.6328125" customWidth="1"/>
    <col min="4097" max="4122" width="3.6328125" customWidth="1"/>
    <col min="4353" max="4378" width="3.6328125" customWidth="1"/>
    <col min="4609" max="4634" width="3.6328125" customWidth="1"/>
    <col min="4865" max="4890" width="3.6328125" customWidth="1"/>
    <col min="5121" max="5146" width="3.6328125" customWidth="1"/>
    <col min="5377" max="5402" width="3.6328125" customWidth="1"/>
    <col min="5633" max="5658" width="3.6328125" customWidth="1"/>
    <col min="5889" max="5914" width="3.6328125" customWidth="1"/>
    <col min="6145" max="6170" width="3.6328125" customWidth="1"/>
    <col min="6401" max="6426" width="3.6328125" customWidth="1"/>
    <col min="6657" max="6682" width="3.6328125" customWidth="1"/>
    <col min="6913" max="6938" width="3.6328125" customWidth="1"/>
    <col min="7169" max="7194" width="3.6328125" customWidth="1"/>
    <col min="7425" max="7450" width="3.6328125" customWidth="1"/>
    <col min="7681" max="7706" width="3.6328125" customWidth="1"/>
    <col min="7937" max="7962" width="3.6328125" customWidth="1"/>
    <col min="8193" max="8218" width="3.6328125" customWidth="1"/>
    <col min="8449" max="8474" width="3.6328125" customWidth="1"/>
    <col min="8705" max="8730" width="3.6328125" customWidth="1"/>
    <col min="8961" max="8986" width="3.6328125" customWidth="1"/>
    <col min="9217" max="9242" width="3.6328125" customWidth="1"/>
    <col min="9473" max="9498" width="3.6328125" customWidth="1"/>
    <col min="9729" max="9754" width="3.6328125" customWidth="1"/>
    <col min="9985" max="10010" width="3.6328125" customWidth="1"/>
    <col min="10241" max="10266" width="3.6328125" customWidth="1"/>
    <col min="10497" max="10522" width="3.6328125" customWidth="1"/>
    <col min="10753" max="10778" width="3.6328125" customWidth="1"/>
    <col min="11009" max="11034" width="3.6328125" customWidth="1"/>
    <col min="11265" max="11290" width="3.6328125" customWidth="1"/>
    <col min="11521" max="11546" width="3.6328125" customWidth="1"/>
    <col min="11777" max="11802" width="3.6328125" customWidth="1"/>
    <col min="12033" max="12058" width="3.6328125" customWidth="1"/>
    <col min="12289" max="12314" width="3.6328125" customWidth="1"/>
    <col min="12545" max="12570" width="3.6328125" customWidth="1"/>
    <col min="12801" max="12826" width="3.6328125" customWidth="1"/>
    <col min="13057" max="13082" width="3.6328125" customWidth="1"/>
    <col min="13313" max="13338" width="3.6328125" customWidth="1"/>
    <col min="13569" max="13594" width="3.6328125" customWidth="1"/>
    <col min="13825" max="13850" width="3.6328125" customWidth="1"/>
    <col min="14081" max="14106" width="3.6328125" customWidth="1"/>
    <col min="14337" max="14362" width="3.6328125" customWidth="1"/>
    <col min="14593" max="14618" width="3.6328125" customWidth="1"/>
    <col min="14849" max="14874" width="3.6328125" customWidth="1"/>
    <col min="15105" max="15130" width="3.6328125" customWidth="1"/>
    <col min="15361" max="15386" width="3.6328125" customWidth="1"/>
    <col min="15617" max="15642" width="3.6328125" customWidth="1"/>
    <col min="15873" max="15898" width="3.6328125" customWidth="1"/>
    <col min="16129" max="16154" width="3.6328125" customWidth="1"/>
  </cols>
  <sheetData>
    <row r="1" spans="1:32" ht="8" customHeight="1" x14ac:dyDescent="0.2">
      <c r="A1" s="55">
        <v>45413</v>
      </c>
      <c r="B1" s="85">
        <v>45413</v>
      </c>
      <c r="AB1" s="55"/>
      <c r="AC1" s="57"/>
    </row>
    <row r="2" spans="1:32" ht="8" customHeight="1" x14ac:dyDescent="0.2">
      <c r="A2" s="3"/>
      <c r="B2" s="3"/>
      <c r="C2" s="3"/>
      <c r="D2" s="3"/>
      <c r="E2" s="3"/>
      <c r="F2" s="3"/>
      <c r="G2" s="3"/>
      <c r="H2" s="3"/>
      <c r="I2" s="3"/>
      <c r="J2" s="4"/>
      <c r="K2" s="4"/>
      <c r="L2" s="5"/>
      <c r="M2" s="6"/>
      <c r="N2" s="6"/>
      <c r="O2" s="6"/>
      <c r="P2" s="4"/>
      <c r="X2" t="s">
        <v>66</v>
      </c>
      <c r="Y2" s="361">
        <f>LOOKUP(10^10,Ver管理!C3:C33)</f>
        <v>6</v>
      </c>
      <c r="Z2" s="361"/>
    </row>
    <row r="3" spans="1:32" ht="10" customHeight="1" thickBot="1" x14ac:dyDescent="0.25">
      <c r="A3" s="362">
        <f ca="1">+VLOOKUP(AB5,テーブル!L:M,2,0)</f>
        <v>46419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2"/>
      <c r="R3" s="362"/>
      <c r="S3" s="362"/>
      <c r="T3" s="362"/>
      <c r="U3" s="362"/>
      <c r="V3" s="362"/>
      <c r="W3" s="362"/>
      <c r="X3" s="362"/>
      <c r="Y3" s="362"/>
      <c r="Z3" s="362"/>
    </row>
    <row r="4" spans="1:32" ht="10" customHeight="1" x14ac:dyDescent="0.2">
      <c r="A4" s="362"/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B4" s="68"/>
      <c r="AC4" s="69"/>
      <c r="AD4" s="70"/>
    </row>
    <row r="5" spans="1:32" ht="14.15" customHeight="1" x14ac:dyDescent="0.2">
      <c r="A5" s="363" t="s">
        <v>202</v>
      </c>
      <c r="B5" s="363"/>
      <c r="C5" s="363"/>
      <c r="D5" s="363"/>
      <c r="E5" s="364" t="str">
        <f>+'1月'!$E$5</f>
        <v>NMHT　社員</v>
      </c>
      <c r="F5" s="364"/>
      <c r="G5" s="364"/>
      <c r="H5" s="364"/>
      <c r="I5" s="364"/>
      <c r="J5" s="7"/>
      <c r="K5" s="7"/>
      <c r="L5" s="7"/>
      <c r="M5" s="7"/>
      <c r="N5" s="7"/>
      <c r="O5" s="7"/>
      <c r="P5" s="7" t="str">
        <f ca="1">IF(_xlfn.XLOOKUP(当月,テーブル!U:U,テーブル!V:V,0,FALSE)+_xlfn.XLOOKUP(当月,テーブル!U:U,テーブル!W:W,0,FALSE)&lt;&gt;_xlfn.XLOOKUP(AB6,テーブル!U:U,テーブル!V:V,0,FALSE)+_xlfn.XLOOKUP(AB6,テーブル!U:U,テーブル!W:W,0,FALSE),"基給+手当1に前月と差異があります。","")</f>
        <v/>
      </c>
      <c r="Q5" s="7"/>
      <c r="R5" s="8"/>
      <c r="S5" s="8"/>
      <c r="T5" s="8"/>
      <c r="U5" s="8"/>
      <c r="AB5" s="71" t="str" cm="1">
        <f t="array" aca="1" ref="AB5" ca="1">RIGHT(CELL("filename",A1),LEN(CELL("filename",A1))-FIND("]",CELL("filename",A1)))</f>
        <v>2月</v>
      </c>
      <c r="AC5" t="s">
        <v>158</v>
      </c>
      <c r="AD5" s="72"/>
    </row>
    <row r="6" spans="1:32" ht="14.15" customHeight="1" x14ac:dyDescent="0.25">
      <c r="A6" s="366">
        <f>+'1月'!$A$6</f>
        <v>2000002</v>
      </c>
      <c r="B6" s="366"/>
      <c r="C6" s="366"/>
      <c r="D6" s="366"/>
      <c r="E6" s="365"/>
      <c r="F6" s="365"/>
      <c r="G6" s="365"/>
      <c r="H6" s="365"/>
      <c r="I6" s="365"/>
      <c r="J6" s="9" t="s">
        <v>98</v>
      </c>
      <c r="K6" s="108" t="str">
        <f ca="1">HYPERLINK(LEFT(TEXT(CELL("filename",B2),0),SEARCH("\[",TEXT(CELL("filename",B2),0),1)-1)&amp;"\")</f>
        <v>Z:\マクロ保管場所谷津用\2月控除分\</v>
      </c>
      <c r="L6" s="5"/>
      <c r="M6" s="6"/>
      <c r="N6" s="6"/>
      <c r="O6" s="6"/>
      <c r="P6" s="4"/>
      <c r="AB6" s="71" t="str">
        <f ca="1">+IF(SUBSTITUTE(当月,"月","")-1=0,12,SUBSTITUTE(当月,"月","")-1) &amp; "月"</f>
        <v>1月</v>
      </c>
      <c r="AC6" s="74" t="s">
        <v>170</v>
      </c>
      <c r="AD6" s="72"/>
    </row>
    <row r="7" spans="1:32" ht="14.15" customHeight="1" x14ac:dyDescent="0.2">
      <c r="I7" s="3"/>
      <c r="K7" s="11"/>
      <c r="N7" s="368"/>
      <c r="O7" s="368"/>
      <c r="P7" s="367" t="s">
        <v>272</v>
      </c>
      <c r="Q7" s="358"/>
      <c r="R7" s="358"/>
      <c r="S7" s="358"/>
      <c r="T7" s="358"/>
      <c r="U7" s="358"/>
      <c r="V7" s="358"/>
      <c r="W7" s="358"/>
      <c r="X7" s="358"/>
      <c r="Y7" s="358"/>
      <c r="Z7" s="358"/>
      <c r="AB7" s="73"/>
      <c r="AC7" s="56">
        <v>0.91666666666666663</v>
      </c>
      <c r="AD7" s="72"/>
    </row>
    <row r="8" spans="1:32" ht="14.15" hidden="1" customHeight="1" thickBot="1" x14ac:dyDescent="0.25">
      <c r="A8" s="163" t="s">
        <v>99</v>
      </c>
      <c r="B8" s="120"/>
      <c r="C8" s="350" t="str">
        <f>+'1月'!C8</f>
        <v>株式会社エヌエム・ヒューマテック</v>
      </c>
      <c r="D8" s="351"/>
      <c r="E8" s="351"/>
      <c r="F8" s="351"/>
      <c r="G8" s="351"/>
      <c r="H8" s="351"/>
      <c r="I8" s="352"/>
      <c r="J8" s="353"/>
      <c r="K8" s="11"/>
      <c r="L8" s="1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B8" s="75">
        <f ca="1">+IF(給与体系="管理監督者",0,IF(給与体系="月給制",1,2))</f>
        <v>2</v>
      </c>
      <c r="AC8" s="76">
        <v>0.20833333333333334</v>
      </c>
      <c r="AD8" s="77"/>
    </row>
    <row r="9" spans="1:32" ht="14.15" hidden="1" customHeight="1" x14ac:dyDescent="0.2">
      <c r="A9" s="166"/>
      <c r="B9" s="123"/>
      <c r="C9" s="354"/>
      <c r="D9" s="355"/>
      <c r="E9" s="355"/>
      <c r="F9" s="355"/>
      <c r="G9" s="355"/>
      <c r="H9" s="355"/>
      <c r="I9" s="356"/>
      <c r="J9" s="357"/>
      <c r="K9" s="13"/>
      <c r="P9" s="53"/>
      <c r="Q9" s="54" t="s">
        <v>269</v>
      </c>
      <c r="R9" s="52"/>
      <c r="S9" s="52"/>
      <c r="T9" s="358" t="s">
        <v>270</v>
      </c>
      <c r="U9" s="358"/>
      <c r="V9" s="358"/>
      <c r="W9" s="358"/>
      <c r="X9" s="358"/>
      <c r="Y9" s="358"/>
      <c r="Z9" s="358"/>
    </row>
    <row r="10" spans="1:32" ht="14.15" hidden="1" customHeight="1" x14ac:dyDescent="0.2">
      <c r="A10" s="163" t="s">
        <v>100</v>
      </c>
      <c r="B10" s="120"/>
      <c r="C10" s="359" t="str">
        <f>+'1月'!C10</f>
        <v>管理部</v>
      </c>
      <c r="D10" s="332"/>
      <c r="E10" s="332"/>
      <c r="F10" s="332"/>
      <c r="G10" s="332"/>
      <c r="H10" s="332"/>
      <c r="I10" s="333"/>
      <c r="J10" s="334"/>
      <c r="K10" s="13"/>
      <c r="P10" s="53"/>
      <c r="Q10" s="52"/>
      <c r="R10" s="52"/>
      <c r="S10" s="52"/>
      <c r="T10" s="360" t="s">
        <v>271</v>
      </c>
      <c r="U10" s="360"/>
      <c r="V10" s="360"/>
      <c r="W10" s="360"/>
      <c r="X10" s="360"/>
      <c r="Y10" s="360"/>
      <c r="Z10" s="360"/>
    </row>
    <row r="11" spans="1:32" ht="14.15" hidden="1" customHeight="1" x14ac:dyDescent="0.2">
      <c r="A11" s="166"/>
      <c r="B11" s="123"/>
      <c r="C11" s="335"/>
      <c r="D11" s="336"/>
      <c r="E11" s="336"/>
      <c r="F11" s="336"/>
      <c r="G11" s="336"/>
      <c r="H11" s="336"/>
      <c r="I11" s="337"/>
      <c r="J11" s="338"/>
      <c r="K11" s="4"/>
      <c r="L11" s="4"/>
      <c r="P11" s="52"/>
      <c r="Q11" s="54" t="s">
        <v>96</v>
      </c>
      <c r="R11" s="54"/>
      <c r="S11" s="53"/>
      <c r="T11" s="54"/>
      <c r="U11" s="53"/>
      <c r="V11" s="54" t="s">
        <v>97</v>
      </c>
      <c r="W11" s="54"/>
      <c r="X11" s="52"/>
      <c r="Y11" s="52"/>
      <c r="Z11" s="52"/>
      <c r="AE11" t="s">
        <v>178</v>
      </c>
    </row>
    <row r="12" spans="1:32" ht="14.15" hidden="1" customHeight="1" x14ac:dyDescent="0.2">
      <c r="A12" s="163" t="s">
        <v>101</v>
      </c>
      <c r="B12" s="120"/>
      <c r="C12" s="331"/>
      <c r="D12" s="332"/>
      <c r="E12" s="332"/>
      <c r="F12" s="332"/>
      <c r="G12" s="332"/>
      <c r="H12" s="332"/>
      <c r="I12" s="333"/>
      <c r="J12" s="334"/>
      <c r="K12" s="13"/>
      <c r="M12" s="15"/>
      <c r="N12" s="15"/>
      <c r="O12" s="14"/>
      <c r="P12" s="14"/>
      <c r="Q12" s="14"/>
      <c r="R12" s="14"/>
      <c r="S12" s="14"/>
      <c r="T12" s="14"/>
      <c r="U12" s="14"/>
      <c r="V12" s="8"/>
      <c r="W12" s="8"/>
      <c r="AF12">
        <f ca="1">+IFERROR(((MAX(0,超過勤務時間計+深夜残業時間計-60)*1.5+MIN(60,超過勤務時間計+深夜残業時間計)*1.25))/(超過勤務時間計),0)</f>
        <v>0</v>
      </c>
    </row>
    <row r="13" spans="1:32" ht="14.15" hidden="1" customHeight="1" x14ac:dyDescent="0.2">
      <c r="A13" s="166"/>
      <c r="B13" s="123"/>
      <c r="C13" s="335"/>
      <c r="D13" s="336"/>
      <c r="E13" s="336"/>
      <c r="F13" s="336"/>
      <c r="G13" s="336"/>
      <c r="H13" s="336"/>
      <c r="I13" s="337"/>
      <c r="J13" s="338"/>
      <c r="K13" s="13"/>
      <c r="M13" s="16"/>
      <c r="N13" s="15"/>
      <c r="O13" s="14"/>
      <c r="P13" s="14"/>
      <c r="Q13" s="14"/>
      <c r="R13" s="14"/>
      <c r="S13" s="14">
        <f>+'1月'!S13</f>
        <v>0</v>
      </c>
    </row>
    <row r="14" spans="1:32" ht="14.15" hidden="1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4"/>
      <c r="K14" s="4"/>
      <c r="L14" s="4"/>
      <c r="M14" s="4"/>
      <c r="N14" s="17"/>
      <c r="O14" s="4"/>
      <c r="P14" s="4"/>
      <c r="U14" s="18"/>
    </row>
    <row r="15" spans="1:32" ht="14.15" customHeight="1" x14ac:dyDescent="0.2">
      <c r="A15" s="339" t="s">
        <v>5</v>
      </c>
      <c r="B15" s="340"/>
      <c r="C15" s="339" t="s">
        <v>6</v>
      </c>
      <c r="D15" s="312" t="s">
        <v>36</v>
      </c>
      <c r="E15" s="343"/>
      <c r="F15" s="343"/>
      <c r="G15" s="313"/>
      <c r="H15" s="344" t="s">
        <v>37</v>
      </c>
      <c r="I15" s="345"/>
      <c r="J15" s="345" t="s">
        <v>7</v>
      </c>
      <c r="K15" s="348"/>
      <c r="L15" s="314" t="s">
        <v>8</v>
      </c>
      <c r="M15" s="325"/>
      <c r="N15" s="328" t="s">
        <v>9</v>
      </c>
      <c r="O15" s="315"/>
      <c r="P15" s="314" t="s">
        <v>10</v>
      </c>
      <c r="Q15" s="315"/>
      <c r="R15" s="314" t="s">
        <v>11</v>
      </c>
      <c r="S15" s="315"/>
      <c r="T15" s="314" t="s">
        <v>12</v>
      </c>
      <c r="U15" s="315"/>
      <c r="V15" s="314" t="s">
        <v>43</v>
      </c>
      <c r="W15" s="315"/>
      <c r="X15" s="304" t="s">
        <v>122</v>
      </c>
      <c r="Y15" s="305"/>
      <c r="Z15" s="306"/>
      <c r="AA15" s="310" t="s">
        <v>107</v>
      </c>
      <c r="AB15" t="s">
        <v>32</v>
      </c>
    </row>
    <row r="16" spans="1:32" ht="14.15" customHeight="1" x14ac:dyDescent="0.2">
      <c r="A16" s="341"/>
      <c r="B16" s="342"/>
      <c r="C16" s="341"/>
      <c r="D16" s="312" t="s">
        <v>14</v>
      </c>
      <c r="E16" s="313"/>
      <c r="F16" s="312" t="s">
        <v>15</v>
      </c>
      <c r="G16" s="313"/>
      <c r="H16" s="346"/>
      <c r="I16" s="347"/>
      <c r="J16" s="347"/>
      <c r="K16" s="349"/>
      <c r="L16" s="326"/>
      <c r="M16" s="327"/>
      <c r="N16" s="329"/>
      <c r="O16" s="317"/>
      <c r="P16" s="316"/>
      <c r="Q16" s="317"/>
      <c r="R16" s="316"/>
      <c r="S16" s="317"/>
      <c r="T16" s="316"/>
      <c r="U16" s="317"/>
      <c r="V16" s="316"/>
      <c r="W16" s="317"/>
      <c r="X16" s="307"/>
      <c r="Y16" s="308"/>
      <c r="Z16" s="309"/>
      <c r="AA16" s="311"/>
      <c r="AB16" t="s">
        <v>210</v>
      </c>
      <c r="AC16" s="59"/>
    </row>
    <row r="17" spans="1:30" s="59" customFormat="1" ht="14.15" customHeight="1" x14ac:dyDescent="0.2">
      <c r="A17" s="318">
        <f ca="1">A3</f>
        <v>46419</v>
      </c>
      <c r="B17" s="319"/>
      <c r="C17" s="78">
        <f ca="1">IF(A17="","",IF(WEEKDAY(A17,1)=1,1,IF(COUNTIF(祝日管理!B:B,A17)=1,"祝",WEEKDAY(A17,1))))</f>
        <v>2</v>
      </c>
      <c r="D17" s="320"/>
      <c r="E17" s="320"/>
      <c r="F17" s="320"/>
      <c r="G17" s="320"/>
      <c r="H17" s="320"/>
      <c r="I17" s="321"/>
      <c r="J17" s="322">
        <f>IF(OR(D17="",F17="",H17=""),0,IF(F17&gt;D17,F17,F17+24)-D17-H17)</f>
        <v>0</v>
      </c>
      <c r="K17" s="323"/>
      <c r="L17" s="299">
        <f>IF(J17="",0,(HOUR(J17))+(ROUNDDOWN(MINUTE(J17)/60,2)*1))</f>
        <v>0</v>
      </c>
      <c r="M17" s="324"/>
      <c r="N17" s="330">
        <f ca="1">+IF(ISERROR(IF(A17="",0,IF(OR(X17="法休",X17="所休")=1,0,IF(L17=0,0,MIN(8,L17-R17))))),"",IF(A17="","",IF(OR(X17="法休",X17="所休"),0,IF(L17=0,0,MIN(8,L17-R17)))))</f>
        <v>0</v>
      </c>
      <c r="O17" s="300"/>
      <c r="P17" s="299">
        <f ca="1">+IF(ISERROR(IF(A17="","",IF(X17="法休",0,MAX(0,L17-N17-R17)))),0,IF(A17="","",IF(X17="法休",0,MAX(0,L17-N17-R17))))</f>
        <v>0</v>
      </c>
      <c r="Q17" s="300"/>
      <c r="R17" s="299">
        <f ca="1">+IF(A17="",0,IF(X17="法休",0,NOT(OR(D17="",F17=""))*MIN(7,(MAX(0,MIN(F17,$AC$8)-D17)+MAX(0,F17-$AC$7+(D17&gt;F17)))*24)))</f>
        <v>0</v>
      </c>
      <c r="S17" s="300"/>
      <c r="T17" s="299">
        <f t="shared" ref="T17" ca="1" si="0">+IF(A17="",0,IF(X17="法休",L17-V17,0))</f>
        <v>0</v>
      </c>
      <c r="U17" s="300"/>
      <c r="V17" s="299">
        <f t="shared" ref="V17" ca="1" si="1">+IF(A17="",0,IF(X17&lt;&gt;"法休",0,NOT(OR(D17="",F17=""))*MIN(7,(MAX(0,MIN(F17,$AC$8)-D17)+MAX(0,F17-$AC$7+(D17&gt;F17)))*24)))</f>
        <v>0</v>
      </c>
      <c r="W17" s="300"/>
      <c r="X17" s="301" t="s">
        <v>185</v>
      </c>
      <c r="Y17" s="302"/>
      <c r="Z17" s="303"/>
      <c r="AA17" s="79"/>
      <c r="AB17" s="93">
        <f t="shared" ref="AB17:AB46" ca="1" si="2">IF(ISERROR((X17="")*(7.5-N17)),0,(X17="")*(7.5-N17))</f>
        <v>0</v>
      </c>
      <c r="AD17" s="67"/>
    </row>
    <row r="18" spans="1:30" ht="14.15" customHeight="1" x14ac:dyDescent="0.2">
      <c r="A18" s="290">
        <f t="shared" ref="A18:A44" ca="1" si="3">A17+1</f>
        <v>46420</v>
      </c>
      <c r="B18" s="291"/>
      <c r="C18" s="80">
        <f ca="1">IF(A18="","",IF(WEEKDAY(A18,1)=1,1,IF(COUNTIF(祝日管理!B:B,A18)=1,"祝",WEEKDAY(A18,1))))</f>
        <v>3</v>
      </c>
      <c r="D18" s="292"/>
      <c r="E18" s="292"/>
      <c r="F18" s="292"/>
      <c r="G18" s="292"/>
      <c r="H18" s="292"/>
      <c r="I18" s="293"/>
      <c r="J18" s="298">
        <f t="shared" ref="J18:J47" si="4">IF(OR(D18="",F18="",H18=""),0,IF(F18&gt;D18,F18,F18+24)-D18-H18)</f>
        <v>0</v>
      </c>
      <c r="K18" s="294"/>
      <c r="L18" s="285">
        <f t="shared" ref="L18:L47" si="5">IF(J18="",0,(HOUR(J18))+(ROUNDDOWN(MINUTE(J18)/60,2)*1))</f>
        <v>0</v>
      </c>
      <c r="M18" s="296"/>
      <c r="N18" s="297">
        <f t="shared" ref="N18:N47" ca="1" si="6">+IF(ISERROR(IF(A18="",0,IF(OR(X18="法休",X18="所休")=1,0,IF(L18=0,0,MIN(8,L18-R18))))),"",IF(A18="","",IF(OR(X18="法休",X18="所休"),0,IF(L18=0,0,MIN(8,L18-R18)))))</f>
        <v>0</v>
      </c>
      <c r="O18" s="286"/>
      <c r="P18" s="285">
        <f t="shared" ref="P18:P47" ca="1" si="7">+IF(ISERROR(IF(A18="","",IF(X18="法休",0,MAX(0,L18-N18-R18)))),0,IF(A18="","",IF(X18="法休",0,MAX(0,L18-N18-R18))))</f>
        <v>0</v>
      </c>
      <c r="Q18" s="286"/>
      <c r="R18" s="285">
        <f t="shared" ref="R18:R47" ca="1" si="8">+IF(A18="",0,IF(X18="法休",0,NOT(OR(D18="",F18=""))*MIN(7,(MAX(0,MIN(F18,$AC$8)-D18)+MAX(0,F18-$AC$7+(D18&gt;F18)))*24)))</f>
        <v>0</v>
      </c>
      <c r="S18" s="286"/>
      <c r="T18" s="285">
        <f t="shared" ref="T18:T47" ca="1" si="9">+IF(A18="",0,IF(X18="法休",L18-V18,0))</f>
        <v>0</v>
      </c>
      <c r="U18" s="286"/>
      <c r="V18" s="285">
        <f t="shared" ref="V18:V47" ca="1" si="10">+IF(A18="",0,IF(X18&lt;&gt;"法休",0,NOT(OR(D18="",F18=""))*MIN(7,(MAX(0,MIN(F18,$AC$8)-D18)+MAX(0,F18-$AC$7+(D18&gt;F18)))*24)))</f>
        <v>0</v>
      </c>
      <c r="W18" s="286"/>
      <c r="X18" s="287"/>
      <c r="Y18" s="288"/>
      <c r="Z18" s="289"/>
      <c r="AA18" s="81"/>
      <c r="AB18" s="93">
        <f t="shared" ca="1" si="2"/>
        <v>7.5</v>
      </c>
      <c r="AC18" s="59"/>
      <c r="AD18" t="s">
        <v>175</v>
      </c>
    </row>
    <row r="19" spans="1:30" ht="14.15" customHeight="1" x14ac:dyDescent="0.2">
      <c r="A19" s="290">
        <f t="shared" ca="1" si="3"/>
        <v>46421</v>
      </c>
      <c r="B19" s="291"/>
      <c r="C19" s="80">
        <f ca="1">IF(A19="","",IF(WEEKDAY(A19,1)=1,1,IF(COUNTIF(祝日管理!B:B,A19)=1,"祝",WEEKDAY(A19,1))))</f>
        <v>4</v>
      </c>
      <c r="D19" s="292"/>
      <c r="E19" s="292"/>
      <c r="F19" s="292"/>
      <c r="G19" s="292"/>
      <c r="H19" s="292"/>
      <c r="I19" s="293"/>
      <c r="J19" s="298">
        <f t="shared" si="4"/>
        <v>0</v>
      </c>
      <c r="K19" s="294"/>
      <c r="L19" s="285">
        <f t="shared" si="5"/>
        <v>0</v>
      </c>
      <c r="M19" s="296"/>
      <c r="N19" s="297">
        <f t="shared" ca="1" si="6"/>
        <v>0</v>
      </c>
      <c r="O19" s="286"/>
      <c r="P19" s="285">
        <f t="shared" ca="1" si="7"/>
        <v>0</v>
      </c>
      <c r="Q19" s="286"/>
      <c r="R19" s="285">
        <f t="shared" ca="1" si="8"/>
        <v>0</v>
      </c>
      <c r="S19" s="286"/>
      <c r="T19" s="285">
        <f t="shared" ca="1" si="9"/>
        <v>0</v>
      </c>
      <c r="U19" s="286"/>
      <c r="V19" s="285">
        <f t="shared" ca="1" si="10"/>
        <v>0</v>
      </c>
      <c r="W19" s="286"/>
      <c r="X19" s="287"/>
      <c r="Y19" s="288"/>
      <c r="Z19" s="289"/>
      <c r="AA19" s="81"/>
      <c r="AB19" s="93">
        <f t="shared" ca="1" si="2"/>
        <v>7.5</v>
      </c>
      <c r="AC19" s="59"/>
    </row>
    <row r="20" spans="1:30" ht="14.15" customHeight="1" x14ac:dyDescent="0.2">
      <c r="A20" s="290">
        <f t="shared" ca="1" si="3"/>
        <v>46422</v>
      </c>
      <c r="B20" s="291"/>
      <c r="C20" s="80">
        <f ca="1">IF(A20="","",IF(WEEKDAY(A20,1)=1,1,IF(COUNTIF(祝日管理!B:B,A20)=1,"祝",WEEKDAY(A20,1))))</f>
        <v>5</v>
      </c>
      <c r="D20" s="292"/>
      <c r="E20" s="292"/>
      <c r="F20" s="292"/>
      <c r="G20" s="292"/>
      <c r="H20" s="292"/>
      <c r="I20" s="293"/>
      <c r="J20" s="298">
        <f t="shared" si="4"/>
        <v>0</v>
      </c>
      <c r="K20" s="294"/>
      <c r="L20" s="285">
        <f t="shared" si="5"/>
        <v>0</v>
      </c>
      <c r="M20" s="296"/>
      <c r="N20" s="297">
        <f t="shared" ca="1" si="6"/>
        <v>0</v>
      </c>
      <c r="O20" s="286"/>
      <c r="P20" s="285">
        <f t="shared" ca="1" si="7"/>
        <v>0</v>
      </c>
      <c r="Q20" s="286"/>
      <c r="R20" s="285">
        <f t="shared" ca="1" si="8"/>
        <v>0</v>
      </c>
      <c r="S20" s="286"/>
      <c r="T20" s="285">
        <f t="shared" ca="1" si="9"/>
        <v>0</v>
      </c>
      <c r="U20" s="286"/>
      <c r="V20" s="285">
        <f t="shared" ca="1" si="10"/>
        <v>0</v>
      </c>
      <c r="W20" s="286"/>
      <c r="X20" s="287"/>
      <c r="Y20" s="288"/>
      <c r="Z20" s="289"/>
      <c r="AA20" s="81"/>
      <c r="AB20" s="93">
        <f t="shared" ca="1" si="2"/>
        <v>7.5</v>
      </c>
      <c r="AC20" s="59"/>
    </row>
    <row r="21" spans="1:30" ht="14.15" customHeight="1" x14ac:dyDescent="0.2">
      <c r="A21" s="290">
        <f t="shared" ca="1" si="3"/>
        <v>46423</v>
      </c>
      <c r="B21" s="291"/>
      <c r="C21" s="80">
        <f ca="1">IF(A21="","",IF(WEEKDAY(A21,1)=1,1,IF(COUNTIF(祝日管理!B:B,A21)=1,"祝",WEEKDAY(A21,1))))</f>
        <v>6</v>
      </c>
      <c r="D21" s="292"/>
      <c r="E21" s="292"/>
      <c r="F21" s="292"/>
      <c r="G21" s="292"/>
      <c r="H21" s="292"/>
      <c r="I21" s="293"/>
      <c r="J21" s="298">
        <f t="shared" si="4"/>
        <v>0</v>
      </c>
      <c r="K21" s="294"/>
      <c r="L21" s="285">
        <f t="shared" si="5"/>
        <v>0</v>
      </c>
      <c r="M21" s="296"/>
      <c r="N21" s="297">
        <f t="shared" ca="1" si="6"/>
        <v>0</v>
      </c>
      <c r="O21" s="286"/>
      <c r="P21" s="285">
        <f t="shared" ca="1" si="7"/>
        <v>0</v>
      </c>
      <c r="Q21" s="286"/>
      <c r="R21" s="285">
        <f t="shared" ca="1" si="8"/>
        <v>0</v>
      </c>
      <c r="S21" s="286"/>
      <c r="T21" s="285">
        <f t="shared" ca="1" si="9"/>
        <v>0</v>
      </c>
      <c r="U21" s="286"/>
      <c r="V21" s="285">
        <f t="shared" ca="1" si="10"/>
        <v>0</v>
      </c>
      <c r="W21" s="286"/>
      <c r="X21" s="287"/>
      <c r="Y21" s="288"/>
      <c r="Z21" s="289"/>
      <c r="AA21" s="81"/>
      <c r="AB21" s="93">
        <f t="shared" ca="1" si="2"/>
        <v>7.5</v>
      </c>
      <c r="AC21" s="59"/>
      <c r="AD21" t="s">
        <v>176</v>
      </c>
    </row>
    <row r="22" spans="1:30" s="59" customFormat="1" ht="14.15" customHeight="1" x14ac:dyDescent="0.2">
      <c r="A22" s="290">
        <f t="shared" ca="1" si="3"/>
        <v>46424</v>
      </c>
      <c r="B22" s="291"/>
      <c r="C22" s="80">
        <f ca="1">IF(A22="","",IF(WEEKDAY(A22,1)=1,1,IF(COUNTIF(祝日管理!B:B,A22)=1,"祝",WEEKDAY(A22,1))))</f>
        <v>7</v>
      </c>
      <c r="D22" s="292"/>
      <c r="E22" s="292"/>
      <c r="F22" s="292"/>
      <c r="G22" s="292"/>
      <c r="H22" s="292"/>
      <c r="I22" s="293"/>
      <c r="J22" s="298">
        <f t="shared" si="4"/>
        <v>0</v>
      </c>
      <c r="K22" s="294"/>
      <c r="L22" s="285">
        <f t="shared" si="5"/>
        <v>0</v>
      </c>
      <c r="M22" s="296"/>
      <c r="N22" s="297">
        <f t="shared" ca="1" si="6"/>
        <v>0</v>
      </c>
      <c r="O22" s="286"/>
      <c r="P22" s="285">
        <f t="shared" ca="1" si="7"/>
        <v>0</v>
      </c>
      <c r="Q22" s="286"/>
      <c r="R22" s="285">
        <f t="shared" ca="1" si="8"/>
        <v>0</v>
      </c>
      <c r="S22" s="286"/>
      <c r="T22" s="285">
        <f t="shared" ca="1" si="9"/>
        <v>0</v>
      </c>
      <c r="U22" s="286"/>
      <c r="V22" s="285">
        <f t="shared" ca="1" si="10"/>
        <v>0</v>
      </c>
      <c r="W22" s="286"/>
      <c r="X22" s="287"/>
      <c r="Y22" s="288"/>
      <c r="Z22" s="289"/>
      <c r="AA22" s="81"/>
      <c r="AB22" s="93">
        <f t="shared" ca="1" si="2"/>
        <v>7.5</v>
      </c>
    </row>
    <row r="23" spans="1:30" ht="14.15" customHeight="1" x14ac:dyDescent="0.2">
      <c r="A23" s="290">
        <f t="shared" ca="1" si="3"/>
        <v>46425</v>
      </c>
      <c r="B23" s="291"/>
      <c r="C23" s="80">
        <f ca="1">IF(A23="","",IF(WEEKDAY(A23,1)=1,1,IF(COUNTIF(祝日管理!B:B,A23)=1,"祝",WEEKDAY(A23,1))))</f>
        <v>1</v>
      </c>
      <c r="D23" s="292"/>
      <c r="E23" s="292"/>
      <c r="F23" s="292"/>
      <c r="G23" s="292"/>
      <c r="H23" s="292"/>
      <c r="I23" s="293"/>
      <c r="J23" s="298">
        <f t="shared" si="4"/>
        <v>0</v>
      </c>
      <c r="K23" s="294"/>
      <c r="L23" s="285">
        <f t="shared" si="5"/>
        <v>0</v>
      </c>
      <c r="M23" s="296"/>
      <c r="N23" s="297">
        <f t="shared" ca="1" si="6"/>
        <v>0</v>
      </c>
      <c r="O23" s="286"/>
      <c r="P23" s="285">
        <f t="shared" ca="1" si="7"/>
        <v>0</v>
      </c>
      <c r="Q23" s="286"/>
      <c r="R23" s="285">
        <f t="shared" ca="1" si="8"/>
        <v>0</v>
      </c>
      <c r="S23" s="286"/>
      <c r="T23" s="285">
        <f t="shared" ca="1" si="9"/>
        <v>0</v>
      </c>
      <c r="U23" s="286"/>
      <c r="V23" s="285">
        <f t="shared" ca="1" si="10"/>
        <v>0</v>
      </c>
      <c r="W23" s="286"/>
      <c r="X23" s="287" t="s">
        <v>187</v>
      </c>
      <c r="Y23" s="288"/>
      <c r="Z23" s="289"/>
      <c r="AA23" s="81"/>
      <c r="AB23" s="93">
        <f t="shared" ca="1" si="2"/>
        <v>0</v>
      </c>
    </row>
    <row r="24" spans="1:30" ht="14.15" customHeight="1" x14ac:dyDescent="0.2">
      <c r="A24" s="290">
        <f t="shared" ca="1" si="3"/>
        <v>46426</v>
      </c>
      <c r="B24" s="291"/>
      <c r="C24" s="80">
        <f ca="1">IF(A24="","",IF(WEEKDAY(A24,1)=1,1,IF(COUNTIF(祝日管理!B:B,A24)=1,"祝",WEEKDAY(A24,1))))</f>
        <v>2</v>
      </c>
      <c r="D24" s="292"/>
      <c r="E24" s="292"/>
      <c r="F24" s="292"/>
      <c r="G24" s="292"/>
      <c r="H24" s="292"/>
      <c r="I24" s="293"/>
      <c r="J24" s="298">
        <f t="shared" si="4"/>
        <v>0</v>
      </c>
      <c r="K24" s="294"/>
      <c r="L24" s="285">
        <f t="shared" si="5"/>
        <v>0</v>
      </c>
      <c r="M24" s="296"/>
      <c r="N24" s="297">
        <f t="shared" ca="1" si="6"/>
        <v>0</v>
      </c>
      <c r="O24" s="286"/>
      <c r="P24" s="285">
        <f t="shared" ca="1" si="7"/>
        <v>0</v>
      </c>
      <c r="Q24" s="286"/>
      <c r="R24" s="285">
        <f t="shared" ca="1" si="8"/>
        <v>0</v>
      </c>
      <c r="S24" s="286"/>
      <c r="T24" s="285">
        <f t="shared" ca="1" si="9"/>
        <v>0</v>
      </c>
      <c r="U24" s="286"/>
      <c r="V24" s="285">
        <f t="shared" ca="1" si="10"/>
        <v>0</v>
      </c>
      <c r="W24" s="286"/>
      <c r="X24" s="287" t="s">
        <v>185</v>
      </c>
      <c r="Y24" s="288"/>
      <c r="Z24" s="289"/>
      <c r="AA24" s="81"/>
      <c r="AB24" s="93">
        <f t="shared" ca="1" si="2"/>
        <v>0</v>
      </c>
      <c r="AD24" t="s">
        <v>177</v>
      </c>
    </row>
    <row r="25" spans="1:30" ht="14.15" customHeight="1" x14ac:dyDescent="0.2">
      <c r="A25" s="290">
        <f t="shared" ca="1" si="3"/>
        <v>46427</v>
      </c>
      <c r="B25" s="291"/>
      <c r="C25" s="80">
        <f ca="1">IF(A25="","",IF(WEEKDAY(A25,1)=1,1,IF(COUNTIF(祝日管理!B:B,A25)=1,"祝",WEEKDAY(A25,1))))</f>
        <v>3</v>
      </c>
      <c r="D25" s="292"/>
      <c r="E25" s="292"/>
      <c r="F25" s="292"/>
      <c r="G25" s="292"/>
      <c r="H25" s="292"/>
      <c r="I25" s="293"/>
      <c r="J25" s="298">
        <f t="shared" si="4"/>
        <v>0</v>
      </c>
      <c r="K25" s="294"/>
      <c r="L25" s="285">
        <f t="shared" si="5"/>
        <v>0</v>
      </c>
      <c r="M25" s="296"/>
      <c r="N25" s="297">
        <f t="shared" ca="1" si="6"/>
        <v>0</v>
      </c>
      <c r="O25" s="286"/>
      <c r="P25" s="285">
        <f t="shared" ca="1" si="7"/>
        <v>0</v>
      </c>
      <c r="Q25" s="286"/>
      <c r="R25" s="285">
        <f t="shared" ca="1" si="8"/>
        <v>0</v>
      </c>
      <c r="S25" s="286"/>
      <c r="T25" s="285">
        <f t="shared" ca="1" si="9"/>
        <v>0</v>
      </c>
      <c r="U25" s="286"/>
      <c r="V25" s="285">
        <f t="shared" ca="1" si="10"/>
        <v>0</v>
      </c>
      <c r="W25" s="286"/>
      <c r="X25" s="287"/>
      <c r="Y25" s="288"/>
      <c r="Z25" s="289"/>
      <c r="AA25" s="81"/>
      <c r="AB25" s="93">
        <f t="shared" ca="1" si="2"/>
        <v>7.5</v>
      </c>
    </row>
    <row r="26" spans="1:30" ht="14.15" customHeight="1" x14ac:dyDescent="0.2">
      <c r="A26" s="290">
        <f t="shared" ca="1" si="3"/>
        <v>46428</v>
      </c>
      <c r="B26" s="291"/>
      <c r="C26" s="80">
        <f ca="1">IF(A26="","",IF(WEEKDAY(A26,1)=1,1,IF(COUNTIF(祝日管理!B:B,A26)=1,"祝",WEEKDAY(A26,1))))</f>
        <v>4</v>
      </c>
      <c r="D26" s="292"/>
      <c r="E26" s="292"/>
      <c r="F26" s="292"/>
      <c r="G26" s="292"/>
      <c r="H26" s="292"/>
      <c r="I26" s="293"/>
      <c r="J26" s="298">
        <f t="shared" si="4"/>
        <v>0</v>
      </c>
      <c r="K26" s="294"/>
      <c r="L26" s="285">
        <f t="shared" si="5"/>
        <v>0</v>
      </c>
      <c r="M26" s="296"/>
      <c r="N26" s="297">
        <f t="shared" ca="1" si="6"/>
        <v>0</v>
      </c>
      <c r="O26" s="286"/>
      <c r="P26" s="285">
        <f t="shared" ca="1" si="7"/>
        <v>0</v>
      </c>
      <c r="Q26" s="286"/>
      <c r="R26" s="285">
        <f t="shared" ca="1" si="8"/>
        <v>0</v>
      </c>
      <c r="S26" s="286"/>
      <c r="T26" s="285">
        <f t="shared" ca="1" si="9"/>
        <v>0</v>
      </c>
      <c r="U26" s="286"/>
      <c r="V26" s="285">
        <f t="shared" ca="1" si="10"/>
        <v>0</v>
      </c>
      <c r="W26" s="286"/>
      <c r="X26" s="287"/>
      <c r="Y26" s="288"/>
      <c r="Z26" s="289"/>
      <c r="AA26" s="81"/>
      <c r="AB26" s="93">
        <f t="shared" ca="1" si="2"/>
        <v>7.5</v>
      </c>
      <c r="AD26" t="s">
        <v>213</v>
      </c>
    </row>
    <row r="27" spans="1:30" ht="14.15" customHeight="1" x14ac:dyDescent="0.2">
      <c r="A27" s="290">
        <f t="shared" ca="1" si="3"/>
        <v>46429</v>
      </c>
      <c r="B27" s="291"/>
      <c r="C27" s="80">
        <f ca="1">IF(A27="","",IF(WEEKDAY(A27,1)=1,1,IF(COUNTIF(祝日管理!B:B,A27)=1,"祝",WEEKDAY(A27,1))))</f>
        <v>5</v>
      </c>
      <c r="D27" s="292"/>
      <c r="E27" s="292"/>
      <c r="F27" s="292"/>
      <c r="G27" s="292"/>
      <c r="H27" s="292"/>
      <c r="I27" s="293"/>
      <c r="J27" s="298">
        <f t="shared" si="4"/>
        <v>0</v>
      </c>
      <c r="K27" s="294"/>
      <c r="L27" s="285">
        <f t="shared" si="5"/>
        <v>0</v>
      </c>
      <c r="M27" s="296"/>
      <c r="N27" s="297">
        <f t="shared" ca="1" si="6"/>
        <v>0</v>
      </c>
      <c r="O27" s="286"/>
      <c r="P27" s="285">
        <f t="shared" ca="1" si="7"/>
        <v>0</v>
      </c>
      <c r="Q27" s="286"/>
      <c r="R27" s="285">
        <f t="shared" ca="1" si="8"/>
        <v>0</v>
      </c>
      <c r="S27" s="286"/>
      <c r="T27" s="285">
        <f t="shared" ca="1" si="9"/>
        <v>0</v>
      </c>
      <c r="U27" s="286"/>
      <c r="V27" s="285">
        <f t="shared" ca="1" si="10"/>
        <v>0</v>
      </c>
      <c r="W27" s="286"/>
      <c r="X27" s="287" t="s">
        <v>187</v>
      </c>
      <c r="Y27" s="288"/>
      <c r="Z27" s="289"/>
      <c r="AA27" s="81"/>
      <c r="AB27" s="93">
        <f t="shared" ca="1" si="2"/>
        <v>0</v>
      </c>
    </row>
    <row r="28" spans="1:30" ht="14.15" customHeight="1" x14ac:dyDescent="0.2">
      <c r="A28" s="290">
        <f t="shared" ca="1" si="3"/>
        <v>46430</v>
      </c>
      <c r="B28" s="291"/>
      <c r="C28" s="80">
        <f ca="1">IF(A28="","",IF(WEEKDAY(A28,1)=1,1,IF(COUNTIF(祝日管理!B:B,A28)=1,"祝",WEEKDAY(A28,1))))</f>
        <v>6</v>
      </c>
      <c r="D28" s="292"/>
      <c r="E28" s="292"/>
      <c r="F28" s="292"/>
      <c r="G28" s="292"/>
      <c r="H28" s="292"/>
      <c r="I28" s="293"/>
      <c r="J28" s="298">
        <f t="shared" si="4"/>
        <v>0</v>
      </c>
      <c r="K28" s="294"/>
      <c r="L28" s="285">
        <f t="shared" si="5"/>
        <v>0</v>
      </c>
      <c r="M28" s="296"/>
      <c r="N28" s="297">
        <f t="shared" ca="1" si="6"/>
        <v>0</v>
      </c>
      <c r="O28" s="286"/>
      <c r="P28" s="285">
        <f t="shared" ca="1" si="7"/>
        <v>0</v>
      </c>
      <c r="Q28" s="286"/>
      <c r="R28" s="285">
        <f t="shared" ca="1" si="8"/>
        <v>0</v>
      </c>
      <c r="S28" s="286"/>
      <c r="T28" s="285">
        <f t="shared" ca="1" si="9"/>
        <v>0</v>
      </c>
      <c r="U28" s="286"/>
      <c r="V28" s="285">
        <f t="shared" ca="1" si="10"/>
        <v>0</v>
      </c>
      <c r="W28" s="286"/>
      <c r="X28" s="287" t="s">
        <v>187</v>
      </c>
      <c r="Y28" s="288"/>
      <c r="Z28" s="289"/>
      <c r="AA28" s="81"/>
      <c r="AB28" s="93">
        <f t="shared" ca="1" si="2"/>
        <v>0</v>
      </c>
    </row>
    <row r="29" spans="1:30" s="59" customFormat="1" ht="14.15" customHeight="1" x14ac:dyDescent="0.2">
      <c r="A29" s="290">
        <f t="shared" ca="1" si="3"/>
        <v>46431</v>
      </c>
      <c r="B29" s="291"/>
      <c r="C29" s="80">
        <f ca="1">IF(A29="","",IF(WEEKDAY(A29,1)=1,1,IF(COUNTIF(祝日管理!B:B,A29)=1,"祝",WEEKDAY(A29,1))))</f>
        <v>7</v>
      </c>
      <c r="D29" s="292"/>
      <c r="E29" s="292"/>
      <c r="F29" s="292"/>
      <c r="G29" s="292"/>
      <c r="H29" s="292"/>
      <c r="I29" s="293"/>
      <c r="J29" s="298">
        <f t="shared" si="4"/>
        <v>0</v>
      </c>
      <c r="K29" s="294"/>
      <c r="L29" s="285">
        <f t="shared" si="5"/>
        <v>0</v>
      </c>
      <c r="M29" s="296"/>
      <c r="N29" s="297">
        <f t="shared" ca="1" si="6"/>
        <v>0</v>
      </c>
      <c r="O29" s="286"/>
      <c r="P29" s="285">
        <f t="shared" ca="1" si="7"/>
        <v>0</v>
      </c>
      <c r="Q29" s="286"/>
      <c r="R29" s="285">
        <f t="shared" ca="1" si="8"/>
        <v>0</v>
      </c>
      <c r="S29" s="286"/>
      <c r="T29" s="285">
        <f t="shared" ca="1" si="9"/>
        <v>0</v>
      </c>
      <c r="U29" s="286"/>
      <c r="V29" s="285">
        <f t="shared" ca="1" si="10"/>
        <v>0</v>
      </c>
      <c r="W29" s="286"/>
      <c r="X29" s="287"/>
      <c r="Y29" s="288"/>
      <c r="Z29" s="289"/>
      <c r="AA29" s="81"/>
      <c r="AB29" s="93">
        <f t="shared" ca="1" si="2"/>
        <v>7.5</v>
      </c>
      <c r="AC29" s="59" t="s">
        <v>207</v>
      </c>
    </row>
    <row r="30" spans="1:30" ht="14.15" customHeight="1" x14ac:dyDescent="0.2">
      <c r="A30" s="290">
        <f t="shared" ca="1" si="3"/>
        <v>46432</v>
      </c>
      <c r="B30" s="291"/>
      <c r="C30" s="80">
        <f ca="1">IF(A30="","",IF(WEEKDAY(A30,1)=1,1,IF(COUNTIF(祝日管理!B:B,A30)=1,"祝",WEEKDAY(A30,1))))</f>
        <v>1</v>
      </c>
      <c r="D30" s="292"/>
      <c r="E30" s="292"/>
      <c r="F30" s="292"/>
      <c r="G30" s="292"/>
      <c r="H30" s="292"/>
      <c r="I30" s="293"/>
      <c r="J30" s="298">
        <f t="shared" si="4"/>
        <v>0</v>
      </c>
      <c r="K30" s="294"/>
      <c r="L30" s="285">
        <f t="shared" si="5"/>
        <v>0</v>
      </c>
      <c r="M30" s="296"/>
      <c r="N30" s="297">
        <f t="shared" ca="1" si="6"/>
        <v>0</v>
      </c>
      <c r="O30" s="286"/>
      <c r="P30" s="285">
        <f t="shared" ca="1" si="7"/>
        <v>0</v>
      </c>
      <c r="Q30" s="286"/>
      <c r="R30" s="285">
        <f t="shared" ca="1" si="8"/>
        <v>0</v>
      </c>
      <c r="S30" s="286"/>
      <c r="T30" s="285">
        <f t="shared" ca="1" si="9"/>
        <v>0</v>
      </c>
      <c r="U30" s="286"/>
      <c r="V30" s="285">
        <f t="shared" ca="1" si="10"/>
        <v>0</v>
      </c>
      <c r="W30" s="286"/>
      <c r="X30" s="287" t="s">
        <v>187</v>
      </c>
      <c r="Y30" s="288"/>
      <c r="Z30" s="289"/>
      <c r="AA30" s="81"/>
      <c r="AB30" s="93">
        <f t="shared" ca="1" si="2"/>
        <v>0</v>
      </c>
      <c r="AC30" t="s">
        <v>208</v>
      </c>
    </row>
    <row r="31" spans="1:30" ht="14.15" customHeight="1" x14ac:dyDescent="0.2">
      <c r="A31" s="290">
        <f t="shared" ca="1" si="3"/>
        <v>46433</v>
      </c>
      <c r="B31" s="291"/>
      <c r="C31" s="80">
        <f ca="1">IF(A31="","",IF(WEEKDAY(A31,1)=1,1,IF(COUNTIF(祝日管理!B:B,A31)=1,"祝",WEEKDAY(A31,1))))</f>
        <v>2</v>
      </c>
      <c r="D31" s="292"/>
      <c r="E31" s="292"/>
      <c r="F31" s="292"/>
      <c r="G31" s="292"/>
      <c r="H31" s="292"/>
      <c r="I31" s="293"/>
      <c r="J31" s="298">
        <f t="shared" si="4"/>
        <v>0</v>
      </c>
      <c r="K31" s="294"/>
      <c r="L31" s="285">
        <f t="shared" si="5"/>
        <v>0</v>
      </c>
      <c r="M31" s="296"/>
      <c r="N31" s="297">
        <f t="shared" ca="1" si="6"/>
        <v>0</v>
      </c>
      <c r="O31" s="286"/>
      <c r="P31" s="285">
        <f t="shared" ca="1" si="7"/>
        <v>0</v>
      </c>
      <c r="Q31" s="286"/>
      <c r="R31" s="285">
        <f t="shared" ca="1" si="8"/>
        <v>0</v>
      </c>
      <c r="S31" s="286"/>
      <c r="T31" s="285">
        <f t="shared" ca="1" si="9"/>
        <v>0</v>
      </c>
      <c r="U31" s="286"/>
      <c r="V31" s="285">
        <f t="shared" ca="1" si="10"/>
        <v>0</v>
      </c>
      <c r="W31" s="286"/>
      <c r="X31" s="287" t="s">
        <v>185</v>
      </c>
      <c r="Y31" s="288"/>
      <c r="Z31" s="289"/>
      <c r="AA31" s="81"/>
      <c r="AB31" s="93">
        <f t="shared" ca="1" si="2"/>
        <v>0</v>
      </c>
      <c r="AC31" t="s">
        <v>209</v>
      </c>
    </row>
    <row r="32" spans="1:30" ht="14.15" customHeight="1" x14ac:dyDescent="0.2">
      <c r="A32" s="290">
        <f t="shared" ca="1" si="3"/>
        <v>46434</v>
      </c>
      <c r="B32" s="291"/>
      <c r="C32" s="80">
        <f ca="1">IF(A32="","",IF(WEEKDAY(A32,1)=1,1,IF(COUNTIF(祝日管理!B:B,A32)=1,"祝",WEEKDAY(A32,1))))</f>
        <v>3</v>
      </c>
      <c r="D32" s="292"/>
      <c r="E32" s="292"/>
      <c r="F32" s="292"/>
      <c r="G32" s="292"/>
      <c r="H32" s="292"/>
      <c r="I32" s="293"/>
      <c r="J32" s="298">
        <f t="shared" si="4"/>
        <v>0</v>
      </c>
      <c r="K32" s="294"/>
      <c r="L32" s="285">
        <f t="shared" si="5"/>
        <v>0</v>
      </c>
      <c r="M32" s="296"/>
      <c r="N32" s="297">
        <f t="shared" ca="1" si="6"/>
        <v>0</v>
      </c>
      <c r="O32" s="286"/>
      <c r="P32" s="285">
        <f t="shared" ca="1" si="7"/>
        <v>0</v>
      </c>
      <c r="Q32" s="286"/>
      <c r="R32" s="285">
        <f t="shared" ca="1" si="8"/>
        <v>0</v>
      </c>
      <c r="S32" s="286"/>
      <c r="T32" s="285">
        <f t="shared" ca="1" si="9"/>
        <v>0</v>
      </c>
      <c r="U32" s="286"/>
      <c r="V32" s="285">
        <f t="shared" ca="1" si="10"/>
        <v>0</v>
      </c>
      <c r="W32" s="286"/>
      <c r="X32" s="287"/>
      <c r="Y32" s="288"/>
      <c r="Z32" s="289"/>
      <c r="AA32" s="81"/>
      <c r="AB32" s="93">
        <f t="shared" ca="1" si="2"/>
        <v>7.5</v>
      </c>
    </row>
    <row r="33" spans="1:32" ht="14.15" customHeight="1" x14ac:dyDescent="0.2">
      <c r="A33" s="290">
        <f t="shared" ca="1" si="3"/>
        <v>46435</v>
      </c>
      <c r="B33" s="291"/>
      <c r="C33" s="80">
        <f ca="1">IF(A33="","",IF(WEEKDAY(A33,1)=1,1,IF(COUNTIF(祝日管理!B:B,A33)=1,"祝",WEEKDAY(A33,1))))</f>
        <v>4</v>
      </c>
      <c r="D33" s="292"/>
      <c r="E33" s="292"/>
      <c r="F33" s="292"/>
      <c r="G33" s="292"/>
      <c r="H33" s="292"/>
      <c r="I33" s="293"/>
      <c r="J33" s="298">
        <f t="shared" si="4"/>
        <v>0</v>
      </c>
      <c r="K33" s="294"/>
      <c r="L33" s="285">
        <f t="shared" si="5"/>
        <v>0</v>
      </c>
      <c r="M33" s="296"/>
      <c r="N33" s="297">
        <f t="shared" ca="1" si="6"/>
        <v>0</v>
      </c>
      <c r="O33" s="286"/>
      <c r="P33" s="285">
        <f t="shared" ca="1" si="7"/>
        <v>0</v>
      </c>
      <c r="Q33" s="286"/>
      <c r="R33" s="285">
        <f t="shared" ca="1" si="8"/>
        <v>0</v>
      </c>
      <c r="S33" s="286"/>
      <c r="T33" s="285">
        <f t="shared" ca="1" si="9"/>
        <v>0</v>
      </c>
      <c r="U33" s="286"/>
      <c r="V33" s="285">
        <f t="shared" ca="1" si="10"/>
        <v>0</v>
      </c>
      <c r="W33" s="286"/>
      <c r="X33" s="287"/>
      <c r="Y33" s="288"/>
      <c r="Z33" s="289"/>
      <c r="AA33" s="81"/>
      <c r="AB33" s="93">
        <f t="shared" ca="1" si="2"/>
        <v>7.5</v>
      </c>
      <c r="AD33" t="s">
        <v>214</v>
      </c>
    </row>
    <row r="34" spans="1:32" ht="14.15" customHeight="1" x14ac:dyDescent="0.2">
      <c r="A34" s="290">
        <f t="shared" ca="1" si="3"/>
        <v>46436</v>
      </c>
      <c r="B34" s="291"/>
      <c r="C34" s="80">
        <f ca="1">IF(A34="","",IF(WEEKDAY(A34,1)=1,1,IF(COUNTIF(祝日管理!B:B,A34)=1,"祝",WEEKDAY(A34,1))))</f>
        <v>5</v>
      </c>
      <c r="D34" s="292"/>
      <c r="E34" s="292"/>
      <c r="F34" s="292"/>
      <c r="G34" s="292"/>
      <c r="H34" s="292"/>
      <c r="I34" s="293"/>
      <c r="J34" s="298">
        <f t="shared" si="4"/>
        <v>0</v>
      </c>
      <c r="K34" s="294"/>
      <c r="L34" s="285">
        <f t="shared" si="5"/>
        <v>0</v>
      </c>
      <c r="M34" s="296"/>
      <c r="N34" s="297">
        <f t="shared" ca="1" si="6"/>
        <v>0</v>
      </c>
      <c r="O34" s="286"/>
      <c r="P34" s="285">
        <f t="shared" ca="1" si="7"/>
        <v>0</v>
      </c>
      <c r="Q34" s="286"/>
      <c r="R34" s="285">
        <f t="shared" ca="1" si="8"/>
        <v>0</v>
      </c>
      <c r="S34" s="286"/>
      <c r="T34" s="285">
        <f t="shared" ca="1" si="9"/>
        <v>0</v>
      </c>
      <c r="U34" s="286"/>
      <c r="V34" s="285">
        <f t="shared" ca="1" si="10"/>
        <v>0</v>
      </c>
      <c r="W34" s="286"/>
      <c r="X34" s="287"/>
      <c r="Y34" s="288"/>
      <c r="Z34" s="289"/>
      <c r="AA34" s="81"/>
      <c r="AB34" s="93">
        <f ca="1">IF(ISERROR((X34="")*(7.5-N34)),0,(X34="")*(7.5-N34))</f>
        <v>7.5</v>
      </c>
      <c r="AD34" t="s">
        <v>215</v>
      </c>
    </row>
    <row r="35" spans="1:32" ht="14.15" customHeight="1" x14ac:dyDescent="0.2">
      <c r="A35" s="290">
        <f t="shared" ca="1" si="3"/>
        <v>46437</v>
      </c>
      <c r="B35" s="291"/>
      <c r="C35" s="80">
        <f ca="1">IF(A35="","",IF(WEEKDAY(A35,1)=1,1,IF(COUNTIF(祝日管理!B:B,A35)=1,"祝",WEEKDAY(A35,1))))</f>
        <v>6</v>
      </c>
      <c r="D35" s="292"/>
      <c r="E35" s="292"/>
      <c r="F35" s="292"/>
      <c r="G35" s="292"/>
      <c r="H35" s="292"/>
      <c r="I35" s="293"/>
      <c r="J35" s="298">
        <f t="shared" si="4"/>
        <v>0</v>
      </c>
      <c r="K35" s="294"/>
      <c r="L35" s="285">
        <f t="shared" si="5"/>
        <v>0</v>
      </c>
      <c r="M35" s="296"/>
      <c r="N35" s="297">
        <f t="shared" ca="1" si="6"/>
        <v>0</v>
      </c>
      <c r="O35" s="286"/>
      <c r="P35" s="285">
        <f t="shared" ca="1" si="7"/>
        <v>0</v>
      </c>
      <c r="Q35" s="286"/>
      <c r="R35" s="285">
        <f t="shared" ca="1" si="8"/>
        <v>0</v>
      </c>
      <c r="S35" s="286"/>
      <c r="T35" s="285">
        <f t="shared" ca="1" si="9"/>
        <v>0</v>
      </c>
      <c r="U35" s="286"/>
      <c r="V35" s="285">
        <f t="shared" ca="1" si="10"/>
        <v>0</v>
      </c>
      <c r="W35" s="286"/>
      <c r="X35" s="287"/>
      <c r="Y35" s="288"/>
      <c r="Z35" s="289"/>
      <c r="AA35" s="81"/>
      <c r="AB35" s="93">
        <f ca="1">IF(ISERROR((X35="")*(7.5-N35)),0,(X35="")*(7.5-N35))</f>
        <v>7.5</v>
      </c>
    </row>
    <row r="36" spans="1:32" ht="14.15" customHeight="1" x14ac:dyDescent="0.2">
      <c r="A36" s="290">
        <f t="shared" ca="1" si="3"/>
        <v>46438</v>
      </c>
      <c r="B36" s="291"/>
      <c r="C36" s="80">
        <f ca="1">IF(A36="","",IF(WEEKDAY(A36,1)=1,1,IF(COUNTIF(祝日管理!B:B,A36)=1,"祝",WEEKDAY(A36,1))))</f>
        <v>7</v>
      </c>
      <c r="D36" s="292"/>
      <c r="E36" s="292"/>
      <c r="F36" s="292"/>
      <c r="G36" s="292"/>
      <c r="H36" s="292"/>
      <c r="I36" s="293"/>
      <c r="J36" s="298">
        <f t="shared" si="4"/>
        <v>0</v>
      </c>
      <c r="K36" s="294"/>
      <c r="L36" s="285">
        <f t="shared" si="5"/>
        <v>0</v>
      </c>
      <c r="M36" s="296"/>
      <c r="N36" s="297">
        <f t="shared" ca="1" si="6"/>
        <v>0</v>
      </c>
      <c r="O36" s="286"/>
      <c r="P36" s="285">
        <f t="shared" ca="1" si="7"/>
        <v>0</v>
      </c>
      <c r="Q36" s="286"/>
      <c r="R36" s="285">
        <f t="shared" ca="1" si="8"/>
        <v>0</v>
      </c>
      <c r="S36" s="286"/>
      <c r="T36" s="285">
        <f t="shared" ca="1" si="9"/>
        <v>0</v>
      </c>
      <c r="U36" s="286"/>
      <c r="V36" s="285">
        <f t="shared" ca="1" si="10"/>
        <v>0</v>
      </c>
      <c r="W36" s="286"/>
      <c r="X36" s="287"/>
      <c r="Y36" s="288"/>
      <c r="Z36" s="289"/>
      <c r="AA36" s="81"/>
      <c r="AB36" s="93">
        <f t="shared" ca="1" si="2"/>
        <v>7.5</v>
      </c>
    </row>
    <row r="37" spans="1:32" ht="14.15" customHeight="1" x14ac:dyDescent="0.2">
      <c r="A37" s="290">
        <f t="shared" ca="1" si="3"/>
        <v>46439</v>
      </c>
      <c r="B37" s="291"/>
      <c r="C37" s="80">
        <f ca="1">IF(A37="","",IF(WEEKDAY(A37,1)=1,1,IF(COUNTIF(祝日管理!B:B,A37)=1,"祝",WEEKDAY(A37,1))))</f>
        <v>1</v>
      </c>
      <c r="D37" s="292"/>
      <c r="E37" s="292"/>
      <c r="F37" s="292"/>
      <c r="G37" s="292"/>
      <c r="H37" s="292"/>
      <c r="I37" s="293"/>
      <c r="J37" s="298">
        <f t="shared" si="4"/>
        <v>0</v>
      </c>
      <c r="K37" s="294"/>
      <c r="L37" s="285">
        <f t="shared" si="5"/>
        <v>0</v>
      </c>
      <c r="M37" s="296"/>
      <c r="N37" s="297">
        <f t="shared" ca="1" si="6"/>
        <v>0</v>
      </c>
      <c r="O37" s="286"/>
      <c r="P37" s="285">
        <f t="shared" ca="1" si="7"/>
        <v>0</v>
      </c>
      <c r="Q37" s="286"/>
      <c r="R37" s="285">
        <f t="shared" ca="1" si="8"/>
        <v>0</v>
      </c>
      <c r="S37" s="286"/>
      <c r="T37" s="285">
        <f t="shared" ca="1" si="9"/>
        <v>0</v>
      </c>
      <c r="U37" s="286"/>
      <c r="V37" s="285">
        <f t="shared" ca="1" si="10"/>
        <v>0</v>
      </c>
      <c r="W37" s="286"/>
      <c r="X37" s="287" t="s">
        <v>187</v>
      </c>
      <c r="Y37" s="288"/>
      <c r="Z37" s="289"/>
      <c r="AA37" s="81"/>
      <c r="AB37" s="93">
        <f t="shared" ca="1" si="2"/>
        <v>0</v>
      </c>
    </row>
    <row r="38" spans="1:32" ht="14.15" customHeight="1" x14ac:dyDescent="0.2">
      <c r="A38" s="290">
        <f t="shared" ca="1" si="3"/>
        <v>46440</v>
      </c>
      <c r="B38" s="291"/>
      <c r="C38" s="80">
        <f ca="1">IF(A38="","",IF(WEEKDAY(A38,1)=1,1,IF(COUNTIF(祝日管理!B:B,A38)=1,"祝",WEEKDAY(A38,1))))</f>
        <v>2</v>
      </c>
      <c r="D38" s="292"/>
      <c r="E38" s="292"/>
      <c r="F38" s="292"/>
      <c r="G38" s="292"/>
      <c r="H38" s="292"/>
      <c r="I38" s="293"/>
      <c r="J38" s="298">
        <f t="shared" si="4"/>
        <v>0</v>
      </c>
      <c r="K38" s="294"/>
      <c r="L38" s="285">
        <f t="shared" si="5"/>
        <v>0</v>
      </c>
      <c r="M38" s="296"/>
      <c r="N38" s="297">
        <f t="shared" ca="1" si="6"/>
        <v>0</v>
      </c>
      <c r="O38" s="286"/>
      <c r="P38" s="285">
        <f t="shared" ca="1" si="7"/>
        <v>0</v>
      </c>
      <c r="Q38" s="286"/>
      <c r="R38" s="285">
        <f t="shared" ca="1" si="8"/>
        <v>0</v>
      </c>
      <c r="S38" s="286"/>
      <c r="T38" s="285">
        <f t="shared" ca="1" si="9"/>
        <v>0</v>
      </c>
      <c r="U38" s="286"/>
      <c r="V38" s="285">
        <f t="shared" ca="1" si="10"/>
        <v>0</v>
      </c>
      <c r="W38" s="286"/>
      <c r="X38" s="287" t="s">
        <v>185</v>
      </c>
      <c r="Y38" s="288"/>
      <c r="Z38" s="289"/>
      <c r="AA38" s="81"/>
      <c r="AB38" s="93">
        <f t="shared" ca="1" si="2"/>
        <v>0</v>
      </c>
    </row>
    <row r="39" spans="1:32" ht="14.15" customHeight="1" x14ac:dyDescent="0.2">
      <c r="A39" s="290">
        <f t="shared" ca="1" si="3"/>
        <v>46441</v>
      </c>
      <c r="B39" s="291"/>
      <c r="C39" s="80">
        <f ca="1">IF(A39="","",IF(WEEKDAY(A39,1)=1,1,IF(COUNTIF(祝日管理!B:B,A39)=1,"祝",WEEKDAY(A39,1))))</f>
        <v>3</v>
      </c>
      <c r="D39" s="292"/>
      <c r="E39" s="292"/>
      <c r="F39" s="292"/>
      <c r="G39" s="292"/>
      <c r="H39" s="292"/>
      <c r="I39" s="293"/>
      <c r="J39" s="298">
        <f t="shared" si="4"/>
        <v>0</v>
      </c>
      <c r="K39" s="294"/>
      <c r="L39" s="285">
        <f t="shared" si="5"/>
        <v>0</v>
      </c>
      <c r="M39" s="296"/>
      <c r="N39" s="297">
        <f t="shared" ca="1" si="6"/>
        <v>0</v>
      </c>
      <c r="O39" s="286"/>
      <c r="P39" s="285">
        <f t="shared" ca="1" si="7"/>
        <v>0</v>
      </c>
      <c r="Q39" s="286"/>
      <c r="R39" s="285">
        <f t="shared" ca="1" si="8"/>
        <v>0</v>
      </c>
      <c r="S39" s="286"/>
      <c r="T39" s="285">
        <f t="shared" ca="1" si="9"/>
        <v>0</v>
      </c>
      <c r="U39" s="286"/>
      <c r="V39" s="285">
        <f t="shared" ca="1" si="10"/>
        <v>0</v>
      </c>
      <c r="W39" s="286"/>
      <c r="X39" s="287" t="s">
        <v>187</v>
      </c>
      <c r="Y39" s="288"/>
      <c r="Z39" s="289"/>
      <c r="AA39" s="81"/>
      <c r="AB39" s="93">
        <f t="shared" ca="1" si="2"/>
        <v>0</v>
      </c>
    </row>
    <row r="40" spans="1:32" ht="14.15" customHeight="1" x14ac:dyDescent="0.2">
      <c r="A40" s="290">
        <f t="shared" ca="1" si="3"/>
        <v>46442</v>
      </c>
      <c r="B40" s="291"/>
      <c r="C40" s="80">
        <f ca="1">IF(A40="","",IF(WEEKDAY(A40,1)=1,1,IF(COUNTIF(祝日管理!B:B,A40)=1,"祝",WEEKDAY(A40,1))))</f>
        <v>4</v>
      </c>
      <c r="D40" s="292"/>
      <c r="E40" s="292"/>
      <c r="F40" s="292"/>
      <c r="G40" s="292"/>
      <c r="H40" s="292"/>
      <c r="I40" s="293"/>
      <c r="J40" s="298">
        <f t="shared" si="4"/>
        <v>0</v>
      </c>
      <c r="K40" s="294"/>
      <c r="L40" s="285">
        <f t="shared" si="5"/>
        <v>0</v>
      </c>
      <c r="M40" s="296"/>
      <c r="N40" s="297">
        <f t="shared" ca="1" si="6"/>
        <v>0</v>
      </c>
      <c r="O40" s="286"/>
      <c r="P40" s="285">
        <f t="shared" ca="1" si="7"/>
        <v>0</v>
      </c>
      <c r="Q40" s="286"/>
      <c r="R40" s="285">
        <f t="shared" ca="1" si="8"/>
        <v>0</v>
      </c>
      <c r="S40" s="286"/>
      <c r="T40" s="285">
        <f t="shared" ca="1" si="9"/>
        <v>0</v>
      </c>
      <c r="U40" s="286"/>
      <c r="V40" s="285">
        <f t="shared" ca="1" si="10"/>
        <v>0</v>
      </c>
      <c r="W40" s="286"/>
      <c r="X40" s="287"/>
      <c r="Y40" s="288"/>
      <c r="Z40" s="289"/>
      <c r="AA40" s="81"/>
      <c r="AB40" s="93">
        <f t="shared" ca="1" si="2"/>
        <v>7.5</v>
      </c>
    </row>
    <row r="41" spans="1:32" ht="14.15" customHeight="1" x14ac:dyDescent="0.2">
      <c r="A41" s="290">
        <f t="shared" ca="1" si="3"/>
        <v>46443</v>
      </c>
      <c r="B41" s="291"/>
      <c r="C41" s="80">
        <f ca="1">IF(A41="","",IF(WEEKDAY(A41,1)=1,1,IF(COUNTIF(祝日管理!B:B,A41)=1,"祝",WEEKDAY(A41,1))))</f>
        <v>5</v>
      </c>
      <c r="D41" s="292"/>
      <c r="E41" s="292"/>
      <c r="F41" s="292"/>
      <c r="G41" s="292"/>
      <c r="H41" s="292"/>
      <c r="I41" s="293"/>
      <c r="J41" s="298">
        <f t="shared" si="4"/>
        <v>0</v>
      </c>
      <c r="K41" s="294"/>
      <c r="L41" s="285">
        <f t="shared" si="5"/>
        <v>0</v>
      </c>
      <c r="M41" s="296"/>
      <c r="N41" s="297">
        <f t="shared" ca="1" si="6"/>
        <v>0</v>
      </c>
      <c r="O41" s="286"/>
      <c r="P41" s="285">
        <f t="shared" ca="1" si="7"/>
        <v>0</v>
      </c>
      <c r="Q41" s="286"/>
      <c r="R41" s="285">
        <f t="shared" ca="1" si="8"/>
        <v>0</v>
      </c>
      <c r="S41" s="286"/>
      <c r="T41" s="285">
        <f t="shared" ca="1" si="9"/>
        <v>0</v>
      </c>
      <c r="U41" s="286"/>
      <c r="V41" s="285">
        <f t="shared" ca="1" si="10"/>
        <v>0</v>
      </c>
      <c r="W41" s="286"/>
      <c r="X41" s="287"/>
      <c r="Y41" s="288"/>
      <c r="Z41" s="289"/>
      <c r="AA41" s="81"/>
      <c r="AB41" s="93">
        <f t="shared" ca="1" si="2"/>
        <v>7.5</v>
      </c>
    </row>
    <row r="42" spans="1:32" ht="14.15" customHeight="1" x14ac:dyDescent="0.2">
      <c r="A42" s="290">
        <f t="shared" ca="1" si="3"/>
        <v>46444</v>
      </c>
      <c r="B42" s="291"/>
      <c r="C42" s="80">
        <f ca="1">IF(A42="","",IF(WEEKDAY(A42,1)=1,1,IF(COUNTIF(祝日管理!B:B,A42)=1,"祝",WEEKDAY(A42,1))))</f>
        <v>6</v>
      </c>
      <c r="D42" s="292"/>
      <c r="E42" s="292"/>
      <c r="F42" s="292"/>
      <c r="G42" s="292"/>
      <c r="H42" s="292"/>
      <c r="I42" s="293"/>
      <c r="J42" s="298">
        <f t="shared" si="4"/>
        <v>0</v>
      </c>
      <c r="K42" s="294"/>
      <c r="L42" s="285">
        <f t="shared" si="5"/>
        <v>0</v>
      </c>
      <c r="M42" s="296"/>
      <c r="N42" s="297">
        <f t="shared" ca="1" si="6"/>
        <v>0</v>
      </c>
      <c r="O42" s="286"/>
      <c r="P42" s="285">
        <f t="shared" ca="1" si="7"/>
        <v>0</v>
      </c>
      <c r="Q42" s="286"/>
      <c r="R42" s="285">
        <f t="shared" ca="1" si="8"/>
        <v>0</v>
      </c>
      <c r="S42" s="286"/>
      <c r="T42" s="285">
        <f t="shared" ca="1" si="9"/>
        <v>0</v>
      </c>
      <c r="U42" s="286"/>
      <c r="V42" s="285">
        <f t="shared" ca="1" si="10"/>
        <v>0</v>
      </c>
      <c r="W42" s="286"/>
      <c r="X42" s="287"/>
      <c r="Y42" s="288"/>
      <c r="Z42" s="289"/>
      <c r="AA42" s="81"/>
      <c r="AB42" s="93">
        <f t="shared" ca="1" si="2"/>
        <v>7.5</v>
      </c>
    </row>
    <row r="43" spans="1:32" ht="14.15" customHeight="1" x14ac:dyDescent="0.2">
      <c r="A43" s="290">
        <f t="shared" ca="1" si="3"/>
        <v>46445</v>
      </c>
      <c r="B43" s="291"/>
      <c r="C43" s="80">
        <f ca="1">IF(A43="","",IF(WEEKDAY(A43,1)=1,1,IF(COUNTIF(祝日管理!B:B,A43)=1,"祝",WEEKDAY(A43,1))))</f>
        <v>7</v>
      </c>
      <c r="D43" s="292"/>
      <c r="E43" s="292"/>
      <c r="F43" s="292"/>
      <c r="G43" s="292"/>
      <c r="H43" s="292"/>
      <c r="I43" s="293"/>
      <c r="J43" s="298">
        <f t="shared" si="4"/>
        <v>0</v>
      </c>
      <c r="K43" s="294"/>
      <c r="L43" s="285">
        <f t="shared" si="5"/>
        <v>0</v>
      </c>
      <c r="M43" s="296"/>
      <c r="N43" s="297">
        <f t="shared" ca="1" si="6"/>
        <v>0</v>
      </c>
      <c r="O43" s="286"/>
      <c r="P43" s="285">
        <f t="shared" ca="1" si="7"/>
        <v>0</v>
      </c>
      <c r="Q43" s="286"/>
      <c r="R43" s="285">
        <f t="shared" ca="1" si="8"/>
        <v>0</v>
      </c>
      <c r="S43" s="286"/>
      <c r="T43" s="285">
        <f t="shared" ca="1" si="9"/>
        <v>0</v>
      </c>
      <c r="U43" s="286"/>
      <c r="V43" s="285">
        <f t="shared" ca="1" si="10"/>
        <v>0</v>
      </c>
      <c r="W43" s="286"/>
      <c r="X43" s="287"/>
      <c r="Y43" s="288"/>
      <c r="Z43" s="289"/>
      <c r="AA43" s="81"/>
      <c r="AB43" s="93">
        <f t="shared" ca="1" si="2"/>
        <v>7.5</v>
      </c>
    </row>
    <row r="44" spans="1:32" ht="14.15" customHeight="1" x14ac:dyDescent="0.2">
      <c r="A44" s="290">
        <f t="shared" ca="1" si="3"/>
        <v>46446</v>
      </c>
      <c r="B44" s="291"/>
      <c r="C44" s="80">
        <f ca="1">IF(A44="","",IF(WEEKDAY(A44,1)=1,1,IF(COUNTIF(祝日管理!B:B,A44)=1,"祝",WEEKDAY(A44,1))))</f>
        <v>1</v>
      </c>
      <c r="D44" s="292"/>
      <c r="E44" s="292"/>
      <c r="F44" s="292"/>
      <c r="G44" s="292"/>
      <c r="H44" s="292"/>
      <c r="I44" s="293"/>
      <c r="J44" s="298">
        <f t="shared" si="4"/>
        <v>0</v>
      </c>
      <c r="K44" s="294"/>
      <c r="L44" s="285">
        <f t="shared" si="5"/>
        <v>0</v>
      </c>
      <c r="M44" s="296"/>
      <c r="N44" s="297">
        <f t="shared" ca="1" si="6"/>
        <v>0</v>
      </c>
      <c r="O44" s="286"/>
      <c r="P44" s="285">
        <f t="shared" ca="1" si="7"/>
        <v>0</v>
      </c>
      <c r="Q44" s="286"/>
      <c r="R44" s="285">
        <f t="shared" ca="1" si="8"/>
        <v>0</v>
      </c>
      <c r="S44" s="286"/>
      <c r="T44" s="285">
        <f t="shared" ca="1" si="9"/>
        <v>0</v>
      </c>
      <c r="U44" s="286"/>
      <c r="V44" s="285">
        <f t="shared" ca="1" si="10"/>
        <v>0</v>
      </c>
      <c r="W44" s="286"/>
      <c r="X44" s="287" t="s">
        <v>187</v>
      </c>
      <c r="Y44" s="288"/>
      <c r="Z44" s="289"/>
      <c r="AA44" s="81"/>
      <c r="AB44" s="93">
        <f t="shared" ca="1" si="2"/>
        <v>0</v>
      </c>
    </row>
    <row r="45" spans="1:32" ht="14.15" customHeight="1" x14ac:dyDescent="0.2">
      <c r="A45" s="290" t="str">
        <f ca="1">IF(DAY(A44+1)=29,A44+1,"")</f>
        <v/>
      </c>
      <c r="B45" s="291"/>
      <c r="C45" s="80" t="str">
        <f ca="1">IF(A45="","",IF(WEEKDAY(A45,1)=1,1,IF(COUNTIF(祝日管理!B:B,A45)=1,"祝",WEEKDAY(A45,1))))</f>
        <v/>
      </c>
      <c r="D45" s="292"/>
      <c r="E45" s="292"/>
      <c r="F45" s="292"/>
      <c r="G45" s="292"/>
      <c r="H45" s="292"/>
      <c r="I45" s="293"/>
      <c r="J45" s="298">
        <f t="shared" si="4"/>
        <v>0</v>
      </c>
      <c r="K45" s="294"/>
      <c r="L45" s="285">
        <f t="shared" si="5"/>
        <v>0</v>
      </c>
      <c r="M45" s="296"/>
      <c r="N45" s="297" t="str">
        <f t="shared" ca="1" si="6"/>
        <v/>
      </c>
      <c r="O45" s="286"/>
      <c r="P45" s="285" t="str">
        <f t="shared" ca="1" si="7"/>
        <v/>
      </c>
      <c r="Q45" s="286"/>
      <c r="R45" s="285">
        <f t="shared" ca="1" si="8"/>
        <v>0</v>
      </c>
      <c r="S45" s="286"/>
      <c r="T45" s="285">
        <f t="shared" ca="1" si="9"/>
        <v>0</v>
      </c>
      <c r="U45" s="286"/>
      <c r="V45" s="285">
        <f t="shared" ca="1" si="10"/>
        <v>0</v>
      </c>
      <c r="W45" s="286"/>
      <c r="X45" s="287"/>
      <c r="Y45" s="288"/>
      <c r="Z45" s="289"/>
      <c r="AA45" s="82"/>
      <c r="AB45" s="93">
        <f t="shared" ca="1" si="2"/>
        <v>0</v>
      </c>
    </row>
    <row r="46" spans="1:32" ht="14.15" customHeight="1" x14ac:dyDescent="0.2">
      <c r="A46" s="290" t="str">
        <f ca="1">IF(A45="","",IF(DAY(A45+1)=30,A45+1,""))</f>
        <v/>
      </c>
      <c r="B46" s="291"/>
      <c r="C46" s="80" t="str">
        <f ca="1">IF(A46="","",IF(WEEKDAY(A46,1)=1,1,IF(COUNTIF(祝日管理!B:B,A46)=1,"祝",WEEKDAY(A46,1))))</f>
        <v/>
      </c>
      <c r="D46" s="292"/>
      <c r="E46" s="292"/>
      <c r="F46" s="292"/>
      <c r="G46" s="292"/>
      <c r="H46" s="292"/>
      <c r="I46" s="293"/>
      <c r="J46" s="298">
        <f t="shared" si="4"/>
        <v>0</v>
      </c>
      <c r="K46" s="294"/>
      <c r="L46" s="285">
        <f t="shared" si="5"/>
        <v>0</v>
      </c>
      <c r="M46" s="296"/>
      <c r="N46" s="297" t="str">
        <f t="shared" ca="1" si="6"/>
        <v/>
      </c>
      <c r="O46" s="286"/>
      <c r="P46" s="285" t="str">
        <f t="shared" ca="1" si="7"/>
        <v/>
      </c>
      <c r="Q46" s="286"/>
      <c r="R46" s="285">
        <f t="shared" ca="1" si="8"/>
        <v>0</v>
      </c>
      <c r="S46" s="286"/>
      <c r="T46" s="285">
        <f t="shared" ca="1" si="9"/>
        <v>0</v>
      </c>
      <c r="U46" s="286"/>
      <c r="V46" s="285">
        <f t="shared" ca="1" si="10"/>
        <v>0</v>
      </c>
      <c r="W46" s="286"/>
      <c r="X46" s="287"/>
      <c r="Y46" s="288"/>
      <c r="Z46" s="289"/>
      <c r="AA46" s="81"/>
      <c r="AB46" s="93">
        <f t="shared" ca="1" si="2"/>
        <v>0</v>
      </c>
      <c r="AF46">
        <f>+時間・月額</f>
        <v>250000</v>
      </c>
    </row>
    <row r="47" spans="1:32" ht="14.15" customHeight="1" thickBot="1" x14ac:dyDescent="0.25">
      <c r="A47" s="290" t="str">
        <f ca="1">IF(A46="","",IF(DAY(A46+1)=31,A46+1,""))</f>
        <v/>
      </c>
      <c r="B47" s="291"/>
      <c r="C47" s="80" t="str">
        <f ca="1">IF(A47="","",IF(WEEKDAY(A47,1)=1,1,IF(COUNTIF(祝日管理!B:B,A47)=1,"祝",WEEKDAY(A47,1))))</f>
        <v/>
      </c>
      <c r="D47" s="292"/>
      <c r="E47" s="292"/>
      <c r="F47" s="292"/>
      <c r="G47" s="292"/>
      <c r="H47" s="292"/>
      <c r="I47" s="293"/>
      <c r="J47" s="294">
        <f t="shared" si="4"/>
        <v>0</v>
      </c>
      <c r="K47" s="295"/>
      <c r="L47" s="285">
        <f t="shared" si="5"/>
        <v>0</v>
      </c>
      <c r="M47" s="296"/>
      <c r="N47" s="283" t="str">
        <f t="shared" ca="1" si="6"/>
        <v/>
      </c>
      <c r="O47" s="284"/>
      <c r="P47" s="285" t="str">
        <f t="shared" ca="1" si="7"/>
        <v/>
      </c>
      <c r="Q47" s="286"/>
      <c r="R47" s="285">
        <f t="shared" ca="1" si="8"/>
        <v>0</v>
      </c>
      <c r="S47" s="286"/>
      <c r="T47" s="285">
        <f t="shared" ca="1" si="9"/>
        <v>0</v>
      </c>
      <c r="U47" s="286"/>
      <c r="V47" s="285">
        <f t="shared" ca="1" si="10"/>
        <v>0</v>
      </c>
      <c r="W47" s="286"/>
      <c r="X47" s="287"/>
      <c r="Y47" s="288"/>
      <c r="Z47" s="289"/>
      <c r="AA47" s="81"/>
      <c r="AB47" s="93">
        <f ca="1">IF(ISERROR((X47="")*(7.5-N47)),0,(X47="")*(7.5-N47))</f>
        <v>0</v>
      </c>
    </row>
    <row r="48" spans="1:32" ht="14.15" customHeight="1" thickBot="1" x14ac:dyDescent="0.25">
      <c r="A48" s="274" t="s">
        <v>56</v>
      </c>
      <c r="B48" s="275"/>
      <c r="C48" s="35"/>
      <c r="D48" s="276"/>
      <c r="E48" s="277"/>
      <c r="F48" s="276"/>
      <c r="G48" s="277"/>
      <c r="H48" s="276"/>
      <c r="I48" s="278"/>
      <c r="J48" s="279"/>
      <c r="K48" s="280"/>
      <c r="L48" s="281" t="s">
        <v>198</v>
      </c>
      <c r="M48" s="282"/>
      <c r="N48" s="265"/>
      <c r="O48" s="266"/>
      <c r="P48" s="267" t="s">
        <v>200</v>
      </c>
      <c r="Q48" s="268"/>
      <c r="R48" s="265"/>
      <c r="S48" s="266"/>
      <c r="T48" s="269"/>
      <c r="U48" s="270"/>
      <c r="V48" s="269"/>
      <c r="W48" s="270"/>
      <c r="X48" s="271"/>
      <c r="Y48" s="272"/>
      <c r="Z48" s="273"/>
      <c r="AA48" s="66"/>
      <c r="AB48" t="s">
        <v>191</v>
      </c>
    </row>
    <row r="49" spans="1:34" ht="14.15" customHeight="1" x14ac:dyDescent="0.2">
      <c r="A49" s="255" t="s">
        <v>196</v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8">
        <f>SUM(L17:M47)+N48</f>
        <v>0</v>
      </c>
      <c r="M49" s="259"/>
      <c r="N49" s="260">
        <f ca="1">ROUNDDOWN((SUM(N17:O48)+0.01)*4,0)/4</f>
        <v>0</v>
      </c>
      <c r="O49" s="261"/>
      <c r="P49" s="262">
        <f ca="1">ROUNDDOWN((SUM(P17:Q47)+0.01)*4,0)/4</f>
        <v>0</v>
      </c>
      <c r="Q49" s="263"/>
      <c r="R49" s="242">
        <f ca="1">ROUNDDOWN((SUM(R17:S47)+0.01)*4,0)/4</f>
        <v>0</v>
      </c>
      <c r="S49" s="264"/>
      <c r="T49" s="242">
        <f ca="1">ROUNDDOWN((SUM(T17:U47)+0.01)*4,0)/4</f>
        <v>0</v>
      </c>
      <c r="U49" s="243"/>
      <c r="V49" s="242">
        <f ca="1">ROUNDDOWN((SUM(V17:W47)+0.01)*4,0)/4</f>
        <v>0</v>
      </c>
      <c r="W49" s="243"/>
      <c r="X49" s="244">
        <f ca="1">SUM(通常時間計:休日深夜時間計)</f>
        <v>0</v>
      </c>
      <c r="Y49" s="245"/>
      <c r="Z49" s="245"/>
      <c r="AA49" s="64" t="s">
        <v>142</v>
      </c>
    </row>
    <row r="50" spans="1:34" ht="14.15" customHeight="1" thickBot="1" x14ac:dyDescent="0.25">
      <c r="A50" s="246" t="s">
        <v>106</v>
      </c>
      <c r="B50" s="246"/>
      <c r="C50" s="246"/>
      <c r="D50" s="246"/>
      <c r="E50" s="246"/>
      <c r="F50" s="246"/>
      <c r="G50" s="246"/>
      <c r="H50" s="246"/>
      <c r="I50" s="246"/>
      <c r="J50" s="246"/>
      <c r="K50" s="246"/>
      <c r="L50" s="247">
        <f ca="1">SUM(N50:W50)</f>
        <v>0</v>
      </c>
      <c r="M50" s="248"/>
      <c r="N50" s="249">
        <f ca="1">通常時間計</f>
        <v>0</v>
      </c>
      <c r="O50" s="250"/>
      <c r="P50" s="249">
        <f ca="1">IF(給与体系="140-160時間制",超過勤務時間計,MAX(0,超過勤務時間計+深夜残業時間計-60)*0.25+超過勤務時間計*1.25)</f>
        <v>0</v>
      </c>
      <c r="Q50" s="250"/>
      <c r="R50" s="251">
        <f ca="1">IF(給与体系="140-160時間制",深夜残業時間計,深夜残業時間計*1.5)</f>
        <v>0</v>
      </c>
      <c r="S50" s="252"/>
      <c r="T50" s="251">
        <f ca="1">IF(給与体系="140-160時間制",休日出勤時間計,休日出勤時間計*1.35)</f>
        <v>0</v>
      </c>
      <c r="U50" s="252"/>
      <c r="V50" s="251">
        <f ca="1">IF(給与体系="140-160時間制",休日深夜時間計,休日深夜時間計*1.6)</f>
        <v>0</v>
      </c>
      <c r="W50" s="252"/>
      <c r="X50" s="253">
        <f ca="1">SUM(N50:W50)</f>
        <v>0</v>
      </c>
      <c r="Y50" s="254"/>
      <c r="Z50" s="254"/>
      <c r="AA50" s="88">
        <f>+'1月'!AA50</f>
        <v>45748</v>
      </c>
      <c r="AB50" s="98">
        <f ca="1">+IFERROR(((MAX(0,超過勤務時間計+深夜残業時間計-60)*0.25+(超過勤務時間計+深夜残業時間計)*1.25))/(超過勤務時間計+深夜残業時間計),0)</f>
        <v>0</v>
      </c>
      <c r="AC50" s="2" t="s">
        <v>158</v>
      </c>
      <c r="AD50" s="2"/>
      <c r="AE50" s="231"/>
      <c r="AF50" s="231"/>
      <c r="AG50" s="60"/>
      <c r="AH50" s="61"/>
    </row>
    <row r="51" spans="1:34" ht="14.15" customHeight="1" thickTop="1" thickBot="1" x14ac:dyDescent="0.25">
      <c r="A51" s="232" t="s">
        <v>38</v>
      </c>
      <c r="B51" s="233"/>
      <c r="C51" s="234">
        <f>COUNTA(D17:D47)-W51-W52</f>
        <v>0</v>
      </c>
      <c r="D51" s="235"/>
      <c r="E51" s="236" t="s">
        <v>32</v>
      </c>
      <c r="F51" s="233"/>
      <c r="G51" s="237">
        <f>+COUNTIF($X17:$Z47,E51)</f>
        <v>0</v>
      </c>
      <c r="H51" s="238"/>
      <c r="I51" s="169" t="s">
        <v>111</v>
      </c>
      <c r="J51" s="170"/>
      <c r="K51" s="167">
        <f>+COUNTIF($X17:$Z47,I51)</f>
        <v>0</v>
      </c>
      <c r="L51" s="168"/>
      <c r="M51" s="169" t="s">
        <v>113</v>
      </c>
      <c r="N51" s="170"/>
      <c r="O51" s="167">
        <f>+COUNTIF($X17:$Z47,M51)</f>
        <v>0</v>
      </c>
      <c r="P51" s="168"/>
      <c r="Q51" s="169" t="s">
        <v>112</v>
      </c>
      <c r="R51" s="170"/>
      <c r="S51" s="167">
        <f>+COUNTIF($X17:$Z47,Q51)</f>
        <v>0</v>
      </c>
      <c r="T51" s="168"/>
      <c r="U51" s="169" t="s">
        <v>123</v>
      </c>
      <c r="V51" s="170"/>
      <c r="W51" s="171">
        <f>+K51+(O51+S51)/2</f>
        <v>0</v>
      </c>
      <c r="X51" s="172"/>
      <c r="Y51" s="208" t="s">
        <v>124</v>
      </c>
      <c r="Z51" s="209"/>
      <c r="AA51" s="63">
        <f>+AA52-W51-AA53</f>
        <v>35</v>
      </c>
      <c r="AB51" t="s">
        <v>174</v>
      </c>
    </row>
    <row r="52" spans="1:34" ht="14.15" customHeight="1" thickTop="1" thickBot="1" x14ac:dyDescent="0.25">
      <c r="A52" s="239" t="s">
        <v>153</v>
      </c>
      <c r="B52" s="239"/>
      <c r="C52" s="239"/>
      <c r="D52" s="239"/>
      <c r="E52" s="239"/>
      <c r="F52" s="240">
        <f>+'1月'!F52</f>
        <v>250000</v>
      </c>
      <c r="G52" s="240"/>
      <c r="H52" s="241"/>
      <c r="I52" s="169" t="s">
        <v>126</v>
      </c>
      <c r="J52" s="170"/>
      <c r="K52" s="167">
        <f>+COUNTIF($X17:$Z47,"*全*")-COUNTIF($X17:$Z47,"*欠勤(全*")-COUNTIF($X17:$Z47,"*振休(全*")-COUNTIF($X17:$Z47,"*代休(全*")-K51</f>
        <v>0</v>
      </c>
      <c r="L52" s="168"/>
      <c r="M52" s="169" t="s">
        <v>135</v>
      </c>
      <c r="N52" s="170"/>
      <c r="O52" s="167">
        <f>+COUNTIF($X17:$Z47,"*AM*")-COUNTIF($X17:$Z47,"*欠勤(A*")-COUNTIF($X17:$Z47,"*代休(A*")-O51</f>
        <v>0</v>
      </c>
      <c r="P52" s="168"/>
      <c r="Q52" s="169" t="s">
        <v>136</v>
      </c>
      <c r="R52" s="170"/>
      <c r="S52" s="167">
        <f>+COUNTIF($X17:$Z47,"*PM*")-COUNTIF($X17:$Z47,"*代休(P*")-S51</f>
        <v>0</v>
      </c>
      <c r="T52" s="168"/>
      <c r="U52" s="169" t="s">
        <v>127</v>
      </c>
      <c r="V52" s="170"/>
      <c r="W52" s="171">
        <f>+K52+(O52+S52)/2</f>
        <v>0</v>
      </c>
      <c r="X52" s="172"/>
      <c r="Y52" s="208" t="s">
        <v>125</v>
      </c>
      <c r="Z52" s="209"/>
      <c r="AA52" s="62">
        <f>+'1月'!AA51</f>
        <v>35</v>
      </c>
      <c r="AB52" t="s">
        <v>173</v>
      </c>
    </row>
    <row r="53" spans="1:34" ht="14.15" customHeight="1" thickTop="1" thickBot="1" x14ac:dyDescent="0.25">
      <c r="A53" s="224"/>
      <c r="B53" s="225"/>
      <c r="C53" s="226"/>
      <c r="D53" s="227" t="s">
        <v>21</v>
      </c>
      <c r="E53" s="228"/>
      <c r="F53" s="33"/>
      <c r="G53" s="228" t="s">
        <v>22</v>
      </c>
      <c r="H53" s="228"/>
      <c r="I53" s="34"/>
      <c r="J53" s="229"/>
      <c r="K53" s="225"/>
      <c r="L53" s="230"/>
      <c r="M53" s="27"/>
      <c r="N53" s="28"/>
      <c r="O53" s="32"/>
      <c r="P53" s="4"/>
      <c r="S53" s="4"/>
      <c r="Y53" s="208" t="s">
        <v>166</v>
      </c>
      <c r="Z53" s="209"/>
      <c r="AA53" s="63">
        <v>0</v>
      </c>
      <c r="AB53" t="s">
        <v>167</v>
      </c>
    </row>
    <row r="54" spans="1:34" ht="14.15" customHeight="1" thickTop="1" thickBot="1" x14ac:dyDescent="0.25">
      <c r="A54" s="217" t="s">
        <v>256</v>
      </c>
      <c r="B54" s="218"/>
      <c r="C54" s="218"/>
      <c r="D54" s="219" t="e">
        <f ca="1">ROUNDUP(IF(給与種別=0,時間・月額+手当１金額,IF(給与体系="時給制",(時間・月額+手当１金額/150),(時間・月額+手当１金額)/SUMIF(テーブル_勤務時間,給与体系,テーブル!C:C))),0)</f>
        <v>#DIV/0!</v>
      </c>
      <c r="E54" s="220"/>
      <c r="F54" s="99" t="s">
        <v>39</v>
      </c>
      <c r="G54" s="195">
        <f ca="1">+IF(給与種別=0,1,IF(給与体系&lt;&gt;"時給制",SUMIF(テーブル_勤務時間,給与体系,テーブル!K:K),通常時間計))</f>
        <v>0</v>
      </c>
      <c r="H54" s="195"/>
      <c r="I54" s="100" t="str">
        <f ca="1">IF(給与種別=2,"h","m")</f>
        <v>h</v>
      </c>
      <c r="J54" s="221">
        <f ca="1">IF(給与体系="時給制",基本給単価*基本給時間,SUMIF(テーブル!U2:U13,当月,テーブル!V2:V13))</f>
        <v>0</v>
      </c>
      <c r="K54" s="222"/>
      <c r="L54" s="223"/>
      <c r="M54" s="4"/>
      <c r="N54" s="202" t="s">
        <v>188</v>
      </c>
      <c r="O54" s="203"/>
      <c r="P54" s="203"/>
      <c r="Q54" s="204">
        <f>(合計_15分未満切捨て-(K51+K52)*7.5-(O51+O52)*3-(S51+S52)*4.5)</f>
        <v>0</v>
      </c>
      <c r="R54" s="205"/>
      <c r="S54" s="206"/>
      <c r="T54" s="207"/>
      <c r="U54" s="92" t="s">
        <v>197</v>
      </c>
      <c r="Y54" s="208" t="s">
        <v>203</v>
      </c>
      <c r="Z54" s="209"/>
      <c r="AA54" s="63">
        <f>+SUM('2月:4月'!W51:X51)</f>
        <v>0</v>
      </c>
      <c r="AB54" t="s">
        <v>204</v>
      </c>
    </row>
    <row r="55" spans="1:34" ht="14.15" customHeight="1" thickTop="1" thickBot="1" x14ac:dyDescent="0.25">
      <c r="A55" s="192" t="str">
        <f ca="1">+IF(給与体系="時給制","超過勤務","みなし給")</f>
        <v>みなし給</v>
      </c>
      <c r="B55" s="193"/>
      <c r="C55" s="194"/>
      <c r="D55" s="210" t="e">
        <f ca="1">IF(給与体系="140-160時間制",基本給単価/4,IF(時間外係数=0,基本給単価*1.25,ROUNDUP(IF(給与体系="時給制",(時間・月額+手当１金額/150)*時間外係数,(時間・月額+手当１金額)/SUMIF(テーブル_勤務時間,給与体系,テーブル!C:C)*SUMIF(テーブル_勤務時間,給与体系,テーブル!E:E)),0)))</f>
        <v>#DIV/0!</v>
      </c>
      <c r="E55" s="211"/>
      <c r="F55" s="99" t="s">
        <v>39</v>
      </c>
      <c r="G55" s="195">
        <f ca="1">+IF(給与体系="時給制",超過勤務時間計,SUMIF(テーブル_勤務時間,給与体系,テーブル_みなし時間))</f>
        <v>0</v>
      </c>
      <c r="H55" s="195"/>
      <c r="I55" s="100" t="s">
        <v>40</v>
      </c>
      <c r="J55" s="212">
        <f ca="1">IF(みなし給時間="","",IF(給与体系="時給制",みなし給単価*みなし給時間,SUMIF(テーブル!U2:U13,当月,テーブル!W2:W13)))</f>
        <v>0</v>
      </c>
      <c r="K55" s="213"/>
      <c r="L55" s="214"/>
      <c r="M55" s="4"/>
      <c r="N55" s="215" t="s">
        <v>189</v>
      </c>
      <c r="O55" s="216"/>
      <c r="P55" s="216"/>
      <c r="Q55" s="204">
        <f>+N48+R48*7.5</f>
        <v>0</v>
      </c>
      <c r="R55" s="205"/>
      <c r="S55" s="206"/>
      <c r="T55" s="207"/>
      <c r="U55" s="92" t="s">
        <v>201</v>
      </c>
      <c r="AA55" s="87" t="s">
        <v>192</v>
      </c>
    </row>
    <row r="56" spans="1:34" ht="14.15" customHeight="1" thickTop="1" thickBot="1" x14ac:dyDescent="0.25">
      <c r="A56" s="192" t="str">
        <f ca="1">+IF(給与体系="時給制","深夜残業","月額給")</f>
        <v>月額給</v>
      </c>
      <c r="B56" s="193"/>
      <c r="C56" s="194"/>
      <c r="D56" s="200" t="e">
        <f ca="1">IF(給与体系="時給制",ROUND(基本給単価*(1.5+MAX(0,時間外係数-1.25)),0),IF(給与体系="月給制","",VLOOKUP(給与体系,テーブル!B:F,5,0)))</f>
        <v>#N/A</v>
      </c>
      <c r="E56" s="201"/>
      <c r="F56" s="99" t="str">
        <f ca="1">+IF(給与体系="時給制","＊",IF(給与体系="月給制","","－"))</f>
        <v>－</v>
      </c>
      <c r="G56" s="195" t="e">
        <f ca="1">+IF(給与体系="時給制",深夜残業時間計,IF(給与体系="月給制","月額給",VLOOKUP(給与体系,テーブル!B:G,6,0)))</f>
        <v>#N/A</v>
      </c>
      <c r="H56" s="195"/>
      <c r="I56" s="100" t="str">
        <f ca="1">+IF(給与体系="時給制","h","制")</f>
        <v>制</v>
      </c>
      <c r="J56" s="179">
        <f ca="1">IF(給与体系="時給制",D56*G56,基本給+みなし給)</f>
        <v>0</v>
      </c>
      <c r="K56" s="180"/>
      <c r="L56" s="181"/>
      <c r="M56" s="4"/>
      <c r="N56" s="202" t="s">
        <v>190</v>
      </c>
      <c r="O56" s="203"/>
      <c r="P56" s="203"/>
      <c r="Q56" s="204">
        <f>+Q54-Q55</f>
        <v>0</v>
      </c>
      <c r="R56" s="205"/>
      <c r="S56" s="206"/>
      <c r="T56" s="207"/>
      <c r="U56" s="92" t="s">
        <v>199</v>
      </c>
      <c r="AA56" s="86">
        <f>IF(D62="テレワーク手当",J62/400,IF(D63="テレワーク手当",J63/400,IF(D64="テレワーク手当",J64/400,0)))</f>
        <v>0</v>
      </c>
      <c r="AB56" t="s">
        <v>193</v>
      </c>
    </row>
    <row r="57" spans="1:34" ht="14.15" customHeight="1" thickTop="1" thickBot="1" x14ac:dyDescent="0.25">
      <c r="A57" s="192" t="str">
        <f ca="1">+IF(給与体系="時給制","休日出勤","控除精算")</f>
        <v>控除精算</v>
      </c>
      <c r="B57" s="193"/>
      <c r="C57" s="194"/>
      <c r="D57" s="176" t="e">
        <f ca="1">ROUNDUP(IF(給与種別=0,0,IF(給与体系="時給制",(基本給単価)*1.35,(時間・月額)/SUMIF(テーブル_勤務時間,給与体系,テーブル!C:C))),0)</f>
        <v>#DIV/0!</v>
      </c>
      <c r="E57" s="177"/>
      <c r="F57" s="99" t="s">
        <v>39</v>
      </c>
      <c r="G57" s="195">
        <f ca="1">IF(給与体系="時給制",休日出勤時間計,IF(給与体系="月給制",-1*欠勤時間計,IF(給与体系="140-160時間制",MIN(0,時間合計-140),MIN(0,補正勤務時間合計-SUMIF(テーブル_勤務時間,給与体系,テーブル!H:H)))))</f>
        <v>0</v>
      </c>
      <c r="H57" s="195"/>
      <c r="I57" s="100" t="s">
        <v>40</v>
      </c>
      <c r="J57" s="179" t="e">
        <f ca="1">MAX(控除単価*控除時間,時間・月額*-1)</f>
        <v>#DIV/0!</v>
      </c>
      <c r="K57" s="180"/>
      <c r="L57" s="181"/>
      <c r="M57" s="4"/>
      <c r="N57" s="196" t="s">
        <v>134</v>
      </c>
      <c r="O57" s="197"/>
      <c r="P57" s="198">
        <f ca="1">_xlfn.XLOOKUP(当月,テーブル!U2:U13,テーブル!X2:X13,テーブル!$O$6,FALSE)</f>
        <v>0</v>
      </c>
      <c r="Q57" s="198"/>
      <c r="R57" s="198"/>
      <c r="S57" s="198"/>
      <c r="T57" s="198"/>
      <c r="U57" s="198"/>
      <c r="V57" s="198"/>
      <c r="W57" s="199"/>
    </row>
    <row r="58" spans="1:34" ht="14.15" customHeight="1" x14ac:dyDescent="0.2">
      <c r="A58" s="173" t="str">
        <f ca="1">+IF(給与体系="時給制","休日深夜","超過精算")</f>
        <v>超過精算</v>
      </c>
      <c r="B58" s="174"/>
      <c r="C58" s="175"/>
      <c r="D58" s="176" t="e">
        <f ca="1">ROUNDUP(IF(給与種別=0,((時間・月額+手当１金額)/150),IF(給与体系="時給制",(基本給単価)*1.6,(時間・月額)/SUMIF(テーブル_勤務時間,給与体系,テーブル!C:C))),0)</f>
        <v>#DIV/0!</v>
      </c>
      <c r="E58" s="177"/>
      <c r="F58" s="101" t="s">
        <v>39</v>
      </c>
      <c r="G58" s="178">
        <f ca="1">IF(給与体系="時給制",休日深夜時間計,IF(給与体系="140-160時間制",MAX(0,時間合計-160)*1.25+MAX(0,深夜残業時間計-80)*0.25,(IF(給与体系="管理監督者",(深夜残業時間計+休日深夜時間計)*0.25,MAX(0,補正勤務時間合計-SUMIF(テーブル_勤務時間,給与体系,テーブル!I:I))))))</f>
        <v>0</v>
      </c>
      <c r="H58" s="178"/>
      <c r="I58" s="102" t="s">
        <v>40</v>
      </c>
      <c r="J58" s="179" t="e">
        <f ca="1">超過単価*超過時間</f>
        <v>#DIV/0!</v>
      </c>
      <c r="K58" s="180"/>
      <c r="L58" s="181"/>
      <c r="M58" s="4"/>
      <c r="N58" s="182" t="s">
        <v>157</v>
      </c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94" t="s">
        <v>211</v>
      </c>
    </row>
    <row r="59" spans="1:34" ht="14.15" customHeight="1" thickBot="1" x14ac:dyDescent="0.25">
      <c r="A59" s="183" t="s">
        <v>227</v>
      </c>
      <c r="B59" s="184"/>
      <c r="C59" s="185"/>
      <c r="D59" s="186"/>
      <c r="E59" s="187"/>
      <c r="F59" s="83"/>
      <c r="G59" s="188" t="s">
        <v>255</v>
      </c>
      <c r="H59" s="188"/>
      <c r="I59" s="84"/>
      <c r="J59" s="189" t="str">
        <f>+IF(ISERROR(過不足調整単価*過不足調整時間),"",過不足調整単価*過不足調整時間)</f>
        <v/>
      </c>
      <c r="K59" s="190"/>
      <c r="L59" s="191"/>
      <c r="M59" s="4"/>
      <c r="N59" s="154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95">
        <f ca="1">+SUM(AB17:AB47)+G51*7.5+AB59</f>
        <v>127.5</v>
      </c>
    </row>
    <row r="60" spans="1:34" ht="14.15" customHeight="1" thickTop="1" x14ac:dyDescent="0.2">
      <c r="A60" s="145"/>
      <c r="B60" s="146"/>
      <c r="C60" s="147"/>
      <c r="D60" s="148" t="s">
        <v>148</v>
      </c>
      <c r="E60" s="149"/>
      <c r="F60" s="149"/>
      <c r="G60" s="149"/>
      <c r="H60" s="149"/>
      <c r="I60" s="150"/>
      <c r="J60" s="151" t="e">
        <f ca="1">IF(給与体系="時給制",SUM(基本給:L59),SUM(J56:L59))</f>
        <v>#DIV/0!</v>
      </c>
      <c r="K60" s="152"/>
      <c r="L60" s="153"/>
      <c r="M60" s="4"/>
      <c r="N60" s="154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6"/>
      <c r="AB60" t="s">
        <v>229</v>
      </c>
    </row>
    <row r="61" spans="1:34" ht="14.15" customHeight="1" x14ac:dyDescent="0.2">
      <c r="A61" s="157" t="s">
        <v>137</v>
      </c>
      <c r="B61" s="158" t="s">
        <v>182</v>
      </c>
      <c r="C61" s="159"/>
      <c r="D61" s="160">
        <f>'4月'!D61</f>
        <v>0</v>
      </c>
      <c r="E61" s="161"/>
      <c r="F61" s="161"/>
      <c r="G61" s="161"/>
      <c r="H61" s="161"/>
      <c r="I61" s="162"/>
      <c r="J61" s="126">
        <f>'4月'!手当１金額</f>
        <v>0</v>
      </c>
      <c r="K61" s="127"/>
      <c r="L61" s="128"/>
      <c r="M61" s="4"/>
      <c r="N61" s="115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7"/>
      <c r="AB61" t="s">
        <v>232</v>
      </c>
      <c r="AC61" t="s">
        <v>235</v>
      </c>
    </row>
    <row r="62" spans="1:34" ht="14.15" customHeight="1" x14ac:dyDescent="0.2">
      <c r="A62" s="157"/>
      <c r="B62" s="163" t="s">
        <v>183</v>
      </c>
      <c r="C62" s="120"/>
      <c r="D62" s="133"/>
      <c r="E62" s="134"/>
      <c r="F62" s="134"/>
      <c r="G62" s="134"/>
      <c r="H62" s="134"/>
      <c r="I62" s="135"/>
      <c r="J62" s="126"/>
      <c r="K62" s="127"/>
      <c r="L62" s="128"/>
      <c r="M62" s="4"/>
      <c r="N62" s="115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7"/>
      <c r="AB62" t="s">
        <v>239</v>
      </c>
      <c r="AC62" t="s">
        <v>236</v>
      </c>
    </row>
    <row r="63" spans="1:34" ht="14.15" customHeight="1" x14ac:dyDescent="0.2">
      <c r="A63" s="157"/>
      <c r="B63" s="164"/>
      <c r="C63" s="165"/>
      <c r="D63" s="133"/>
      <c r="E63" s="134"/>
      <c r="F63" s="134"/>
      <c r="G63" s="134"/>
      <c r="H63" s="134"/>
      <c r="I63" s="135"/>
      <c r="J63" s="126"/>
      <c r="K63" s="127"/>
      <c r="L63" s="128"/>
      <c r="M63" s="4"/>
      <c r="N63" s="115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7"/>
      <c r="AB63" t="s">
        <v>245</v>
      </c>
      <c r="AC63" t="s">
        <v>249</v>
      </c>
    </row>
    <row r="64" spans="1:34" ht="14.15" customHeight="1" x14ac:dyDescent="0.2">
      <c r="A64" s="157"/>
      <c r="B64" s="166"/>
      <c r="C64" s="123"/>
      <c r="D64" s="133"/>
      <c r="E64" s="134"/>
      <c r="F64" s="134"/>
      <c r="G64" s="134"/>
      <c r="H64" s="134"/>
      <c r="I64" s="135"/>
      <c r="J64" s="126"/>
      <c r="K64" s="127"/>
      <c r="L64" s="128"/>
      <c r="M64" s="4"/>
      <c r="N64" s="115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7"/>
      <c r="AB64" t="s">
        <v>247</v>
      </c>
      <c r="AC64" t="s">
        <v>237</v>
      </c>
    </row>
    <row r="65" spans="1:29" ht="14.15" customHeight="1" x14ac:dyDescent="0.2">
      <c r="A65" s="136" t="s">
        <v>28</v>
      </c>
      <c r="B65" s="137"/>
      <c r="C65" s="137"/>
      <c r="D65" s="137"/>
      <c r="E65" s="137"/>
      <c r="F65" s="137"/>
      <c r="G65" s="137"/>
      <c r="H65" s="137"/>
      <c r="I65" s="138"/>
      <c r="J65" s="139" t="e">
        <f ca="1">J60+SUM(J62:L64)</f>
        <v>#DIV/0!</v>
      </c>
      <c r="K65" s="140"/>
      <c r="L65" s="141"/>
      <c r="M65" s="4"/>
      <c r="N65" s="142" t="str">
        <f>+IF('4月'!J66=0," ※前月の通勤費がゼロのため通勤交通費が表示されない","")</f>
        <v xml:space="preserve"> ※前月の通勤費がゼロのため通勤交通費が表示されない</v>
      </c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4"/>
    </row>
    <row r="66" spans="1:29" ht="14.15" customHeight="1" x14ac:dyDescent="0.2">
      <c r="A66" s="132" t="s">
        <v>169</v>
      </c>
      <c r="B66" s="124"/>
      <c r="C66" s="124"/>
      <c r="D66" s="124"/>
      <c r="E66" s="124"/>
      <c r="F66" s="124"/>
      <c r="G66" s="124"/>
      <c r="H66" s="124"/>
      <c r="I66" s="125"/>
      <c r="J66" s="126">
        <f>+'1月'!$J$66</f>
        <v>0</v>
      </c>
      <c r="K66" s="127"/>
      <c r="L66" s="128"/>
      <c r="M66" s="4"/>
      <c r="N66" s="115" t="str">
        <f>+IF(C51=0," ※出勤がないため通勤交通費の支給は無し","")</f>
        <v xml:space="preserve"> ※出勤がないため通勤交通費の支給は無し</v>
      </c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7"/>
      <c r="AB66" t="s">
        <v>246</v>
      </c>
      <c r="AC66" t="s">
        <v>253</v>
      </c>
    </row>
    <row r="67" spans="1:29" ht="14.15" customHeight="1" x14ac:dyDescent="0.2">
      <c r="A67" s="132" t="s">
        <v>141</v>
      </c>
      <c r="B67" s="124"/>
      <c r="C67" s="125"/>
      <c r="D67" s="124" t="s">
        <v>138</v>
      </c>
      <c r="E67" s="124"/>
      <c r="F67" s="124"/>
      <c r="G67" s="124"/>
      <c r="H67" s="124"/>
      <c r="I67" s="125"/>
      <c r="J67" s="126">
        <v>0</v>
      </c>
      <c r="K67" s="127"/>
      <c r="L67" s="128"/>
      <c r="N67" s="115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7"/>
      <c r="AB67" t="s">
        <v>248</v>
      </c>
      <c r="AC67" t="s">
        <v>254</v>
      </c>
    </row>
    <row r="68" spans="1:29" ht="14.15" customHeight="1" x14ac:dyDescent="0.2">
      <c r="A68" s="118" t="s">
        <v>140</v>
      </c>
      <c r="B68" s="119"/>
      <c r="C68" s="120"/>
      <c r="D68" s="124" t="s">
        <v>138</v>
      </c>
      <c r="E68" s="124"/>
      <c r="F68" s="124"/>
      <c r="G68" s="124"/>
      <c r="H68" s="124"/>
      <c r="I68" s="125"/>
      <c r="J68" s="126">
        <v>0</v>
      </c>
      <c r="K68" s="127"/>
      <c r="L68" s="128"/>
      <c r="N68" s="115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7"/>
    </row>
    <row r="69" spans="1:29" ht="13.5" customHeight="1" x14ac:dyDescent="0.2">
      <c r="A69" s="121"/>
      <c r="B69" s="122"/>
      <c r="C69" s="123"/>
      <c r="D69" s="124" t="s">
        <v>139</v>
      </c>
      <c r="E69" s="124"/>
      <c r="F69" s="124"/>
      <c r="G69" s="124"/>
      <c r="H69" s="124"/>
      <c r="I69" s="125"/>
      <c r="J69" s="129"/>
      <c r="K69" s="130"/>
      <c r="L69" s="131"/>
      <c r="N69" s="115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7"/>
      <c r="AB69" t="s">
        <v>240</v>
      </c>
      <c r="AC69" t="s">
        <v>233</v>
      </c>
    </row>
    <row r="70" spans="1:29" ht="14.15" customHeight="1" thickBot="1" x14ac:dyDescent="0.25">
      <c r="A70" s="109" t="s">
        <v>31</v>
      </c>
      <c r="B70" s="110"/>
      <c r="C70" s="110"/>
      <c r="D70" s="110"/>
      <c r="E70" s="110"/>
      <c r="F70" s="110"/>
      <c r="G70" s="110"/>
      <c r="H70" s="110"/>
      <c r="I70" s="111"/>
      <c r="J70" s="112" t="e">
        <f ca="1">SUM(J65:L69)</f>
        <v>#DIV/0!</v>
      </c>
      <c r="K70" s="113"/>
      <c r="L70" s="114"/>
      <c r="N70" s="115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7"/>
      <c r="AB70" t="s">
        <v>242</v>
      </c>
      <c r="AC70" t="s">
        <v>241</v>
      </c>
    </row>
    <row r="71" spans="1:29" ht="13.5" thickTop="1" x14ac:dyDescent="0.2">
      <c r="T71">
        <v>0</v>
      </c>
      <c r="AB71" t="s">
        <v>230</v>
      </c>
      <c r="AC71" t="s">
        <v>231</v>
      </c>
    </row>
    <row r="73" spans="1:29" x14ac:dyDescent="0.2">
      <c r="AB73" t="s">
        <v>228</v>
      </c>
    </row>
    <row r="74" spans="1:29" x14ac:dyDescent="0.2">
      <c r="AB74" t="s">
        <v>232</v>
      </c>
      <c r="AC74" t="s">
        <v>234</v>
      </c>
    </row>
    <row r="75" spans="1:29" x14ac:dyDescent="0.2">
      <c r="AB75" t="s">
        <v>239</v>
      </c>
      <c r="AC75" t="s">
        <v>238</v>
      </c>
    </row>
    <row r="76" spans="1:29" x14ac:dyDescent="0.2">
      <c r="AB76" t="s">
        <v>245</v>
      </c>
      <c r="AC76" t="s">
        <v>250</v>
      </c>
    </row>
    <row r="79" spans="1:29" x14ac:dyDescent="0.2">
      <c r="AB79" t="s">
        <v>246</v>
      </c>
      <c r="AC79" t="s">
        <v>251</v>
      </c>
    </row>
    <row r="80" spans="1:29" x14ac:dyDescent="0.2">
      <c r="AB80" t="s">
        <v>248</v>
      </c>
      <c r="AC80" t="s">
        <v>252</v>
      </c>
    </row>
    <row r="82" spans="28:29" x14ac:dyDescent="0.2">
      <c r="AB82" t="s">
        <v>240</v>
      </c>
      <c r="AC82" t="s">
        <v>243</v>
      </c>
    </row>
    <row r="83" spans="28:29" x14ac:dyDescent="0.2">
      <c r="AB83" t="s">
        <v>242</v>
      </c>
      <c r="AC83" t="s">
        <v>244</v>
      </c>
    </row>
  </sheetData>
  <dataConsolidate/>
  <mergeCells count="534">
    <mergeCell ref="T9:Z9"/>
    <mergeCell ref="A10:B11"/>
    <mergeCell ref="C10:J11"/>
    <mergeCell ref="T10:Z10"/>
    <mergeCell ref="Y2:Z2"/>
    <mergeCell ref="A3:Z4"/>
    <mergeCell ref="A5:D5"/>
    <mergeCell ref="E5:I6"/>
    <mergeCell ref="A6:D6"/>
    <mergeCell ref="P7:Z7"/>
    <mergeCell ref="N7:O7"/>
    <mergeCell ref="A12:B13"/>
    <mergeCell ref="C12:J13"/>
    <mergeCell ref="A15:B16"/>
    <mergeCell ref="C15:C16"/>
    <mergeCell ref="D15:G15"/>
    <mergeCell ref="H15:I16"/>
    <mergeCell ref="J15:K16"/>
    <mergeCell ref="A8:B9"/>
    <mergeCell ref="C8:J9"/>
    <mergeCell ref="A17:B17"/>
    <mergeCell ref="D17:E17"/>
    <mergeCell ref="F17:G17"/>
    <mergeCell ref="H17:I17"/>
    <mergeCell ref="J17:K17"/>
    <mergeCell ref="L17:M17"/>
    <mergeCell ref="L15:M16"/>
    <mergeCell ref="N15:O16"/>
    <mergeCell ref="P15:Q16"/>
    <mergeCell ref="N17:O17"/>
    <mergeCell ref="P17:Q17"/>
    <mergeCell ref="R17:S17"/>
    <mergeCell ref="T17:U17"/>
    <mergeCell ref="V17:W17"/>
    <mergeCell ref="X17:Z17"/>
    <mergeCell ref="X15:Z16"/>
    <mergeCell ref="AA15:AA16"/>
    <mergeCell ref="D16:E16"/>
    <mergeCell ref="F16:G16"/>
    <mergeCell ref="R15:S16"/>
    <mergeCell ref="T15:U16"/>
    <mergeCell ref="V15:W16"/>
    <mergeCell ref="N18:O18"/>
    <mergeCell ref="P18:Q18"/>
    <mergeCell ref="R18:S18"/>
    <mergeCell ref="T18:U18"/>
    <mergeCell ref="V18:W18"/>
    <mergeCell ref="X18:Z18"/>
    <mergeCell ref="A18:B18"/>
    <mergeCell ref="D18:E18"/>
    <mergeCell ref="F18:G18"/>
    <mergeCell ref="H18:I18"/>
    <mergeCell ref="J18:K18"/>
    <mergeCell ref="L18:M18"/>
    <mergeCell ref="N19:O19"/>
    <mergeCell ref="P19:Q19"/>
    <mergeCell ref="R19:S19"/>
    <mergeCell ref="T19:U19"/>
    <mergeCell ref="V19:W19"/>
    <mergeCell ref="X19:Z19"/>
    <mergeCell ref="A19:B19"/>
    <mergeCell ref="D19:E19"/>
    <mergeCell ref="F19:G19"/>
    <mergeCell ref="H19:I19"/>
    <mergeCell ref="J19:K19"/>
    <mergeCell ref="L19:M19"/>
    <mergeCell ref="N20:O20"/>
    <mergeCell ref="P20:Q20"/>
    <mergeCell ref="R20:S20"/>
    <mergeCell ref="T20:U20"/>
    <mergeCell ref="V20:W20"/>
    <mergeCell ref="X20:Z20"/>
    <mergeCell ref="A20:B20"/>
    <mergeCell ref="D20:E20"/>
    <mergeCell ref="F20:G20"/>
    <mergeCell ref="H20:I20"/>
    <mergeCell ref="J20:K20"/>
    <mergeCell ref="L20:M20"/>
    <mergeCell ref="N21:O21"/>
    <mergeCell ref="P21:Q21"/>
    <mergeCell ref="R21:S21"/>
    <mergeCell ref="T21:U21"/>
    <mergeCell ref="V21:W21"/>
    <mergeCell ref="X21:Z21"/>
    <mergeCell ref="A21:B21"/>
    <mergeCell ref="D21:E21"/>
    <mergeCell ref="F21:G21"/>
    <mergeCell ref="H21:I21"/>
    <mergeCell ref="J21:K21"/>
    <mergeCell ref="L21:M21"/>
    <mergeCell ref="N22:O22"/>
    <mergeCell ref="P22:Q22"/>
    <mergeCell ref="R22:S22"/>
    <mergeCell ref="T22:U22"/>
    <mergeCell ref="V22:W22"/>
    <mergeCell ref="X22:Z22"/>
    <mergeCell ref="A22:B22"/>
    <mergeCell ref="D22:E22"/>
    <mergeCell ref="F22:G22"/>
    <mergeCell ref="H22:I22"/>
    <mergeCell ref="J22:K22"/>
    <mergeCell ref="L22:M22"/>
    <mergeCell ref="N23:O23"/>
    <mergeCell ref="P23:Q23"/>
    <mergeCell ref="R23:S23"/>
    <mergeCell ref="T23:U23"/>
    <mergeCell ref="V23:W23"/>
    <mergeCell ref="X23:Z23"/>
    <mergeCell ref="A23:B23"/>
    <mergeCell ref="D23:E23"/>
    <mergeCell ref="F23:G23"/>
    <mergeCell ref="H23:I23"/>
    <mergeCell ref="J23:K23"/>
    <mergeCell ref="L23:M23"/>
    <mergeCell ref="N24:O24"/>
    <mergeCell ref="P24:Q24"/>
    <mergeCell ref="R24:S24"/>
    <mergeCell ref="T24:U24"/>
    <mergeCell ref="V24:W24"/>
    <mergeCell ref="X24:Z24"/>
    <mergeCell ref="A24:B24"/>
    <mergeCell ref="D24:E24"/>
    <mergeCell ref="F24:G24"/>
    <mergeCell ref="H24:I24"/>
    <mergeCell ref="J24:K24"/>
    <mergeCell ref="L24:M24"/>
    <mergeCell ref="N25:O25"/>
    <mergeCell ref="P25:Q25"/>
    <mergeCell ref="R25:S25"/>
    <mergeCell ref="T25:U25"/>
    <mergeCell ref="V25:W25"/>
    <mergeCell ref="X25:Z25"/>
    <mergeCell ref="A25:B25"/>
    <mergeCell ref="D25:E25"/>
    <mergeCell ref="F25:G25"/>
    <mergeCell ref="H25:I25"/>
    <mergeCell ref="J25:K25"/>
    <mergeCell ref="L25:M25"/>
    <mergeCell ref="N26:O26"/>
    <mergeCell ref="P26:Q26"/>
    <mergeCell ref="R26:S26"/>
    <mergeCell ref="T26:U26"/>
    <mergeCell ref="V26:W26"/>
    <mergeCell ref="X26:Z26"/>
    <mergeCell ref="A26:B26"/>
    <mergeCell ref="D26:E26"/>
    <mergeCell ref="F26:G26"/>
    <mergeCell ref="H26:I26"/>
    <mergeCell ref="J26:K26"/>
    <mergeCell ref="L26:M26"/>
    <mergeCell ref="N27:O27"/>
    <mergeCell ref="P27:Q27"/>
    <mergeCell ref="R27:S27"/>
    <mergeCell ref="T27:U27"/>
    <mergeCell ref="V27:W27"/>
    <mergeCell ref="X27:Z27"/>
    <mergeCell ref="A27:B27"/>
    <mergeCell ref="D27:E27"/>
    <mergeCell ref="F27:G27"/>
    <mergeCell ref="H27:I27"/>
    <mergeCell ref="J27:K27"/>
    <mergeCell ref="L27:M27"/>
    <mergeCell ref="N28:O28"/>
    <mergeCell ref="P28:Q28"/>
    <mergeCell ref="R28:S28"/>
    <mergeCell ref="T28:U28"/>
    <mergeCell ref="V28:W28"/>
    <mergeCell ref="X28:Z28"/>
    <mergeCell ref="A28:B28"/>
    <mergeCell ref="D28:E28"/>
    <mergeCell ref="F28:G28"/>
    <mergeCell ref="H28:I28"/>
    <mergeCell ref="J28:K28"/>
    <mergeCell ref="L28:M28"/>
    <mergeCell ref="N29:O29"/>
    <mergeCell ref="P29:Q29"/>
    <mergeCell ref="R29:S29"/>
    <mergeCell ref="T29:U29"/>
    <mergeCell ref="V29:W29"/>
    <mergeCell ref="X29:Z29"/>
    <mergeCell ref="A29:B29"/>
    <mergeCell ref="D29:E29"/>
    <mergeCell ref="F29:G29"/>
    <mergeCell ref="H29:I29"/>
    <mergeCell ref="J29:K29"/>
    <mergeCell ref="L29:M29"/>
    <mergeCell ref="N30:O30"/>
    <mergeCell ref="P30:Q30"/>
    <mergeCell ref="R30:S30"/>
    <mergeCell ref="T30:U30"/>
    <mergeCell ref="V30:W30"/>
    <mergeCell ref="X30:Z30"/>
    <mergeCell ref="A30:B30"/>
    <mergeCell ref="D30:E30"/>
    <mergeCell ref="F30:G30"/>
    <mergeCell ref="H30:I30"/>
    <mergeCell ref="J30:K30"/>
    <mergeCell ref="L30:M30"/>
    <mergeCell ref="N31:O31"/>
    <mergeCell ref="P31:Q31"/>
    <mergeCell ref="R31:S31"/>
    <mergeCell ref="T31:U31"/>
    <mergeCell ref="V31:W31"/>
    <mergeCell ref="X31:Z31"/>
    <mergeCell ref="A31:B31"/>
    <mergeCell ref="D31:E31"/>
    <mergeCell ref="F31:G31"/>
    <mergeCell ref="H31:I31"/>
    <mergeCell ref="J31:K31"/>
    <mergeCell ref="L31:M31"/>
    <mergeCell ref="N32:O32"/>
    <mergeCell ref="P32:Q32"/>
    <mergeCell ref="R32:S32"/>
    <mergeCell ref="T32:U32"/>
    <mergeCell ref="V32:W32"/>
    <mergeCell ref="X32:Z32"/>
    <mergeCell ref="A32:B32"/>
    <mergeCell ref="D32:E32"/>
    <mergeCell ref="F32:G32"/>
    <mergeCell ref="H32:I32"/>
    <mergeCell ref="J32:K32"/>
    <mergeCell ref="L32:M32"/>
    <mergeCell ref="N33:O33"/>
    <mergeCell ref="P33:Q33"/>
    <mergeCell ref="R33:S33"/>
    <mergeCell ref="T33:U33"/>
    <mergeCell ref="V33:W33"/>
    <mergeCell ref="X33:Z33"/>
    <mergeCell ref="A33:B33"/>
    <mergeCell ref="D33:E33"/>
    <mergeCell ref="F33:G33"/>
    <mergeCell ref="H33:I33"/>
    <mergeCell ref="J33:K33"/>
    <mergeCell ref="L33:M33"/>
    <mergeCell ref="N34:O34"/>
    <mergeCell ref="P34:Q34"/>
    <mergeCell ref="R34:S34"/>
    <mergeCell ref="T34:U34"/>
    <mergeCell ref="V34:W34"/>
    <mergeCell ref="X34:Z34"/>
    <mergeCell ref="A34:B34"/>
    <mergeCell ref="D34:E34"/>
    <mergeCell ref="F34:G34"/>
    <mergeCell ref="H34:I34"/>
    <mergeCell ref="J34:K34"/>
    <mergeCell ref="L34:M34"/>
    <mergeCell ref="N35:O35"/>
    <mergeCell ref="P35:Q35"/>
    <mergeCell ref="R35:S35"/>
    <mergeCell ref="T35:U35"/>
    <mergeCell ref="V35:W35"/>
    <mergeCell ref="X35:Z35"/>
    <mergeCell ref="A35:B35"/>
    <mergeCell ref="D35:E35"/>
    <mergeCell ref="F35:G35"/>
    <mergeCell ref="H35:I35"/>
    <mergeCell ref="J35:K35"/>
    <mergeCell ref="L35:M35"/>
    <mergeCell ref="N36:O36"/>
    <mergeCell ref="P36:Q36"/>
    <mergeCell ref="R36:S36"/>
    <mergeCell ref="T36:U36"/>
    <mergeCell ref="V36:W36"/>
    <mergeCell ref="X36:Z36"/>
    <mergeCell ref="A36:B36"/>
    <mergeCell ref="D36:E36"/>
    <mergeCell ref="F36:G36"/>
    <mergeCell ref="H36:I36"/>
    <mergeCell ref="J36:K36"/>
    <mergeCell ref="L36:M36"/>
    <mergeCell ref="N37:O37"/>
    <mergeCell ref="P37:Q37"/>
    <mergeCell ref="R37:S37"/>
    <mergeCell ref="T37:U37"/>
    <mergeCell ref="V37:W37"/>
    <mergeCell ref="X37:Z37"/>
    <mergeCell ref="A37:B37"/>
    <mergeCell ref="D37:E37"/>
    <mergeCell ref="F37:G37"/>
    <mergeCell ref="H37:I37"/>
    <mergeCell ref="J37:K37"/>
    <mergeCell ref="L37:M37"/>
    <mergeCell ref="N38:O38"/>
    <mergeCell ref="P38:Q38"/>
    <mergeCell ref="R38:S38"/>
    <mergeCell ref="T38:U38"/>
    <mergeCell ref="V38:W38"/>
    <mergeCell ref="X38:Z38"/>
    <mergeCell ref="A38:B38"/>
    <mergeCell ref="D38:E38"/>
    <mergeCell ref="F38:G38"/>
    <mergeCell ref="H38:I38"/>
    <mergeCell ref="J38:K38"/>
    <mergeCell ref="L38:M38"/>
    <mergeCell ref="N39:O39"/>
    <mergeCell ref="P39:Q39"/>
    <mergeCell ref="R39:S39"/>
    <mergeCell ref="T39:U39"/>
    <mergeCell ref="V39:W39"/>
    <mergeCell ref="X39:Z39"/>
    <mergeCell ref="A39:B39"/>
    <mergeCell ref="D39:E39"/>
    <mergeCell ref="F39:G39"/>
    <mergeCell ref="H39:I39"/>
    <mergeCell ref="J39:K39"/>
    <mergeCell ref="L39:M39"/>
    <mergeCell ref="N40:O40"/>
    <mergeCell ref="P40:Q40"/>
    <mergeCell ref="R40:S40"/>
    <mergeCell ref="T40:U40"/>
    <mergeCell ref="V40:W40"/>
    <mergeCell ref="X40:Z40"/>
    <mergeCell ref="A40:B40"/>
    <mergeCell ref="D40:E40"/>
    <mergeCell ref="F40:G40"/>
    <mergeCell ref="H40:I40"/>
    <mergeCell ref="J40:K40"/>
    <mergeCell ref="L40:M40"/>
    <mergeCell ref="N41:O41"/>
    <mergeCell ref="P41:Q41"/>
    <mergeCell ref="R41:S41"/>
    <mergeCell ref="T41:U41"/>
    <mergeCell ref="V41:W41"/>
    <mergeCell ref="X41:Z41"/>
    <mergeCell ref="A41:B41"/>
    <mergeCell ref="D41:E41"/>
    <mergeCell ref="F41:G41"/>
    <mergeCell ref="H41:I41"/>
    <mergeCell ref="J41:K41"/>
    <mergeCell ref="L41:M41"/>
    <mergeCell ref="N42:O42"/>
    <mergeCell ref="P42:Q42"/>
    <mergeCell ref="R42:S42"/>
    <mergeCell ref="T42:U42"/>
    <mergeCell ref="V42:W42"/>
    <mergeCell ref="X42:Z42"/>
    <mergeCell ref="A42:B42"/>
    <mergeCell ref="D42:E42"/>
    <mergeCell ref="F42:G42"/>
    <mergeCell ref="H42:I42"/>
    <mergeCell ref="J42:K42"/>
    <mergeCell ref="L42:M42"/>
    <mergeCell ref="N43:O43"/>
    <mergeCell ref="P43:Q43"/>
    <mergeCell ref="R43:S43"/>
    <mergeCell ref="T43:U43"/>
    <mergeCell ref="V43:W43"/>
    <mergeCell ref="X43:Z43"/>
    <mergeCell ref="A43:B43"/>
    <mergeCell ref="D43:E43"/>
    <mergeCell ref="F43:G43"/>
    <mergeCell ref="H43:I43"/>
    <mergeCell ref="J43:K43"/>
    <mergeCell ref="L43:M43"/>
    <mergeCell ref="N44:O44"/>
    <mergeCell ref="P44:Q44"/>
    <mergeCell ref="R44:S44"/>
    <mergeCell ref="T44:U44"/>
    <mergeCell ref="V44:W44"/>
    <mergeCell ref="X44:Z44"/>
    <mergeCell ref="A44:B44"/>
    <mergeCell ref="D44:E44"/>
    <mergeCell ref="F44:G44"/>
    <mergeCell ref="H44:I44"/>
    <mergeCell ref="J44:K44"/>
    <mergeCell ref="L44:M44"/>
    <mergeCell ref="N45:O45"/>
    <mergeCell ref="P45:Q45"/>
    <mergeCell ref="R45:S45"/>
    <mergeCell ref="T45:U45"/>
    <mergeCell ref="V45:W45"/>
    <mergeCell ref="X45:Z45"/>
    <mergeCell ref="A45:B45"/>
    <mergeCell ref="D45:E45"/>
    <mergeCell ref="F45:G45"/>
    <mergeCell ref="H45:I45"/>
    <mergeCell ref="J45:K45"/>
    <mergeCell ref="L45:M45"/>
    <mergeCell ref="N46:O46"/>
    <mergeCell ref="P46:Q46"/>
    <mergeCell ref="R46:S46"/>
    <mergeCell ref="T46:U46"/>
    <mergeCell ref="V46:W46"/>
    <mergeCell ref="X46:Z46"/>
    <mergeCell ref="A46:B46"/>
    <mergeCell ref="D46:E46"/>
    <mergeCell ref="F46:G46"/>
    <mergeCell ref="H46:I46"/>
    <mergeCell ref="J46:K46"/>
    <mergeCell ref="L46:M46"/>
    <mergeCell ref="N47:O47"/>
    <mergeCell ref="P47:Q47"/>
    <mergeCell ref="R47:S47"/>
    <mergeCell ref="T47:U47"/>
    <mergeCell ref="V47:W47"/>
    <mergeCell ref="X47:Z47"/>
    <mergeCell ref="A47:B47"/>
    <mergeCell ref="D47:E47"/>
    <mergeCell ref="F47:G47"/>
    <mergeCell ref="H47:I47"/>
    <mergeCell ref="J47:K47"/>
    <mergeCell ref="L47:M47"/>
    <mergeCell ref="N48:O48"/>
    <mergeCell ref="P48:Q48"/>
    <mergeCell ref="R48:S48"/>
    <mergeCell ref="T48:U48"/>
    <mergeCell ref="V48:W48"/>
    <mergeCell ref="X48:Z48"/>
    <mergeCell ref="A48:B48"/>
    <mergeCell ref="D48:E48"/>
    <mergeCell ref="F48:G48"/>
    <mergeCell ref="H48:I48"/>
    <mergeCell ref="J48:K48"/>
    <mergeCell ref="L48:M48"/>
    <mergeCell ref="Y52:Z52"/>
    <mergeCell ref="A52:E52"/>
    <mergeCell ref="F52:H52"/>
    <mergeCell ref="I52:J52"/>
    <mergeCell ref="V49:W49"/>
    <mergeCell ref="X49:Z49"/>
    <mergeCell ref="A50:K50"/>
    <mergeCell ref="L50:M50"/>
    <mergeCell ref="N50:O50"/>
    <mergeCell ref="P50:Q50"/>
    <mergeCell ref="R50:S50"/>
    <mergeCell ref="T50:U50"/>
    <mergeCell ref="V50:W50"/>
    <mergeCell ref="X50:Z50"/>
    <mergeCell ref="A49:K49"/>
    <mergeCell ref="L49:M49"/>
    <mergeCell ref="N49:O49"/>
    <mergeCell ref="P49:Q49"/>
    <mergeCell ref="R49:S49"/>
    <mergeCell ref="T49:U49"/>
    <mergeCell ref="K52:L52"/>
    <mergeCell ref="M52:N52"/>
    <mergeCell ref="O52:P52"/>
    <mergeCell ref="Q52:R52"/>
    <mergeCell ref="AE50:AF50"/>
    <mergeCell ref="A51:B51"/>
    <mergeCell ref="C51:D51"/>
    <mergeCell ref="E51:F51"/>
    <mergeCell ref="G51:H51"/>
    <mergeCell ref="I51:J51"/>
    <mergeCell ref="K51:L51"/>
    <mergeCell ref="M51:N51"/>
    <mergeCell ref="O51:P51"/>
    <mergeCell ref="Q51:R51"/>
    <mergeCell ref="S51:T51"/>
    <mergeCell ref="U51:V51"/>
    <mergeCell ref="W51:X51"/>
    <mergeCell ref="Y51:Z51"/>
    <mergeCell ref="Q56:T56"/>
    <mergeCell ref="Y53:Z53"/>
    <mergeCell ref="Y54:Z54"/>
    <mergeCell ref="A55:C55"/>
    <mergeCell ref="D55:E55"/>
    <mergeCell ref="G55:H55"/>
    <mergeCell ref="J55:L55"/>
    <mergeCell ref="N55:P55"/>
    <mergeCell ref="Q55:T55"/>
    <mergeCell ref="A54:C54"/>
    <mergeCell ref="D54:E54"/>
    <mergeCell ref="G54:H54"/>
    <mergeCell ref="J54:L54"/>
    <mergeCell ref="N54:P54"/>
    <mergeCell ref="Q54:T54"/>
    <mergeCell ref="A53:C53"/>
    <mergeCell ref="D53:E53"/>
    <mergeCell ref="G53:H53"/>
    <mergeCell ref="J53:L53"/>
    <mergeCell ref="S52:T52"/>
    <mergeCell ref="U52:V52"/>
    <mergeCell ref="W52:X52"/>
    <mergeCell ref="A58:C58"/>
    <mergeCell ref="D58:E58"/>
    <mergeCell ref="G58:H58"/>
    <mergeCell ref="J58:L58"/>
    <mergeCell ref="N58:Z58"/>
    <mergeCell ref="A59:C59"/>
    <mergeCell ref="D59:E59"/>
    <mergeCell ref="G59:H59"/>
    <mergeCell ref="J59:L59"/>
    <mergeCell ref="N59:Z59"/>
    <mergeCell ref="A57:C57"/>
    <mergeCell ref="D57:E57"/>
    <mergeCell ref="G57:H57"/>
    <mergeCell ref="J57:L57"/>
    <mergeCell ref="N57:O57"/>
    <mergeCell ref="P57:W57"/>
    <mergeCell ref="A56:C56"/>
    <mergeCell ref="D56:E56"/>
    <mergeCell ref="G56:H56"/>
    <mergeCell ref="J56:L56"/>
    <mergeCell ref="N56:P56"/>
    <mergeCell ref="D62:I62"/>
    <mergeCell ref="J62:L62"/>
    <mergeCell ref="N62:Z62"/>
    <mergeCell ref="D63:I63"/>
    <mergeCell ref="J63:L63"/>
    <mergeCell ref="N63:Z63"/>
    <mergeCell ref="A60:C60"/>
    <mergeCell ref="D60:I60"/>
    <mergeCell ref="J60:L60"/>
    <mergeCell ref="N60:Z60"/>
    <mergeCell ref="A61:A64"/>
    <mergeCell ref="B61:C61"/>
    <mergeCell ref="D61:I61"/>
    <mergeCell ref="J61:L61"/>
    <mergeCell ref="N61:Z61"/>
    <mergeCell ref="B62:C64"/>
    <mergeCell ref="A66:I66"/>
    <mergeCell ref="J66:L66"/>
    <mergeCell ref="N66:Z66"/>
    <mergeCell ref="A67:C67"/>
    <mergeCell ref="D67:I67"/>
    <mergeCell ref="J67:L67"/>
    <mergeCell ref="N67:Z67"/>
    <mergeCell ref="D64:I64"/>
    <mergeCell ref="J64:L64"/>
    <mergeCell ref="N64:Z64"/>
    <mergeCell ref="A65:I65"/>
    <mergeCell ref="J65:L65"/>
    <mergeCell ref="N65:Z65"/>
    <mergeCell ref="A70:I70"/>
    <mergeCell ref="J70:L70"/>
    <mergeCell ref="N70:Z70"/>
    <mergeCell ref="A68:C69"/>
    <mergeCell ref="D68:I68"/>
    <mergeCell ref="J68:L68"/>
    <mergeCell ref="N68:Z68"/>
    <mergeCell ref="D69:I69"/>
    <mergeCell ref="J69:L69"/>
    <mergeCell ref="N69:Z69"/>
  </mergeCells>
  <phoneticPr fontId="3"/>
  <conditionalFormatting sqref="A17:AA47">
    <cfRule type="expression" dxfId="3445" priority="308" stopIfTrue="1">
      <formula>$X17="所休"</formula>
    </cfRule>
    <cfRule type="expression" dxfId="3444" priority="307">
      <formula>$X17="法休"</formula>
    </cfRule>
  </conditionalFormatting>
  <conditionalFormatting sqref="J17:K17">
    <cfRule type="cellIs" dxfId="3443" priority="306" stopIfTrue="1" operator="equal">
      <formula>0</formula>
    </cfRule>
  </conditionalFormatting>
  <conditionalFormatting sqref="L17:M17">
    <cfRule type="cellIs" dxfId="3442" priority="305" stopIfTrue="1" operator="equal">
      <formula>0</formula>
    </cfRule>
  </conditionalFormatting>
  <conditionalFormatting sqref="N17:O17">
    <cfRule type="cellIs" dxfId="3441" priority="304" stopIfTrue="1" operator="equal">
      <formula>0</formula>
    </cfRule>
  </conditionalFormatting>
  <conditionalFormatting sqref="P17:Q17">
    <cfRule type="cellIs" dxfId="3440" priority="303" stopIfTrue="1" operator="equal">
      <formula>0</formula>
    </cfRule>
  </conditionalFormatting>
  <conditionalFormatting sqref="R17:S17">
    <cfRule type="cellIs" dxfId="3439" priority="302" stopIfTrue="1" operator="equal">
      <formula>0</formula>
    </cfRule>
  </conditionalFormatting>
  <conditionalFormatting sqref="T17:U17">
    <cfRule type="cellIs" dxfId="3438" priority="301" stopIfTrue="1" operator="equal">
      <formula>0</formula>
    </cfRule>
  </conditionalFormatting>
  <conditionalFormatting sqref="V17:W17">
    <cfRule type="cellIs" dxfId="3437" priority="300" stopIfTrue="1" operator="equal">
      <formula>0</formula>
    </cfRule>
  </conditionalFormatting>
  <conditionalFormatting sqref="J18:K18">
    <cfRule type="cellIs" dxfId="3436" priority="299" stopIfTrue="1" operator="equal">
      <formula>0</formula>
    </cfRule>
  </conditionalFormatting>
  <conditionalFormatting sqref="L18:M18">
    <cfRule type="cellIs" dxfId="3435" priority="298" stopIfTrue="1" operator="equal">
      <formula>0</formula>
    </cfRule>
  </conditionalFormatting>
  <conditionalFormatting sqref="N18:O18">
    <cfRule type="cellIs" dxfId="3434" priority="297" stopIfTrue="1" operator="equal">
      <formula>0</formula>
    </cfRule>
  </conditionalFormatting>
  <conditionalFormatting sqref="P18:Q18">
    <cfRule type="cellIs" dxfId="3433" priority="296" stopIfTrue="1" operator="equal">
      <formula>0</formula>
    </cfRule>
  </conditionalFormatting>
  <conditionalFormatting sqref="R18:S18">
    <cfRule type="cellIs" dxfId="3432" priority="295" stopIfTrue="1" operator="equal">
      <formula>0</formula>
    </cfRule>
  </conditionalFormatting>
  <conditionalFormatting sqref="T18:U18">
    <cfRule type="cellIs" dxfId="3431" priority="294" stopIfTrue="1" operator="equal">
      <formula>0</formula>
    </cfRule>
  </conditionalFormatting>
  <conditionalFormatting sqref="V18:W18">
    <cfRule type="cellIs" dxfId="3430" priority="293" stopIfTrue="1" operator="equal">
      <formula>0</formula>
    </cfRule>
  </conditionalFormatting>
  <conditionalFormatting sqref="J19:K19">
    <cfRule type="cellIs" dxfId="3429" priority="292" stopIfTrue="1" operator="equal">
      <formula>0</formula>
    </cfRule>
  </conditionalFormatting>
  <conditionalFormatting sqref="L19:M19">
    <cfRule type="cellIs" dxfId="3428" priority="291" stopIfTrue="1" operator="equal">
      <formula>0</formula>
    </cfRule>
  </conditionalFormatting>
  <conditionalFormatting sqref="N19:O19">
    <cfRule type="cellIs" dxfId="3427" priority="290" stopIfTrue="1" operator="equal">
      <formula>0</formula>
    </cfRule>
  </conditionalFormatting>
  <conditionalFormatting sqref="P19:Q19">
    <cfRule type="cellIs" dxfId="3426" priority="289" stopIfTrue="1" operator="equal">
      <formula>0</formula>
    </cfRule>
  </conditionalFormatting>
  <conditionalFormatting sqref="R19:S19">
    <cfRule type="cellIs" dxfId="3425" priority="288" stopIfTrue="1" operator="equal">
      <formula>0</formula>
    </cfRule>
  </conditionalFormatting>
  <conditionalFormatting sqref="T19:U19">
    <cfRule type="cellIs" dxfId="3424" priority="287" stopIfTrue="1" operator="equal">
      <formula>0</formula>
    </cfRule>
  </conditionalFormatting>
  <conditionalFormatting sqref="V19:W19">
    <cfRule type="cellIs" dxfId="3423" priority="286" stopIfTrue="1" operator="equal">
      <formula>0</formula>
    </cfRule>
  </conditionalFormatting>
  <conditionalFormatting sqref="J20:K20">
    <cfRule type="cellIs" dxfId="3422" priority="285" stopIfTrue="1" operator="equal">
      <formula>0</formula>
    </cfRule>
  </conditionalFormatting>
  <conditionalFormatting sqref="L20:M20">
    <cfRule type="cellIs" dxfId="3421" priority="284" stopIfTrue="1" operator="equal">
      <formula>0</formula>
    </cfRule>
  </conditionalFormatting>
  <conditionalFormatting sqref="N20:O20">
    <cfRule type="cellIs" dxfId="3420" priority="283" stopIfTrue="1" operator="equal">
      <formula>0</formula>
    </cfRule>
  </conditionalFormatting>
  <conditionalFormatting sqref="P20:Q20">
    <cfRule type="cellIs" dxfId="3419" priority="282" stopIfTrue="1" operator="equal">
      <formula>0</formula>
    </cfRule>
  </conditionalFormatting>
  <conditionalFormatting sqref="R20:S20">
    <cfRule type="cellIs" dxfId="3418" priority="281" stopIfTrue="1" operator="equal">
      <formula>0</formula>
    </cfRule>
  </conditionalFormatting>
  <conditionalFormatting sqref="T20:U20">
    <cfRule type="cellIs" dxfId="3417" priority="280" stopIfTrue="1" operator="equal">
      <formula>0</formula>
    </cfRule>
  </conditionalFormatting>
  <conditionalFormatting sqref="V20:W20">
    <cfRule type="cellIs" dxfId="3416" priority="279" stopIfTrue="1" operator="equal">
      <formula>0</formula>
    </cfRule>
  </conditionalFormatting>
  <conditionalFormatting sqref="J21:K21">
    <cfRule type="cellIs" dxfId="3415" priority="278" stopIfTrue="1" operator="equal">
      <formula>0</formula>
    </cfRule>
  </conditionalFormatting>
  <conditionalFormatting sqref="L21:M21">
    <cfRule type="cellIs" dxfId="3414" priority="277" stopIfTrue="1" operator="equal">
      <formula>0</formula>
    </cfRule>
  </conditionalFormatting>
  <conditionalFormatting sqref="N21:O21">
    <cfRule type="cellIs" dxfId="3413" priority="276" stopIfTrue="1" operator="equal">
      <formula>0</formula>
    </cfRule>
  </conditionalFormatting>
  <conditionalFormatting sqref="P21:Q21">
    <cfRule type="cellIs" dxfId="3412" priority="275" stopIfTrue="1" operator="equal">
      <formula>0</formula>
    </cfRule>
  </conditionalFormatting>
  <conditionalFormatting sqref="R21:S21">
    <cfRule type="cellIs" dxfId="3411" priority="274" stopIfTrue="1" operator="equal">
      <formula>0</formula>
    </cfRule>
  </conditionalFormatting>
  <conditionalFormatting sqref="T21:U21">
    <cfRule type="cellIs" dxfId="3410" priority="273" stopIfTrue="1" operator="equal">
      <formula>0</formula>
    </cfRule>
  </conditionalFormatting>
  <conditionalFormatting sqref="V21:W21">
    <cfRule type="cellIs" dxfId="3409" priority="272" stopIfTrue="1" operator="equal">
      <formula>0</formula>
    </cfRule>
  </conditionalFormatting>
  <conditionalFormatting sqref="J22:K22">
    <cfRule type="cellIs" dxfId="3408" priority="271" stopIfTrue="1" operator="equal">
      <formula>0</formula>
    </cfRule>
  </conditionalFormatting>
  <conditionalFormatting sqref="L22:M22">
    <cfRule type="cellIs" dxfId="3407" priority="270" stopIfTrue="1" operator="equal">
      <formula>0</formula>
    </cfRule>
  </conditionalFormatting>
  <conditionalFormatting sqref="N22:O22">
    <cfRule type="cellIs" dxfId="3406" priority="269" stopIfTrue="1" operator="equal">
      <formula>0</formula>
    </cfRule>
  </conditionalFormatting>
  <conditionalFormatting sqref="P22:Q22">
    <cfRule type="cellIs" dxfId="3405" priority="268" stopIfTrue="1" operator="equal">
      <formula>0</formula>
    </cfRule>
  </conditionalFormatting>
  <conditionalFormatting sqref="R22:S22">
    <cfRule type="cellIs" dxfId="3404" priority="267" stopIfTrue="1" operator="equal">
      <formula>0</formula>
    </cfRule>
  </conditionalFormatting>
  <conditionalFormatting sqref="T22:U22">
    <cfRule type="cellIs" dxfId="3403" priority="266" stopIfTrue="1" operator="equal">
      <formula>0</formula>
    </cfRule>
  </conditionalFormatting>
  <conditionalFormatting sqref="V22:W22">
    <cfRule type="cellIs" dxfId="3402" priority="265" stopIfTrue="1" operator="equal">
      <formula>0</formula>
    </cfRule>
  </conditionalFormatting>
  <conditionalFormatting sqref="J23:K23">
    <cfRule type="cellIs" dxfId="3401" priority="264" stopIfTrue="1" operator="equal">
      <formula>0</formula>
    </cfRule>
  </conditionalFormatting>
  <conditionalFormatting sqref="L23:M23">
    <cfRule type="cellIs" dxfId="3400" priority="263" stopIfTrue="1" operator="equal">
      <formula>0</formula>
    </cfRule>
  </conditionalFormatting>
  <conditionalFormatting sqref="N23:O23">
    <cfRule type="cellIs" dxfId="3399" priority="262" stopIfTrue="1" operator="equal">
      <formula>0</formula>
    </cfRule>
  </conditionalFormatting>
  <conditionalFormatting sqref="P23:Q23">
    <cfRule type="cellIs" dxfId="3398" priority="261" stopIfTrue="1" operator="equal">
      <formula>0</formula>
    </cfRule>
  </conditionalFormatting>
  <conditionalFormatting sqref="R23:S23">
    <cfRule type="cellIs" dxfId="3397" priority="260" stopIfTrue="1" operator="equal">
      <formula>0</formula>
    </cfRule>
  </conditionalFormatting>
  <conditionalFormatting sqref="T23:U23">
    <cfRule type="cellIs" dxfId="3396" priority="259" stopIfTrue="1" operator="equal">
      <formula>0</formula>
    </cfRule>
  </conditionalFormatting>
  <conditionalFormatting sqref="V23:W23">
    <cfRule type="cellIs" dxfId="3395" priority="258" stopIfTrue="1" operator="equal">
      <formula>0</formula>
    </cfRule>
  </conditionalFormatting>
  <conditionalFormatting sqref="J24:K24">
    <cfRule type="cellIs" dxfId="3394" priority="257" stopIfTrue="1" operator="equal">
      <formula>0</formula>
    </cfRule>
  </conditionalFormatting>
  <conditionalFormatting sqref="L24:M24">
    <cfRule type="cellIs" dxfId="3393" priority="256" stopIfTrue="1" operator="equal">
      <formula>0</formula>
    </cfRule>
  </conditionalFormatting>
  <conditionalFormatting sqref="N24:O24">
    <cfRule type="cellIs" dxfId="3392" priority="255" stopIfTrue="1" operator="equal">
      <formula>0</formula>
    </cfRule>
  </conditionalFormatting>
  <conditionalFormatting sqref="P24:Q24">
    <cfRule type="cellIs" dxfId="3391" priority="254" stopIfTrue="1" operator="equal">
      <formula>0</formula>
    </cfRule>
  </conditionalFormatting>
  <conditionalFormatting sqref="R24:S24">
    <cfRule type="cellIs" dxfId="3390" priority="253" stopIfTrue="1" operator="equal">
      <formula>0</formula>
    </cfRule>
  </conditionalFormatting>
  <conditionalFormatting sqref="T24:U24">
    <cfRule type="cellIs" dxfId="3389" priority="252" stopIfTrue="1" operator="equal">
      <formula>0</formula>
    </cfRule>
  </conditionalFormatting>
  <conditionalFormatting sqref="V24:W24">
    <cfRule type="cellIs" dxfId="3388" priority="251" stopIfTrue="1" operator="equal">
      <formula>0</formula>
    </cfRule>
  </conditionalFormatting>
  <conditionalFormatting sqref="J25:K25">
    <cfRule type="cellIs" dxfId="3387" priority="250" stopIfTrue="1" operator="equal">
      <formula>0</formula>
    </cfRule>
  </conditionalFormatting>
  <conditionalFormatting sqref="L25:M25">
    <cfRule type="cellIs" dxfId="3386" priority="249" stopIfTrue="1" operator="equal">
      <formula>0</formula>
    </cfRule>
  </conditionalFormatting>
  <conditionalFormatting sqref="N25:O25">
    <cfRule type="cellIs" dxfId="3385" priority="248" stopIfTrue="1" operator="equal">
      <formula>0</formula>
    </cfRule>
  </conditionalFormatting>
  <conditionalFormatting sqref="P25:Q25">
    <cfRule type="cellIs" dxfId="3384" priority="247" stopIfTrue="1" operator="equal">
      <formula>0</formula>
    </cfRule>
  </conditionalFormatting>
  <conditionalFormatting sqref="R25:S25">
    <cfRule type="cellIs" dxfId="3383" priority="246" stopIfTrue="1" operator="equal">
      <formula>0</formula>
    </cfRule>
  </conditionalFormatting>
  <conditionalFormatting sqref="T25:U25">
    <cfRule type="cellIs" dxfId="3382" priority="245" stopIfTrue="1" operator="equal">
      <formula>0</formula>
    </cfRule>
  </conditionalFormatting>
  <conditionalFormatting sqref="V25:W25">
    <cfRule type="cellIs" dxfId="3381" priority="244" stopIfTrue="1" operator="equal">
      <formula>0</formula>
    </cfRule>
  </conditionalFormatting>
  <conditionalFormatting sqref="J26:K26">
    <cfRule type="cellIs" dxfId="3380" priority="243" stopIfTrue="1" operator="equal">
      <formula>0</formula>
    </cfRule>
  </conditionalFormatting>
  <conditionalFormatting sqref="L26:M26">
    <cfRule type="cellIs" dxfId="3379" priority="242" stopIfTrue="1" operator="equal">
      <formula>0</formula>
    </cfRule>
  </conditionalFormatting>
  <conditionalFormatting sqref="N26:O26">
    <cfRule type="cellIs" dxfId="3378" priority="241" stopIfTrue="1" operator="equal">
      <formula>0</formula>
    </cfRule>
  </conditionalFormatting>
  <conditionalFormatting sqref="P26:Q26">
    <cfRule type="cellIs" dxfId="3377" priority="240" stopIfTrue="1" operator="equal">
      <formula>0</formula>
    </cfRule>
  </conditionalFormatting>
  <conditionalFormatting sqref="R26:S26">
    <cfRule type="cellIs" dxfId="3376" priority="239" stopIfTrue="1" operator="equal">
      <formula>0</formula>
    </cfRule>
  </conditionalFormatting>
  <conditionalFormatting sqref="T26:U26">
    <cfRule type="cellIs" dxfId="3375" priority="238" stopIfTrue="1" operator="equal">
      <formula>0</formula>
    </cfRule>
  </conditionalFormatting>
  <conditionalFormatting sqref="V26:W26">
    <cfRule type="cellIs" dxfId="3374" priority="237" stopIfTrue="1" operator="equal">
      <formula>0</formula>
    </cfRule>
  </conditionalFormatting>
  <conditionalFormatting sqref="J27:K27">
    <cfRule type="cellIs" dxfId="3373" priority="236" stopIfTrue="1" operator="equal">
      <formula>0</formula>
    </cfRule>
  </conditionalFormatting>
  <conditionalFormatting sqref="L27:M27">
    <cfRule type="cellIs" dxfId="3372" priority="235" stopIfTrue="1" operator="equal">
      <formula>0</formula>
    </cfRule>
  </conditionalFormatting>
  <conditionalFormatting sqref="N27:O27">
    <cfRule type="cellIs" dxfId="3371" priority="234" stopIfTrue="1" operator="equal">
      <formula>0</formula>
    </cfRule>
  </conditionalFormatting>
  <conditionalFormatting sqref="P27:Q27">
    <cfRule type="cellIs" dxfId="3370" priority="233" stopIfTrue="1" operator="equal">
      <formula>0</formula>
    </cfRule>
  </conditionalFormatting>
  <conditionalFormatting sqref="R27:S27">
    <cfRule type="cellIs" dxfId="3369" priority="232" stopIfTrue="1" operator="equal">
      <formula>0</formula>
    </cfRule>
  </conditionalFormatting>
  <conditionalFormatting sqref="T27:U27">
    <cfRule type="cellIs" dxfId="3368" priority="231" stopIfTrue="1" operator="equal">
      <formula>0</formula>
    </cfRule>
  </conditionalFormatting>
  <conditionalFormatting sqref="V27:W27">
    <cfRule type="cellIs" dxfId="3367" priority="230" stopIfTrue="1" operator="equal">
      <formula>0</formula>
    </cfRule>
  </conditionalFormatting>
  <conditionalFormatting sqref="J28:K28">
    <cfRule type="cellIs" dxfId="3366" priority="229" stopIfTrue="1" operator="equal">
      <formula>0</formula>
    </cfRule>
  </conditionalFormatting>
  <conditionalFormatting sqref="L28:M28">
    <cfRule type="cellIs" dxfId="3365" priority="228" stopIfTrue="1" operator="equal">
      <formula>0</formula>
    </cfRule>
  </conditionalFormatting>
  <conditionalFormatting sqref="N28:O28">
    <cfRule type="cellIs" dxfId="3364" priority="227" stopIfTrue="1" operator="equal">
      <formula>0</formula>
    </cfRule>
  </conditionalFormatting>
  <conditionalFormatting sqref="P28:Q28">
    <cfRule type="cellIs" dxfId="3363" priority="226" stopIfTrue="1" operator="equal">
      <formula>0</formula>
    </cfRule>
  </conditionalFormatting>
  <conditionalFormatting sqref="R28:S28">
    <cfRule type="cellIs" dxfId="3362" priority="225" stopIfTrue="1" operator="equal">
      <formula>0</formula>
    </cfRule>
  </conditionalFormatting>
  <conditionalFormatting sqref="T28:U28">
    <cfRule type="cellIs" dxfId="3361" priority="224" stopIfTrue="1" operator="equal">
      <formula>0</formula>
    </cfRule>
  </conditionalFormatting>
  <conditionalFormatting sqref="V28:W28">
    <cfRule type="cellIs" dxfId="3360" priority="223" stopIfTrue="1" operator="equal">
      <formula>0</formula>
    </cfRule>
  </conditionalFormatting>
  <conditionalFormatting sqref="J29:K29">
    <cfRule type="cellIs" dxfId="3359" priority="222" stopIfTrue="1" operator="equal">
      <formula>0</formula>
    </cfRule>
  </conditionalFormatting>
  <conditionalFormatting sqref="L29:M29">
    <cfRule type="cellIs" dxfId="3358" priority="221" stopIfTrue="1" operator="equal">
      <formula>0</formula>
    </cfRule>
  </conditionalFormatting>
  <conditionalFormatting sqref="N29:O29">
    <cfRule type="cellIs" dxfId="3357" priority="220" stopIfTrue="1" operator="equal">
      <formula>0</formula>
    </cfRule>
  </conditionalFormatting>
  <conditionalFormatting sqref="P29:Q29">
    <cfRule type="cellIs" dxfId="3356" priority="219" stopIfTrue="1" operator="equal">
      <formula>0</formula>
    </cfRule>
  </conditionalFormatting>
  <conditionalFormatting sqref="R29:S29">
    <cfRule type="cellIs" dxfId="3355" priority="218" stopIfTrue="1" operator="equal">
      <formula>0</formula>
    </cfRule>
  </conditionalFormatting>
  <conditionalFormatting sqref="T29:U29">
    <cfRule type="cellIs" dxfId="3354" priority="217" stopIfTrue="1" operator="equal">
      <formula>0</formula>
    </cfRule>
  </conditionalFormatting>
  <conditionalFormatting sqref="V29:W29">
    <cfRule type="cellIs" dxfId="3353" priority="216" stopIfTrue="1" operator="equal">
      <formula>0</formula>
    </cfRule>
  </conditionalFormatting>
  <conditionalFormatting sqref="J30:K30">
    <cfRule type="cellIs" dxfId="3352" priority="215" stopIfTrue="1" operator="equal">
      <formula>0</formula>
    </cfRule>
  </conditionalFormatting>
  <conditionalFormatting sqref="L30:M30">
    <cfRule type="cellIs" dxfId="3351" priority="214" stopIfTrue="1" operator="equal">
      <formula>0</formula>
    </cfRule>
  </conditionalFormatting>
  <conditionalFormatting sqref="N30:O30">
    <cfRule type="cellIs" dxfId="3350" priority="213" stopIfTrue="1" operator="equal">
      <formula>0</formula>
    </cfRule>
  </conditionalFormatting>
  <conditionalFormatting sqref="P30:Q30">
    <cfRule type="cellIs" dxfId="3349" priority="212" stopIfTrue="1" operator="equal">
      <formula>0</formula>
    </cfRule>
  </conditionalFormatting>
  <conditionalFormatting sqref="R30:S30">
    <cfRule type="cellIs" dxfId="3348" priority="211" stopIfTrue="1" operator="equal">
      <formula>0</formula>
    </cfRule>
  </conditionalFormatting>
  <conditionalFormatting sqref="T30:U30">
    <cfRule type="cellIs" dxfId="3347" priority="210" stopIfTrue="1" operator="equal">
      <formula>0</formula>
    </cfRule>
  </conditionalFormatting>
  <conditionalFormatting sqref="V30:W30">
    <cfRule type="cellIs" dxfId="3346" priority="209" stopIfTrue="1" operator="equal">
      <formula>0</formula>
    </cfRule>
  </conditionalFormatting>
  <conditionalFormatting sqref="J31:K31">
    <cfRule type="cellIs" dxfId="3345" priority="208" stopIfTrue="1" operator="equal">
      <formula>0</formula>
    </cfRule>
  </conditionalFormatting>
  <conditionalFormatting sqref="L31:M31">
    <cfRule type="cellIs" dxfId="3344" priority="207" stopIfTrue="1" operator="equal">
      <formula>0</formula>
    </cfRule>
  </conditionalFormatting>
  <conditionalFormatting sqref="N31:O31">
    <cfRule type="cellIs" dxfId="3343" priority="206" stopIfTrue="1" operator="equal">
      <formula>0</formula>
    </cfRule>
  </conditionalFormatting>
  <conditionalFormatting sqref="P31:Q31">
    <cfRule type="cellIs" dxfId="3342" priority="205" stopIfTrue="1" operator="equal">
      <formula>0</formula>
    </cfRule>
  </conditionalFormatting>
  <conditionalFormatting sqref="R31:S31">
    <cfRule type="cellIs" dxfId="3341" priority="204" stopIfTrue="1" operator="equal">
      <formula>0</formula>
    </cfRule>
  </conditionalFormatting>
  <conditionalFormatting sqref="T31:U31">
    <cfRule type="cellIs" dxfId="3340" priority="203" stopIfTrue="1" operator="equal">
      <formula>0</formula>
    </cfRule>
  </conditionalFormatting>
  <conditionalFormatting sqref="V31:W31">
    <cfRule type="cellIs" dxfId="3339" priority="202" stopIfTrue="1" operator="equal">
      <formula>0</formula>
    </cfRule>
  </conditionalFormatting>
  <conditionalFormatting sqref="J32:K32">
    <cfRule type="cellIs" dxfId="3338" priority="201" stopIfTrue="1" operator="equal">
      <formula>0</formula>
    </cfRule>
  </conditionalFormatting>
  <conditionalFormatting sqref="L32:M32">
    <cfRule type="cellIs" dxfId="3337" priority="200" stopIfTrue="1" operator="equal">
      <formula>0</formula>
    </cfRule>
  </conditionalFormatting>
  <conditionalFormatting sqref="N32:O32">
    <cfRule type="cellIs" dxfId="3336" priority="199" stopIfTrue="1" operator="equal">
      <formula>0</formula>
    </cfRule>
  </conditionalFormatting>
  <conditionalFormatting sqref="P32:Q32">
    <cfRule type="cellIs" dxfId="3335" priority="198" stopIfTrue="1" operator="equal">
      <formula>0</formula>
    </cfRule>
  </conditionalFormatting>
  <conditionalFormatting sqref="R32:S32">
    <cfRule type="cellIs" dxfId="3334" priority="197" stopIfTrue="1" operator="equal">
      <formula>0</formula>
    </cfRule>
  </conditionalFormatting>
  <conditionalFormatting sqref="T32:U32">
    <cfRule type="cellIs" dxfId="3333" priority="196" stopIfTrue="1" operator="equal">
      <formula>0</formula>
    </cfRule>
  </conditionalFormatting>
  <conditionalFormatting sqref="V32:W32">
    <cfRule type="cellIs" dxfId="3332" priority="195" stopIfTrue="1" operator="equal">
      <formula>0</formula>
    </cfRule>
  </conditionalFormatting>
  <conditionalFormatting sqref="J33:K33">
    <cfRule type="cellIs" dxfId="3331" priority="194" stopIfTrue="1" operator="equal">
      <formula>0</formula>
    </cfRule>
  </conditionalFormatting>
  <conditionalFormatting sqref="L33:M33">
    <cfRule type="cellIs" dxfId="3330" priority="193" stopIfTrue="1" operator="equal">
      <formula>0</formula>
    </cfRule>
  </conditionalFormatting>
  <conditionalFormatting sqref="N33:O33">
    <cfRule type="cellIs" dxfId="3329" priority="192" stopIfTrue="1" operator="equal">
      <formula>0</formula>
    </cfRule>
  </conditionalFormatting>
  <conditionalFormatting sqref="P33:Q33">
    <cfRule type="cellIs" dxfId="3328" priority="191" stopIfTrue="1" operator="equal">
      <formula>0</formula>
    </cfRule>
  </conditionalFormatting>
  <conditionalFormatting sqref="R33:S33">
    <cfRule type="cellIs" dxfId="3327" priority="190" stopIfTrue="1" operator="equal">
      <formula>0</formula>
    </cfRule>
  </conditionalFormatting>
  <conditionalFormatting sqref="T33:U33">
    <cfRule type="cellIs" dxfId="3326" priority="189" stopIfTrue="1" operator="equal">
      <formula>0</formula>
    </cfRule>
  </conditionalFormatting>
  <conditionalFormatting sqref="V33:W33">
    <cfRule type="cellIs" dxfId="3325" priority="188" stopIfTrue="1" operator="equal">
      <formula>0</formula>
    </cfRule>
  </conditionalFormatting>
  <conditionalFormatting sqref="J34:K34">
    <cfRule type="cellIs" dxfId="3324" priority="187" stopIfTrue="1" operator="equal">
      <formula>0</formula>
    </cfRule>
  </conditionalFormatting>
  <conditionalFormatting sqref="L34:M34">
    <cfRule type="cellIs" dxfId="3323" priority="186" stopIfTrue="1" operator="equal">
      <formula>0</formula>
    </cfRule>
  </conditionalFormatting>
  <conditionalFormatting sqref="N34:O34">
    <cfRule type="cellIs" dxfId="3322" priority="185" stopIfTrue="1" operator="equal">
      <formula>0</formula>
    </cfRule>
  </conditionalFormatting>
  <conditionalFormatting sqref="P34:Q34">
    <cfRule type="cellIs" dxfId="3321" priority="184" stopIfTrue="1" operator="equal">
      <formula>0</formula>
    </cfRule>
  </conditionalFormatting>
  <conditionalFormatting sqref="R34:S34">
    <cfRule type="cellIs" dxfId="3320" priority="183" stopIfTrue="1" operator="equal">
      <formula>0</formula>
    </cfRule>
  </conditionalFormatting>
  <conditionalFormatting sqref="T34:U34">
    <cfRule type="cellIs" dxfId="3319" priority="182" stopIfTrue="1" operator="equal">
      <formula>0</formula>
    </cfRule>
  </conditionalFormatting>
  <conditionalFormatting sqref="V34:W34">
    <cfRule type="cellIs" dxfId="3318" priority="181" stopIfTrue="1" operator="equal">
      <formula>0</formula>
    </cfRule>
  </conditionalFormatting>
  <conditionalFormatting sqref="J35:K35">
    <cfRule type="cellIs" dxfId="3317" priority="180" stopIfTrue="1" operator="equal">
      <formula>0</formula>
    </cfRule>
  </conditionalFormatting>
  <conditionalFormatting sqref="L35:M35">
    <cfRule type="cellIs" dxfId="3316" priority="179" stopIfTrue="1" operator="equal">
      <formula>0</formula>
    </cfRule>
  </conditionalFormatting>
  <conditionalFormatting sqref="N35:O35">
    <cfRule type="cellIs" dxfId="3315" priority="178" stopIfTrue="1" operator="equal">
      <formula>0</formula>
    </cfRule>
  </conditionalFormatting>
  <conditionalFormatting sqref="P35:Q35">
    <cfRule type="cellIs" dxfId="3314" priority="177" stopIfTrue="1" operator="equal">
      <formula>0</formula>
    </cfRule>
  </conditionalFormatting>
  <conditionalFormatting sqref="R35:S35">
    <cfRule type="cellIs" dxfId="3313" priority="176" stopIfTrue="1" operator="equal">
      <formula>0</formula>
    </cfRule>
  </conditionalFormatting>
  <conditionalFormatting sqref="T35:U35">
    <cfRule type="cellIs" dxfId="3312" priority="175" stopIfTrue="1" operator="equal">
      <formula>0</formula>
    </cfRule>
  </conditionalFormatting>
  <conditionalFormatting sqref="V35:W35">
    <cfRule type="cellIs" dxfId="3311" priority="174" stopIfTrue="1" operator="equal">
      <formula>0</formula>
    </cfRule>
  </conditionalFormatting>
  <conditionalFormatting sqref="J36:K36">
    <cfRule type="cellIs" dxfId="3310" priority="173" stopIfTrue="1" operator="equal">
      <formula>0</formula>
    </cfRule>
  </conditionalFormatting>
  <conditionalFormatting sqref="L36:M36">
    <cfRule type="cellIs" dxfId="3309" priority="172" stopIfTrue="1" operator="equal">
      <formula>0</formula>
    </cfRule>
  </conditionalFormatting>
  <conditionalFormatting sqref="N36:O36">
    <cfRule type="cellIs" dxfId="3308" priority="171" stopIfTrue="1" operator="equal">
      <formula>0</formula>
    </cfRule>
  </conditionalFormatting>
  <conditionalFormatting sqref="P36:Q36">
    <cfRule type="cellIs" dxfId="3307" priority="170" stopIfTrue="1" operator="equal">
      <formula>0</formula>
    </cfRule>
  </conditionalFormatting>
  <conditionalFormatting sqref="R36:S36">
    <cfRule type="cellIs" dxfId="3306" priority="169" stopIfTrue="1" operator="equal">
      <formula>0</formula>
    </cfRule>
  </conditionalFormatting>
  <conditionalFormatting sqref="T36:U36">
    <cfRule type="cellIs" dxfId="3305" priority="168" stopIfTrue="1" operator="equal">
      <formula>0</formula>
    </cfRule>
  </conditionalFormatting>
  <conditionalFormatting sqref="V36:W36">
    <cfRule type="cellIs" dxfId="3304" priority="167" stopIfTrue="1" operator="equal">
      <formula>0</formula>
    </cfRule>
  </conditionalFormatting>
  <conditionalFormatting sqref="J37:K37">
    <cfRule type="cellIs" dxfId="3303" priority="166" stopIfTrue="1" operator="equal">
      <formula>0</formula>
    </cfRule>
  </conditionalFormatting>
  <conditionalFormatting sqref="L37:M37">
    <cfRule type="cellIs" dxfId="3302" priority="165" stopIfTrue="1" operator="equal">
      <formula>0</formula>
    </cfRule>
  </conditionalFormatting>
  <conditionalFormatting sqref="N37:O37">
    <cfRule type="cellIs" dxfId="3301" priority="164" stopIfTrue="1" operator="equal">
      <formula>0</formula>
    </cfRule>
  </conditionalFormatting>
  <conditionalFormatting sqref="P37:Q37">
    <cfRule type="cellIs" dxfId="3300" priority="163" stopIfTrue="1" operator="equal">
      <formula>0</formula>
    </cfRule>
  </conditionalFormatting>
  <conditionalFormatting sqref="R37:S37">
    <cfRule type="cellIs" dxfId="3299" priority="162" stopIfTrue="1" operator="equal">
      <formula>0</formula>
    </cfRule>
  </conditionalFormatting>
  <conditionalFormatting sqref="T37:U37">
    <cfRule type="cellIs" dxfId="3298" priority="161" stopIfTrue="1" operator="equal">
      <formula>0</formula>
    </cfRule>
  </conditionalFormatting>
  <conditionalFormatting sqref="V37:W37">
    <cfRule type="cellIs" dxfId="3297" priority="160" stopIfTrue="1" operator="equal">
      <formula>0</formula>
    </cfRule>
  </conditionalFormatting>
  <conditionalFormatting sqref="J38:K38">
    <cfRule type="cellIs" dxfId="3296" priority="159" stopIfTrue="1" operator="equal">
      <formula>0</formula>
    </cfRule>
  </conditionalFormatting>
  <conditionalFormatting sqref="L38:M38">
    <cfRule type="cellIs" dxfId="3295" priority="158" stopIfTrue="1" operator="equal">
      <formula>0</formula>
    </cfRule>
  </conditionalFormatting>
  <conditionalFormatting sqref="N38:O38">
    <cfRule type="cellIs" dxfId="3294" priority="157" stopIfTrue="1" operator="equal">
      <formula>0</formula>
    </cfRule>
  </conditionalFormatting>
  <conditionalFormatting sqref="P38:Q38">
    <cfRule type="cellIs" dxfId="3293" priority="156" stopIfTrue="1" operator="equal">
      <formula>0</formula>
    </cfRule>
  </conditionalFormatting>
  <conditionalFormatting sqref="R38:S38">
    <cfRule type="cellIs" dxfId="3292" priority="155" stopIfTrue="1" operator="equal">
      <formula>0</formula>
    </cfRule>
  </conditionalFormatting>
  <conditionalFormatting sqref="T38:U38">
    <cfRule type="cellIs" dxfId="3291" priority="154" stopIfTrue="1" operator="equal">
      <formula>0</formula>
    </cfRule>
  </conditionalFormatting>
  <conditionalFormatting sqref="V38:W38">
    <cfRule type="cellIs" dxfId="3290" priority="153" stopIfTrue="1" operator="equal">
      <formula>0</formula>
    </cfRule>
  </conditionalFormatting>
  <conditionalFormatting sqref="J39:K39">
    <cfRule type="cellIs" dxfId="3289" priority="152" stopIfTrue="1" operator="equal">
      <formula>0</formula>
    </cfRule>
  </conditionalFormatting>
  <conditionalFormatting sqref="L39:M39">
    <cfRule type="cellIs" dxfId="3288" priority="151" stopIfTrue="1" operator="equal">
      <formula>0</formula>
    </cfRule>
  </conditionalFormatting>
  <conditionalFormatting sqref="N39:O39">
    <cfRule type="cellIs" dxfId="3287" priority="150" stopIfTrue="1" operator="equal">
      <formula>0</formula>
    </cfRule>
  </conditionalFormatting>
  <conditionalFormatting sqref="P39:Q39">
    <cfRule type="cellIs" dxfId="3286" priority="149" stopIfTrue="1" operator="equal">
      <formula>0</formula>
    </cfRule>
  </conditionalFormatting>
  <conditionalFormatting sqref="R39:S39">
    <cfRule type="cellIs" dxfId="3285" priority="148" stopIfTrue="1" operator="equal">
      <formula>0</formula>
    </cfRule>
  </conditionalFormatting>
  <conditionalFormatting sqref="T39:U39">
    <cfRule type="cellIs" dxfId="3284" priority="147" stopIfTrue="1" operator="equal">
      <formula>0</formula>
    </cfRule>
  </conditionalFormatting>
  <conditionalFormatting sqref="V39:W39">
    <cfRule type="cellIs" dxfId="3283" priority="146" stopIfTrue="1" operator="equal">
      <formula>0</formula>
    </cfRule>
  </conditionalFormatting>
  <conditionalFormatting sqref="J40:K40">
    <cfRule type="cellIs" dxfId="3282" priority="145" stopIfTrue="1" operator="equal">
      <formula>0</formula>
    </cfRule>
  </conditionalFormatting>
  <conditionalFormatting sqref="L40:M40">
    <cfRule type="cellIs" dxfId="3281" priority="144" stopIfTrue="1" operator="equal">
      <formula>0</formula>
    </cfRule>
  </conditionalFormatting>
  <conditionalFormatting sqref="N40:O40">
    <cfRule type="cellIs" dxfId="3280" priority="143" stopIfTrue="1" operator="equal">
      <formula>0</formula>
    </cfRule>
  </conditionalFormatting>
  <conditionalFormatting sqref="P40:Q40">
    <cfRule type="cellIs" dxfId="3279" priority="142" stopIfTrue="1" operator="equal">
      <formula>0</formula>
    </cfRule>
  </conditionalFormatting>
  <conditionalFormatting sqref="R40:S40">
    <cfRule type="cellIs" dxfId="3278" priority="141" stopIfTrue="1" operator="equal">
      <formula>0</formula>
    </cfRule>
  </conditionalFormatting>
  <conditionalFormatting sqref="T40:U40">
    <cfRule type="cellIs" dxfId="3277" priority="140" stopIfTrue="1" operator="equal">
      <formula>0</formula>
    </cfRule>
  </conditionalFormatting>
  <conditionalFormatting sqref="V40:W40">
    <cfRule type="cellIs" dxfId="3276" priority="139" stopIfTrue="1" operator="equal">
      <formula>0</formula>
    </cfRule>
  </conditionalFormatting>
  <conditionalFormatting sqref="J41:K41">
    <cfRule type="cellIs" dxfId="3275" priority="138" stopIfTrue="1" operator="equal">
      <formula>0</formula>
    </cfRule>
  </conditionalFormatting>
  <conditionalFormatting sqref="L41:M41">
    <cfRule type="cellIs" dxfId="3274" priority="137" stopIfTrue="1" operator="equal">
      <formula>0</formula>
    </cfRule>
  </conditionalFormatting>
  <conditionalFormatting sqref="N41:O41">
    <cfRule type="cellIs" dxfId="3273" priority="136" stopIfTrue="1" operator="equal">
      <formula>0</formula>
    </cfRule>
  </conditionalFormatting>
  <conditionalFormatting sqref="P41:Q41">
    <cfRule type="cellIs" dxfId="3272" priority="135" stopIfTrue="1" operator="equal">
      <formula>0</formula>
    </cfRule>
  </conditionalFormatting>
  <conditionalFormatting sqref="R41:S41">
    <cfRule type="cellIs" dxfId="3271" priority="134" stopIfTrue="1" operator="equal">
      <formula>0</formula>
    </cfRule>
  </conditionalFormatting>
  <conditionalFormatting sqref="T41:U41">
    <cfRule type="cellIs" dxfId="3270" priority="133" stopIfTrue="1" operator="equal">
      <formula>0</formula>
    </cfRule>
  </conditionalFormatting>
  <conditionalFormatting sqref="V41:W41">
    <cfRule type="cellIs" dxfId="3269" priority="132" stopIfTrue="1" operator="equal">
      <formula>0</formula>
    </cfRule>
  </conditionalFormatting>
  <conditionalFormatting sqref="J42:K42">
    <cfRule type="cellIs" dxfId="3268" priority="131" stopIfTrue="1" operator="equal">
      <formula>0</formula>
    </cfRule>
  </conditionalFormatting>
  <conditionalFormatting sqref="L42:M42">
    <cfRule type="cellIs" dxfId="3267" priority="130" stopIfTrue="1" operator="equal">
      <formula>0</formula>
    </cfRule>
  </conditionalFormatting>
  <conditionalFormatting sqref="N42:O42">
    <cfRule type="cellIs" dxfId="3266" priority="129" stopIfTrue="1" operator="equal">
      <formula>0</formula>
    </cfRule>
  </conditionalFormatting>
  <conditionalFormatting sqref="P42:Q42">
    <cfRule type="cellIs" dxfId="3265" priority="128" stopIfTrue="1" operator="equal">
      <formula>0</formula>
    </cfRule>
  </conditionalFormatting>
  <conditionalFormatting sqref="R42:S42">
    <cfRule type="cellIs" dxfId="3264" priority="127" stopIfTrue="1" operator="equal">
      <formula>0</formula>
    </cfRule>
  </conditionalFormatting>
  <conditionalFormatting sqref="T42:U42">
    <cfRule type="cellIs" dxfId="3263" priority="126" stopIfTrue="1" operator="equal">
      <formula>0</formula>
    </cfRule>
  </conditionalFormatting>
  <conditionalFormatting sqref="V42:W42">
    <cfRule type="cellIs" dxfId="3262" priority="125" stopIfTrue="1" operator="equal">
      <formula>0</formula>
    </cfRule>
  </conditionalFormatting>
  <conditionalFormatting sqref="J43:K43">
    <cfRule type="cellIs" dxfId="3261" priority="124" stopIfTrue="1" operator="equal">
      <formula>0</formula>
    </cfRule>
  </conditionalFormatting>
  <conditionalFormatting sqref="L43:M43">
    <cfRule type="cellIs" dxfId="3260" priority="123" stopIfTrue="1" operator="equal">
      <formula>0</formula>
    </cfRule>
  </conditionalFormatting>
  <conditionalFormatting sqref="N43:O43">
    <cfRule type="cellIs" dxfId="3259" priority="122" stopIfTrue="1" operator="equal">
      <formula>0</formula>
    </cfRule>
  </conditionalFormatting>
  <conditionalFormatting sqref="P43:Q43">
    <cfRule type="cellIs" dxfId="3258" priority="121" stopIfTrue="1" operator="equal">
      <formula>0</formula>
    </cfRule>
  </conditionalFormatting>
  <conditionalFormatting sqref="R43:S43">
    <cfRule type="cellIs" dxfId="3257" priority="120" stopIfTrue="1" operator="equal">
      <formula>0</formula>
    </cfRule>
  </conditionalFormatting>
  <conditionalFormatting sqref="T43:U43">
    <cfRule type="cellIs" dxfId="3256" priority="119" stopIfTrue="1" operator="equal">
      <formula>0</formula>
    </cfRule>
  </conditionalFormatting>
  <conditionalFormatting sqref="V43:W43">
    <cfRule type="cellIs" dxfId="3255" priority="118" stopIfTrue="1" operator="equal">
      <formula>0</formula>
    </cfRule>
  </conditionalFormatting>
  <conditionalFormatting sqref="J44:K44">
    <cfRule type="cellIs" dxfId="3254" priority="117" stopIfTrue="1" operator="equal">
      <formula>0</formula>
    </cfRule>
  </conditionalFormatting>
  <conditionalFormatting sqref="L44:M44">
    <cfRule type="cellIs" dxfId="3253" priority="116" stopIfTrue="1" operator="equal">
      <formula>0</formula>
    </cfRule>
  </conditionalFormatting>
  <conditionalFormatting sqref="N44:O44">
    <cfRule type="cellIs" dxfId="3252" priority="115" stopIfTrue="1" operator="equal">
      <formula>0</formula>
    </cfRule>
  </conditionalFormatting>
  <conditionalFormatting sqref="P44:Q44">
    <cfRule type="cellIs" dxfId="3251" priority="114" stopIfTrue="1" operator="equal">
      <formula>0</formula>
    </cfRule>
  </conditionalFormatting>
  <conditionalFormatting sqref="R44:S44">
    <cfRule type="cellIs" dxfId="3250" priority="113" stopIfTrue="1" operator="equal">
      <formula>0</formula>
    </cfRule>
  </conditionalFormatting>
  <conditionalFormatting sqref="T44:U44">
    <cfRule type="cellIs" dxfId="3249" priority="112" stopIfTrue="1" operator="equal">
      <formula>0</formula>
    </cfRule>
  </conditionalFormatting>
  <conditionalFormatting sqref="V44:W44">
    <cfRule type="cellIs" dxfId="3248" priority="111" stopIfTrue="1" operator="equal">
      <formula>0</formula>
    </cfRule>
  </conditionalFormatting>
  <conditionalFormatting sqref="J45:K45">
    <cfRule type="cellIs" dxfId="3247" priority="110" stopIfTrue="1" operator="equal">
      <formula>0</formula>
    </cfRule>
  </conditionalFormatting>
  <conditionalFormatting sqref="L45:M45">
    <cfRule type="cellIs" dxfId="3246" priority="109" stopIfTrue="1" operator="equal">
      <formula>0</formula>
    </cfRule>
  </conditionalFormatting>
  <conditionalFormatting sqref="R45:S45">
    <cfRule type="cellIs" dxfId="3245" priority="108" stopIfTrue="1" operator="equal">
      <formula>0</formula>
    </cfRule>
  </conditionalFormatting>
  <conditionalFormatting sqref="T45:U45">
    <cfRule type="cellIs" dxfId="3244" priority="107" stopIfTrue="1" operator="equal">
      <formula>0</formula>
    </cfRule>
  </conditionalFormatting>
  <conditionalFormatting sqref="V45:W45">
    <cfRule type="cellIs" dxfId="3243" priority="106" stopIfTrue="1" operator="equal">
      <formula>0</formula>
    </cfRule>
  </conditionalFormatting>
  <conditionalFormatting sqref="J46:K46">
    <cfRule type="cellIs" dxfId="3242" priority="105" stopIfTrue="1" operator="equal">
      <formula>0</formula>
    </cfRule>
  </conditionalFormatting>
  <conditionalFormatting sqref="L46:M46">
    <cfRule type="cellIs" dxfId="3241" priority="104" stopIfTrue="1" operator="equal">
      <formula>0</formula>
    </cfRule>
  </conditionalFormatting>
  <conditionalFormatting sqref="R46:S46">
    <cfRule type="cellIs" dxfId="3240" priority="103" stopIfTrue="1" operator="equal">
      <formula>0</formula>
    </cfRule>
  </conditionalFormatting>
  <conditionalFormatting sqref="T46:U46">
    <cfRule type="cellIs" dxfId="3239" priority="102" stopIfTrue="1" operator="equal">
      <formula>0</formula>
    </cfRule>
  </conditionalFormatting>
  <conditionalFormatting sqref="V46:W46">
    <cfRule type="cellIs" dxfId="3238" priority="101" stopIfTrue="1" operator="equal">
      <formula>0</formula>
    </cfRule>
  </conditionalFormatting>
  <conditionalFormatting sqref="J47:K47">
    <cfRule type="cellIs" dxfId="3237" priority="100" stopIfTrue="1" operator="equal">
      <formula>0</formula>
    </cfRule>
  </conditionalFormatting>
  <conditionalFormatting sqref="L47:M47">
    <cfRule type="cellIs" dxfId="3236" priority="99" stopIfTrue="1" operator="equal">
      <formula>0</formula>
    </cfRule>
  </conditionalFormatting>
  <conditionalFormatting sqref="R47:S47">
    <cfRule type="cellIs" dxfId="3235" priority="98" stopIfTrue="1" operator="equal">
      <formula>0</formula>
    </cfRule>
  </conditionalFormatting>
  <conditionalFormatting sqref="T47:U47">
    <cfRule type="cellIs" dxfId="3234" priority="97" stopIfTrue="1" operator="equal">
      <formula>0</formula>
    </cfRule>
  </conditionalFormatting>
  <conditionalFormatting sqref="V47:W47">
    <cfRule type="cellIs" dxfId="3233" priority="96" stopIfTrue="1" operator="equal">
      <formula>0</formula>
    </cfRule>
  </conditionalFormatting>
  <conditionalFormatting sqref="D54:L59">
    <cfRule type="expression" dxfId="3232" priority="95">
      <formula>$AB$8=0</formula>
    </cfRule>
  </conditionalFormatting>
  <conditionalFormatting sqref="D54:I56">
    <cfRule type="expression" dxfId="3231" priority="94">
      <formula>$AB$8=1</formula>
    </cfRule>
  </conditionalFormatting>
  <printOptions horizontalCentered="1"/>
  <pageMargins left="0.7" right="0.7" top="0.39370078740157477" bottom="0.39370078740157477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4" name="Button 1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0" r:id="rId5" name="Button 2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1" r:id="rId6" name="Button 3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2" r:id="rId7" name="Button 4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3" r:id="rId8" name="Button 5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4" r:id="rId9" name="Button 6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5" r:id="rId10" name="Button 7">
              <controlPr defaultSize="0" print="0" autoFill="0" autoPict="0" macro="[0]!休日初期化">
                <anchor moveWithCells="1" sizeWithCells="1">
                  <from>
                    <xdr:col>27</xdr:col>
                    <xdr:colOff>488950</xdr:colOff>
                    <xdr:row>25</xdr:row>
                    <xdr:rowOff>69850</xdr:rowOff>
                  </from>
                  <to>
                    <xdr:col>28</xdr:col>
                    <xdr:colOff>266700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6" r:id="rId11" name="Button 8">
              <controlPr defaultSize="0" print="0" autoFill="0" autoPict="0" macro="[0]!初期状態">
                <anchor moveWithCells="1" sizeWithCells="1">
                  <from>
                    <xdr:col>27</xdr:col>
                    <xdr:colOff>533400</xdr:colOff>
                    <xdr:row>32</xdr:row>
                    <xdr:rowOff>31750</xdr:rowOff>
                  </from>
                  <to>
                    <xdr:col>28</xdr:col>
                    <xdr:colOff>419100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7" r:id="rId12" name="Button 9">
              <controlPr defaultSize="0" print="0" autoFill="0" autoPict="0" macro="[0]!ws_add">
                <anchor moveWithCells="1" sizeWithCells="1">
                  <from>
                    <xdr:col>27</xdr:col>
                    <xdr:colOff>488950</xdr:colOff>
                    <xdr:row>35</xdr:row>
                    <xdr:rowOff>69850</xdr:rowOff>
                  </from>
                  <to>
                    <xdr:col>29</xdr:col>
                    <xdr:colOff>603250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8" r:id="rId13" name="Button 10">
              <controlPr defaultSize="0" print="0" autoFill="0" autoPict="0" macro="[0]!統合">
                <anchor moveWithCells="1" sizeWithCells="1">
                  <from>
                    <xdr:col>26</xdr:col>
                    <xdr:colOff>63500</xdr:colOff>
                    <xdr:row>59</xdr:row>
                    <xdr:rowOff>19050</xdr:rowOff>
                  </from>
                  <to>
                    <xdr:col>26</xdr:col>
                    <xdr:colOff>673100</xdr:colOff>
                    <xdr:row>60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9" r:id="rId14" name="Button 11">
              <controlPr defaultSize="0" print="0" autoFill="0" autoPict="0" macro="[0]!休暇処理">
                <anchor moveWithCells="1" sizeWithCells="1">
                  <from>
                    <xdr:col>26</xdr:col>
                    <xdr:colOff>63500</xdr:colOff>
                    <xdr:row>61</xdr:row>
                    <xdr:rowOff>19050</xdr:rowOff>
                  </from>
                  <to>
                    <xdr:col>26</xdr:col>
                    <xdr:colOff>673100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0" r:id="rId15" name="Button 12">
              <controlPr defaultSize="0" print="0" autoFill="0" autoPict="0" macro="[0]!化粧直し">
                <anchor moveWithCells="1" sizeWithCells="1">
                  <from>
                    <xdr:col>26</xdr:col>
                    <xdr:colOff>69850</xdr:colOff>
                    <xdr:row>63</xdr:row>
                    <xdr:rowOff>31750</xdr:rowOff>
                  </from>
                  <to>
                    <xdr:col>26</xdr:col>
                    <xdr:colOff>679450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1" r:id="rId16" name="Button 13">
              <controlPr defaultSize="0" print="0" autoFill="0" autoPict="0" macro="[0]!休日初期化">
                <anchor moveWithCells="1" sizeWithCells="1">
                  <from>
                    <xdr:col>26</xdr:col>
                    <xdr:colOff>146050</xdr:colOff>
                    <xdr:row>65</xdr:row>
                    <xdr:rowOff>69850</xdr:rowOff>
                  </from>
                  <to>
                    <xdr:col>26</xdr:col>
                    <xdr:colOff>641350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2" r:id="rId17" name="Button 14">
              <controlPr defaultSize="0" print="0" autoFill="0" autoPict="0" macro="[0]!初期状態">
                <anchor moveWithCells="1" sizeWithCells="1">
                  <from>
                    <xdr:col>26</xdr:col>
                    <xdr:colOff>57150</xdr:colOff>
                    <xdr:row>67</xdr:row>
                    <xdr:rowOff>88900</xdr:rowOff>
                  </from>
                  <to>
                    <xdr:col>26</xdr:col>
                    <xdr:colOff>666750</xdr:colOff>
                    <xdr:row>69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stopIfTrue="1" id="{41F8DCE1-5D8F-441D-BE01-2CACCF410A38}">
            <xm:f xml:space="preserve"> OR($X$17=+テーブル!A2,$X$17=+テーブル!A3,$X$17=+テーブル!A9,$X$17=+テーブル!A10,$X$17=+テーブル!A12,$X$17=+テーブル!A13,$X$17=+テーブル!A16)</xm:f>
            <x14:dxf>
              <font>
                <color rgb="FFFF0000"/>
              </font>
            </x14:dxf>
          </x14:cfRule>
          <xm:sqref>D17:E17</xm:sqref>
        </x14:conditionalFormatting>
        <x14:conditionalFormatting xmlns:xm="http://schemas.microsoft.com/office/excel/2006/main">
          <x14:cfRule type="expression" priority="92" stopIfTrue="1" id="{50320015-800A-41FF-9013-8EFA4D7CF549}">
            <xm:f xml:space="preserve"> OR($X$17=+テーブル!A2,$X$17=+テーブル!A4,$X$17=+テーブル!A9,$X$17=+テーブル!A11,$X$17=+テーブル!A12,$X$17=+テーブル!A14,$X$17=+テーブル!A16)</xm:f>
            <x14:dxf>
              <font>
                <color rgb="FFFF0000"/>
              </font>
            </x14:dxf>
          </x14:cfRule>
          <xm:sqref>F17:G17</xm:sqref>
        </x14:conditionalFormatting>
        <x14:conditionalFormatting xmlns:xm="http://schemas.microsoft.com/office/excel/2006/main">
          <x14:cfRule type="expression" priority="91" stopIfTrue="1" id="{38BF18A1-D00B-4A86-8ADD-E08138D7F902}">
            <xm:f xml:space="preserve"> OR($X$17=+テーブル!A2,$X$17=+テーブル!A3,$X$17=+テーブル!A4,$X$17=+テーブル!A9,$X$17=+テーブル!A10,$X$17=+テーブル!A11,$X$17=+テーブル!A12,$X$17=+テーブル!A13,$X$17=+テーブル!A14,$X$17=+テーブル!A16)</xm:f>
            <x14:dxf>
              <font>
                <color rgb="FFFF0000"/>
              </font>
            </x14:dxf>
          </x14:cfRule>
          <xm:sqref>H17:I17</xm:sqref>
        </x14:conditionalFormatting>
        <x14:conditionalFormatting xmlns:xm="http://schemas.microsoft.com/office/excel/2006/main">
          <x14:cfRule type="expression" priority="90" stopIfTrue="1" id="{3DDAE6D4-BD7B-43FE-900E-9D83AB7515FF}">
            <xm:f xml:space="preserve"> OR($X$18=+テーブル!A2,$X$18=+テーブル!A3,$X$18=+テーブル!A9,$X$18=+テーブル!A10,$X$18=+テーブル!A12,$X$18=+テーブル!A13,$X$18=+テーブル!A16)</xm:f>
            <x14:dxf>
              <font>
                <color rgb="FFFF0000"/>
              </font>
            </x14:dxf>
          </x14:cfRule>
          <xm:sqref>D18:E18</xm:sqref>
        </x14:conditionalFormatting>
        <x14:conditionalFormatting xmlns:xm="http://schemas.microsoft.com/office/excel/2006/main">
          <x14:cfRule type="expression" priority="89" stopIfTrue="1" id="{F9825A48-E53B-47D1-8478-F6727C917CDA}">
            <xm:f xml:space="preserve"> OR($X$18=+テーブル!A2,$X$18=+テーブル!A4,$X$18=+テーブル!A9,$X$18=+テーブル!A11,$X$18=+テーブル!A12,$X$18=+テーブル!A14,$X$18=+テーブル!A16)</xm:f>
            <x14:dxf>
              <font>
                <color rgb="FFFF0000"/>
              </font>
            </x14:dxf>
          </x14:cfRule>
          <xm:sqref>F18:G18</xm:sqref>
        </x14:conditionalFormatting>
        <x14:conditionalFormatting xmlns:xm="http://schemas.microsoft.com/office/excel/2006/main">
          <x14:cfRule type="expression" priority="88" stopIfTrue="1" id="{68FB7E20-56C5-4330-84C6-DF51ED084515}">
            <xm:f xml:space="preserve"> OR($X$18=+テーブル!A2,$X$18=+テーブル!A3,$X$18=+テーブル!A4,$X$18=+テーブル!A9,$X$18=+テーブル!A10,$X$18=+テーブル!A11,$X$18=+テーブル!A12,$X$18=+テーブル!A13,$X$18=+テーブル!A14,$X$18=+テーブル!A16)</xm:f>
            <x14:dxf>
              <font>
                <color rgb="FFFF0000"/>
              </font>
            </x14:dxf>
          </x14:cfRule>
          <xm:sqref>H18:I18</xm:sqref>
        </x14:conditionalFormatting>
        <x14:conditionalFormatting xmlns:xm="http://schemas.microsoft.com/office/excel/2006/main">
          <x14:cfRule type="expression" priority="87" stopIfTrue="1" id="{A4F7BE8E-A048-40DE-AF9A-8C6605BAD3DE}">
            <xm:f xml:space="preserve"> OR($X$19=+テーブル!A2,$X$19=+テーブル!A3,$X$19=+テーブル!A9,$X$19=+テーブル!A10,$X$19=+テーブル!A12,$X$19=+テーブル!A13,$X$19=+テーブル!A16)</xm:f>
            <x14:dxf>
              <font>
                <color rgb="FFFF0000"/>
              </font>
            </x14:dxf>
          </x14:cfRule>
          <xm:sqref>D19:E19</xm:sqref>
        </x14:conditionalFormatting>
        <x14:conditionalFormatting xmlns:xm="http://schemas.microsoft.com/office/excel/2006/main">
          <x14:cfRule type="expression" priority="86" stopIfTrue="1" id="{85E4C874-EA40-4977-893A-E078A3AF4CF7}">
            <xm:f xml:space="preserve"> OR($X$19=+テーブル!A2,$X$19=+テーブル!A4,$X$19=+テーブル!A9,$X$19=+テーブル!A11,$X$19=+テーブル!A12,$X$19=+テーブル!A14,$X$19=+テーブル!A16)</xm:f>
            <x14:dxf>
              <font>
                <color rgb="FFFF0000"/>
              </font>
            </x14:dxf>
          </x14:cfRule>
          <xm:sqref>F19:G19</xm:sqref>
        </x14:conditionalFormatting>
        <x14:conditionalFormatting xmlns:xm="http://schemas.microsoft.com/office/excel/2006/main">
          <x14:cfRule type="expression" priority="85" stopIfTrue="1" id="{AB2075D6-38C4-411C-827E-F3BC8AF20180}">
            <xm:f xml:space="preserve"> OR($X$19=+テーブル!A2,$X$19=+テーブル!A3,$X$19=+テーブル!A4,$X$19=+テーブル!A9,$X$19=+テーブル!A10,$X$19=+テーブル!A11,$X$19=+テーブル!A12,$X$19=+テーブル!A13,$X$19=+テーブル!A14,$X$19=+テーブル!A16)</xm:f>
            <x14:dxf>
              <font>
                <color rgb="FFFF0000"/>
              </font>
            </x14:dxf>
          </x14:cfRule>
          <xm:sqref>H19:I19</xm:sqref>
        </x14:conditionalFormatting>
        <x14:conditionalFormatting xmlns:xm="http://schemas.microsoft.com/office/excel/2006/main">
          <x14:cfRule type="expression" priority="84" stopIfTrue="1" id="{B4CF4FEC-A2D0-4E14-89C0-77E4EE350B40}">
            <xm:f xml:space="preserve"> OR($X$20=+テーブル!A2,$X$20=+テーブル!A3,$X$20=+テーブル!A9,$X$20=+テーブル!A10,$X$20=+テーブル!A12,$X$20=+テーブル!A13,$X$20=+テーブル!A16)</xm:f>
            <x14:dxf>
              <font>
                <color rgb="FFFF000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83" stopIfTrue="1" id="{1A772DC5-836C-4524-B461-23BF0C560A90}">
            <xm:f xml:space="preserve"> OR($X$20=+テーブル!A2,$X$20=+テーブル!A4,$X$20=+テーブル!A9,$X$20=+テーブル!A11,$X$20=+テーブル!A12,$X$20=+テーブル!A14,$X$20=+テーブル!A16)</xm:f>
            <x14:dxf>
              <font>
                <color rgb="FFFF0000"/>
              </font>
            </x14:dxf>
          </x14:cfRule>
          <xm:sqref>F20:G20</xm:sqref>
        </x14:conditionalFormatting>
        <x14:conditionalFormatting xmlns:xm="http://schemas.microsoft.com/office/excel/2006/main">
          <x14:cfRule type="expression" priority="82" stopIfTrue="1" id="{577691A8-2C9A-44AC-AF01-C5E690CA582F}">
            <xm:f xml:space="preserve"> OR($X$20=+テーブル!A2,$X$20=+テーブル!A3,$X$20=+テーブル!A4,$X$20=+テーブル!A9,$X$20=+テーブル!A10,$X$20=+テーブル!A11,$X$20=+テーブル!A12,$X$20=+テーブル!A13,$X$20=+テーブル!A14,$X$20=+テーブル!A16)</xm:f>
            <x14:dxf>
              <font>
                <color rgb="FFFF0000"/>
              </font>
            </x14:dxf>
          </x14:cfRule>
          <xm:sqref>H20:I20</xm:sqref>
        </x14:conditionalFormatting>
        <x14:conditionalFormatting xmlns:xm="http://schemas.microsoft.com/office/excel/2006/main">
          <x14:cfRule type="expression" priority="81" stopIfTrue="1" id="{A914B8F9-F64E-4284-B47E-D38BB110394C}">
            <xm:f xml:space="preserve"> OR($X$21=+テーブル!A2,$X$21=+テーブル!A3,$X$21=+テーブル!A9,$X$21=+テーブル!A10,$X$21=+テーブル!A12,$X$21=+テーブル!A13,$X$21=+テーブル!A16)</xm:f>
            <x14:dxf>
              <font>
                <color rgb="FFFF0000"/>
              </font>
            </x14:dxf>
          </x14:cfRule>
          <xm:sqref>D21:E21</xm:sqref>
        </x14:conditionalFormatting>
        <x14:conditionalFormatting xmlns:xm="http://schemas.microsoft.com/office/excel/2006/main">
          <x14:cfRule type="expression" priority="80" stopIfTrue="1" id="{63B6A473-04AC-4A1F-90D3-DA133C39CB91}">
            <xm:f xml:space="preserve"> OR($X$21=+テーブル!A2,$X$21=+テーブル!A4,$X$21=+テーブル!A9,$X$21=+テーブル!A11,$X$21=+テーブル!A12,$X$21=+テーブル!A14,$X$21=+テーブル!A16)</xm:f>
            <x14:dxf>
              <font>
                <color rgb="FFFF0000"/>
              </font>
            </x14:dxf>
          </x14:cfRule>
          <xm:sqref>F21:G21</xm:sqref>
        </x14:conditionalFormatting>
        <x14:conditionalFormatting xmlns:xm="http://schemas.microsoft.com/office/excel/2006/main">
          <x14:cfRule type="expression" priority="79" stopIfTrue="1" id="{B0F29AC5-EA56-4566-8605-805D89D7FAF4}">
            <xm:f xml:space="preserve"> OR($X$21=+テーブル!A2,$X$21=+テーブル!A3,$X$21=+テーブル!A4,$X$21=+テーブル!A9,$X$21=+テーブル!A10,$X$21=+テーブル!A11,$X$21=+テーブル!A12,$X$21=+テーブル!A13,$X$21=+テーブル!A14,$X$21=+テーブル!A16)</xm:f>
            <x14:dxf>
              <font>
                <color rgb="FFFF0000"/>
              </font>
            </x14:dxf>
          </x14:cfRule>
          <xm:sqref>H21:I21</xm:sqref>
        </x14:conditionalFormatting>
        <x14:conditionalFormatting xmlns:xm="http://schemas.microsoft.com/office/excel/2006/main">
          <x14:cfRule type="expression" priority="78" stopIfTrue="1" id="{7B68FA36-88F7-4958-8957-1AFFD63D8097}">
            <xm:f xml:space="preserve"> OR($X$22=+テーブル!A2,$X$22=+テーブル!A3,$X$22=+テーブル!A9,$X$22=+テーブル!A10,$X$22=+テーブル!A12,$X$22=+テーブル!A13,$X$22=+テーブル!A16)</xm:f>
            <x14:dxf>
              <font>
                <color rgb="FFFF0000"/>
              </font>
            </x14:dxf>
          </x14:cfRule>
          <xm:sqref>D22:E22</xm:sqref>
        </x14:conditionalFormatting>
        <x14:conditionalFormatting xmlns:xm="http://schemas.microsoft.com/office/excel/2006/main">
          <x14:cfRule type="expression" priority="77" stopIfTrue="1" id="{72DD7766-2A6E-4328-8EF0-90D637C11420}">
            <xm:f xml:space="preserve"> OR($X$22=+テーブル!A2,$X$22=+テーブル!A4,$X$22=+テーブル!A9,$X$22=+テーブル!A11,$X$22=+テーブル!A12,$X$22=+テーブル!A14,$X$22=+テーブル!A16)</xm:f>
            <x14:dxf>
              <font>
                <color rgb="FFFF0000"/>
              </font>
            </x14:dxf>
          </x14:cfRule>
          <xm:sqref>F22:G22</xm:sqref>
        </x14:conditionalFormatting>
        <x14:conditionalFormatting xmlns:xm="http://schemas.microsoft.com/office/excel/2006/main">
          <x14:cfRule type="expression" priority="76" stopIfTrue="1" id="{B8159BF7-A6D0-4489-A141-163EAB5A5198}">
            <xm:f xml:space="preserve"> OR($X$22=+テーブル!A2,$X$22=+テーブル!A3,$X$22=+テーブル!A4,$X$22=+テーブル!A9,$X$22=+テーブル!A10,$X$22=+テーブル!A11,$X$22=+テーブル!A12,$X$22=+テーブル!A13,$X$22=+テーブル!A14,$X$22=+テーブル!A16)</xm:f>
            <x14:dxf>
              <font>
                <color rgb="FFFF0000"/>
              </font>
            </x14:dxf>
          </x14:cfRule>
          <xm:sqref>H22:I22</xm:sqref>
        </x14:conditionalFormatting>
        <x14:conditionalFormatting xmlns:xm="http://schemas.microsoft.com/office/excel/2006/main">
          <x14:cfRule type="expression" priority="75" stopIfTrue="1" id="{F27D5B4B-1300-43EC-A7D2-205239C7A24F}">
            <xm:f xml:space="preserve"> OR($X$23=+テーブル!A2,$X$23=+テーブル!A3,$X$23=+テーブル!A9,$X$23=+テーブル!A10,$X$23=+テーブル!A12,$X$23=+テーブル!A13,$X$23=+テーブル!A16)</xm:f>
            <x14:dxf>
              <font>
                <color rgb="FFFF0000"/>
              </font>
            </x14:dxf>
          </x14:cfRule>
          <xm:sqref>D23:E23</xm:sqref>
        </x14:conditionalFormatting>
        <x14:conditionalFormatting xmlns:xm="http://schemas.microsoft.com/office/excel/2006/main">
          <x14:cfRule type="expression" priority="74" stopIfTrue="1" id="{6A003ECC-7A00-4836-9065-9A01921D7F15}">
            <xm:f xml:space="preserve"> OR($X$23=+テーブル!A2,$X$23=+テーブル!A4,$X$23=+テーブル!A9,$X$23=+テーブル!A11,$X$23=+テーブル!A12,$X$23=+テーブル!A14,$X$23=+テーブル!A16)</xm:f>
            <x14:dxf>
              <font>
                <color rgb="FFFF0000"/>
              </font>
            </x14:dxf>
          </x14:cfRule>
          <xm:sqref>F23:G23</xm:sqref>
        </x14:conditionalFormatting>
        <x14:conditionalFormatting xmlns:xm="http://schemas.microsoft.com/office/excel/2006/main">
          <x14:cfRule type="expression" priority="73" stopIfTrue="1" id="{41C27AC0-A15F-4FA0-8827-E88F7F03D2A2}">
            <xm:f xml:space="preserve"> OR($X$23=+テーブル!A2,$X$23=+テーブル!A3,$X$23=+テーブル!A4,$X$23=+テーブル!A9,$X$23=+テーブル!A10,$X$23=+テーブル!A11,$X$23=+テーブル!A12,$X$23=+テーブル!A13,$X$23=+テーブル!A14,$X$23=+テーブル!A16)</xm:f>
            <x14:dxf>
              <font>
                <color rgb="FFFF0000"/>
              </font>
            </x14:dxf>
          </x14:cfRule>
          <xm:sqref>H23:I23</xm:sqref>
        </x14:conditionalFormatting>
        <x14:conditionalFormatting xmlns:xm="http://schemas.microsoft.com/office/excel/2006/main">
          <x14:cfRule type="expression" priority="72" stopIfTrue="1" id="{7E07BD9E-1188-46AC-883B-080E30357967}">
            <xm:f xml:space="preserve"> OR($X$24=+テーブル!A2,$X$24=+テーブル!A3,$X$24=+テーブル!A9,$X$24=+テーブル!A10,$X$24=+テーブル!A12,$X$24=+テーブル!A13,$X$24=+テーブル!A16)</xm:f>
            <x14:dxf>
              <font>
                <color rgb="FFFF0000"/>
              </font>
            </x14:dxf>
          </x14:cfRule>
          <xm:sqref>D24:E24</xm:sqref>
        </x14:conditionalFormatting>
        <x14:conditionalFormatting xmlns:xm="http://schemas.microsoft.com/office/excel/2006/main">
          <x14:cfRule type="expression" priority="71" stopIfTrue="1" id="{C8CEFAFD-34E3-4A14-9071-3755167A4F45}">
            <xm:f xml:space="preserve"> OR($X$24=+テーブル!A2,$X$24=+テーブル!A4,$X$24=+テーブル!A9,$X$24=+テーブル!A11,$X$24=+テーブル!A12,$X$24=+テーブル!A14,$X$24=+テーブル!A16)</xm:f>
            <x14:dxf>
              <font>
                <color rgb="FFFF0000"/>
              </font>
            </x14:dxf>
          </x14:cfRule>
          <xm:sqref>F24:G24</xm:sqref>
        </x14:conditionalFormatting>
        <x14:conditionalFormatting xmlns:xm="http://schemas.microsoft.com/office/excel/2006/main">
          <x14:cfRule type="expression" priority="70" stopIfTrue="1" id="{55D08224-A361-40F6-8C18-93C764D1902A}">
            <xm:f xml:space="preserve"> OR($X$24=+テーブル!A2,$X$24=+テーブル!A3,$X$24=+テーブル!A4,$X$24=+テーブル!A9,$X$24=+テーブル!A10,$X$24=+テーブル!A11,$X$24=+テーブル!A12,$X$24=+テーブル!A13,$X$24=+テーブル!A14,$X$24=+テーブル!A16)</xm:f>
            <x14:dxf>
              <font>
                <color rgb="FFFF0000"/>
              </font>
            </x14:dxf>
          </x14:cfRule>
          <xm:sqref>H24:I24</xm:sqref>
        </x14:conditionalFormatting>
        <x14:conditionalFormatting xmlns:xm="http://schemas.microsoft.com/office/excel/2006/main">
          <x14:cfRule type="expression" priority="69" stopIfTrue="1" id="{86418342-CB26-4C96-BB05-1EC0B26E0252}">
            <xm:f xml:space="preserve"> OR($X$25=+テーブル!A2,$X$25=+テーブル!A3,$X$25=+テーブル!A9,$X$25=+テーブル!A10,$X$25=+テーブル!A12,$X$25=+テーブル!A13,$X$25=+テーブル!A16)</xm:f>
            <x14:dxf>
              <font>
                <color rgb="FFFF0000"/>
              </font>
            </x14:dxf>
          </x14:cfRule>
          <xm:sqref>D25:E25</xm:sqref>
        </x14:conditionalFormatting>
        <x14:conditionalFormatting xmlns:xm="http://schemas.microsoft.com/office/excel/2006/main">
          <x14:cfRule type="expression" priority="68" stopIfTrue="1" id="{3FDFD293-A0D0-421E-A22F-0FE08AC93908}">
            <xm:f xml:space="preserve"> OR($X$25=+テーブル!A2,$X$25=+テーブル!A4,$X$25=+テーブル!A9,$X$25=+テーブル!A11,$X$25=+テーブル!A12,$X$25=+テーブル!A14,$X$25=+テーブル!A16)</xm:f>
            <x14:dxf>
              <font>
                <color rgb="FFFF0000"/>
              </font>
            </x14:dxf>
          </x14:cfRule>
          <xm:sqref>F25:G25</xm:sqref>
        </x14:conditionalFormatting>
        <x14:conditionalFormatting xmlns:xm="http://schemas.microsoft.com/office/excel/2006/main">
          <x14:cfRule type="expression" priority="67" stopIfTrue="1" id="{BA400D8E-DB6B-4084-96C5-1C545DF663F0}">
            <xm:f xml:space="preserve"> OR($X$25=+テーブル!A2,$X$25=+テーブル!A3,$X$25=+テーブル!A4,$X$25=+テーブル!A9,$X$25=+テーブル!A10,$X$25=+テーブル!A11,$X$25=+テーブル!A12,$X$25=+テーブル!A13,$X$25=+テーブル!A14,$X$25=+テーブル!A16)</xm:f>
            <x14:dxf>
              <font>
                <color rgb="FFFF0000"/>
              </font>
            </x14:dxf>
          </x14:cfRule>
          <xm:sqref>H25:I25</xm:sqref>
        </x14:conditionalFormatting>
        <x14:conditionalFormatting xmlns:xm="http://schemas.microsoft.com/office/excel/2006/main">
          <x14:cfRule type="expression" priority="66" stopIfTrue="1" id="{29D84C78-EE5A-453E-93EF-54A2D8E476A8}">
            <xm:f xml:space="preserve"> OR($X$26=+テーブル!A2,$X$26=+テーブル!A3,$X$26=+テーブル!A9,$X$26=+テーブル!A10,$X$26=+テーブル!A12,$X$26=+テーブル!A13,$X$26=+テーブル!A16)</xm:f>
            <x14:dxf>
              <font>
                <color rgb="FFFF0000"/>
              </font>
            </x14:dxf>
          </x14:cfRule>
          <xm:sqref>D26:E26</xm:sqref>
        </x14:conditionalFormatting>
        <x14:conditionalFormatting xmlns:xm="http://schemas.microsoft.com/office/excel/2006/main">
          <x14:cfRule type="expression" priority="65" stopIfTrue="1" id="{39888CD4-7F40-412E-9EBC-024A4B146435}">
            <xm:f xml:space="preserve"> OR($X$26=+テーブル!A2,$X$26=+テーブル!A4,$X$26=+テーブル!A9,$X$26=+テーブル!A11,$X$26=+テーブル!A12,$X$26=+テーブル!A14,$X$26=+テーブル!A16)</xm:f>
            <x14:dxf>
              <font>
                <color rgb="FFFF0000"/>
              </font>
            </x14:dxf>
          </x14:cfRule>
          <xm:sqref>F26:G26</xm:sqref>
        </x14:conditionalFormatting>
        <x14:conditionalFormatting xmlns:xm="http://schemas.microsoft.com/office/excel/2006/main">
          <x14:cfRule type="expression" priority="64" stopIfTrue="1" id="{5C84F334-635C-46CE-B815-886C66C13C1F}">
            <xm:f xml:space="preserve"> OR($X$26=+テーブル!A2,$X$26=+テーブル!A3,$X$26=+テーブル!A4,$X$26=+テーブル!A9,$X$26=+テーブル!A10,$X$26=+テーブル!A11,$X$26=+テーブル!A12,$X$26=+テーブル!A13,$X$26=+テーブル!A14,$X$26=+テーブル!A16)</xm:f>
            <x14:dxf>
              <font>
                <color rgb="FFFF0000"/>
              </font>
            </x14:dxf>
          </x14:cfRule>
          <xm:sqref>H26:I26</xm:sqref>
        </x14:conditionalFormatting>
        <x14:conditionalFormatting xmlns:xm="http://schemas.microsoft.com/office/excel/2006/main">
          <x14:cfRule type="expression" priority="63" stopIfTrue="1" id="{5A1009C8-0FEA-44F4-A93D-B99FAC7D60DD}">
            <xm:f xml:space="preserve"> OR($X$27=+テーブル!A2,$X$27=+テーブル!A3,$X$27=+テーブル!A9,$X$27=+テーブル!A10,$X$27=+テーブル!A12,$X$27=+テーブル!A13,$X$27=+テーブル!A16)</xm:f>
            <x14:dxf>
              <font>
                <color rgb="FFFF0000"/>
              </font>
            </x14:dxf>
          </x14:cfRule>
          <xm:sqref>D27:E27</xm:sqref>
        </x14:conditionalFormatting>
        <x14:conditionalFormatting xmlns:xm="http://schemas.microsoft.com/office/excel/2006/main">
          <x14:cfRule type="expression" priority="62" stopIfTrue="1" id="{95C57C5C-A75E-48E8-AE84-E2A05A281A0C}">
            <xm:f xml:space="preserve"> OR($X$27=+テーブル!A2,$X$27=+テーブル!A4,$X$27=+テーブル!A9,$X$27=+テーブル!A11,$X$27=+テーブル!A12,$X$27=+テーブル!A14,$X$27=+テーブル!A16)</xm:f>
            <x14:dxf>
              <font>
                <color rgb="FFFF0000"/>
              </font>
            </x14:dxf>
          </x14:cfRule>
          <xm:sqref>F27:G27</xm:sqref>
        </x14:conditionalFormatting>
        <x14:conditionalFormatting xmlns:xm="http://schemas.microsoft.com/office/excel/2006/main">
          <x14:cfRule type="expression" priority="61" stopIfTrue="1" id="{FE221F84-1982-4C7E-A350-B5DCB9409EEB}">
            <xm:f xml:space="preserve"> OR($X$27=+テーブル!A2,$X$27=+テーブル!A3,$X$27=+テーブル!A4,$X$27=+テーブル!A9,$X$27=+テーブル!A10,$X$27=+テーブル!A11,$X$27=+テーブル!A12,$X$27=+テーブル!A13,$X$27=+テーブル!A14,$X$27=+テーブル!A16)</xm:f>
            <x14:dxf>
              <font>
                <color rgb="FFFF0000"/>
              </font>
            </x14:dxf>
          </x14:cfRule>
          <xm:sqref>H27:I27</xm:sqref>
        </x14:conditionalFormatting>
        <x14:conditionalFormatting xmlns:xm="http://schemas.microsoft.com/office/excel/2006/main">
          <x14:cfRule type="expression" priority="60" stopIfTrue="1" id="{099AEE64-EF93-4210-9156-7040F53E0D5B}">
            <xm:f xml:space="preserve"> OR($X$28=+テーブル!A2,$X$28=+テーブル!A3,$X$28=+テーブル!A9,$X$28=+テーブル!A10,$X$28=+テーブル!A12,$X$28=+テーブル!A13,$X$28=+テーブル!A16)</xm:f>
            <x14:dxf>
              <font>
                <color rgb="FFFF0000"/>
              </font>
            </x14:dxf>
          </x14:cfRule>
          <xm:sqref>D28:E28</xm:sqref>
        </x14:conditionalFormatting>
        <x14:conditionalFormatting xmlns:xm="http://schemas.microsoft.com/office/excel/2006/main">
          <x14:cfRule type="expression" priority="59" stopIfTrue="1" id="{9D1B67B5-E00E-4B2D-98DA-3E3DDE7FFAD0}">
            <xm:f xml:space="preserve"> OR($X$28=+テーブル!A2,$X$28=+テーブル!A4,$X$28=+テーブル!A9,$X$28=+テーブル!A11,$X$28=+テーブル!A12,$X$28=+テーブル!A14,$X$28=+テーブル!A16)</xm:f>
            <x14:dxf>
              <font>
                <color rgb="FFFF0000"/>
              </font>
            </x14:dxf>
          </x14:cfRule>
          <xm:sqref>F28:G28</xm:sqref>
        </x14:conditionalFormatting>
        <x14:conditionalFormatting xmlns:xm="http://schemas.microsoft.com/office/excel/2006/main">
          <x14:cfRule type="expression" priority="58" stopIfTrue="1" id="{0AABDF0C-1348-4B1F-A874-53C74B744306}">
            <xm:f xml:space="preserve"> OR($X$28=+テーブル!A2,$X$28=+テーブル!A3,$X$28=+テーブル!A4,$X$28=+テーブル!A9,$X$28=+テーブル!A10,$X$28=+テーブル!A11,$X$28=+テーブル!A12,$X$28=+テーブル!A13,$X$28=+テーブル!A14,$X$28=+テーブル!A16)</xm:f>
            <x14:dxf>
              <font>
                <color rgb="FFFF0000"/>
              </font>
            </x14:dxf>
          </x14:cfRule>
          <xm:sqref>H28:I28</xm:sqref>
        </x14:conditionalFormatting>
        <x14:conditionalFormatting xmlns:xm="http://schemas.microsoft.com/office/excel/2006/main">
          <x14:cfRule type="expression" priority="57" stopIfTrue="1" id="{241458D2-60F6-47CD-A6B2-8A246B6C5AE0}">
            <xm:f xml:space="preserve"> OR($X$29=+テーブル!A2,$X$29=+テーブル!A3,$X$29=+テーブル!A9,$X$29=+テーブル!A10,$X$29=+テーブル!A12,$X$29=+テーブル!A13,$X$29=+テーブル!A16)</xm:f>
            <x14:dxf>
              <font>
                <color rgb="FFFF0000"/>
              </font>
            </x14:dxf>
          </x14:cfRule>
          <xm:sqref>D29:E29</xm:sqref>
        </x14:conditionalFormatting>
        <x14:conditionalFormatting xmlns:xm="http://schemas.microsoft.com/office/excel/2006/main">
          <x14:cfRule type="expression" priority="56" stopIfTrue="1" id="{6900CEEA-08EB-4926-BB0E-D3F46362FFEF}">
            <xm:f xml:space="preserve"> OR($X$29=+テーブル!A2,$X$29=+テーブル!A4,$X$29=+テーブル!A9,$X$29=+テーブル!A11,$X$29=+テーブル!A12,$X$29=+テーブル!A14,$X$29=+テーブル!A16)</xm:f>
            <x14:dxf>
              <font>
                <color rgb="FFFF0000"/>
              </font>
            </x14:dxf>
          </x14:cfRule>
          <xm:sqref>F29:G29</xm:sqref>
        </x14:conditionalFormatting>
        <x14:conditionalFormatting xmlns:xm="http://schemas.microsoft.com/office/excel/2006/main">
          <x14:cfRule type="expression" priority="55" stopIfTrue="1" id="{85241622-043C-448D-96D3-A31BD1717ECA}">
            <xm:f xml:space="preserve"> OR($X$29=+テーブル!A2,$X$29=+テーブル!A3,$X$29=+テーブル!A4,$X$29=+テーブル!A9,$X$29=+テーブル!A10,$X$29=+テーブル!A11,$X$29=+テーブル!A12,$X$29=+テーブル!A13,$X$29=+テーブル!A14,$X$29=+テーブル!A16)</xm:f>
            <x14:dxf>
              <font>
                <color rgb="FFFF0000"/>
              </font>
            </x14:dxf>
          </x14:cfRule>
          <xm:sqref>H29:I29</xm:sqref>
        </x14:conditionalFormatting>
        <x14:conditionalFormatting xmlns:xm="http://schemas.microsoft.com/office/excel/2006/main">
          <x14:cfRule type="expression" priority="54" stopIfTrue="1" id="{A6B3893A-9C96-46B4-81B4-4B8AD735ADA2}">
            <xm:f xml:space="preserve"> OR($X$30=+テーブル!A2,$X$30=+テーブル!A3,$X$30=+テーブル!A9,$X$30=+テーブル!A10,$X$30=+テーブル!A12,$X$30=+テーブル!A13,$X$30=+テーブル!A16)</xm:f>
            <x14:dxf>
              <font>
                <color rgb="FFFF0000"/>
              </font>
            </x14:dxf>
          </x14:cfRule>
          <xm:sqref>D30:E30</xm:sqref>
        </x14:conditionalFormatting>
        <x14:conditionalFormatting xmlns:xm="http://schemas.microsoft.com/office/excel/2006/main">
          <x14:cfRule type="expression" priority="53" stopIfTrue="1" id="{770777B4-71AE-4654-8323-39C2230807F2}">
            <xm:f xml:space="preserve"> OR($X$30=+テーブル!A2,$X$30=+テーブル!A4,$X$30=+テーブル!A9,$X$30=+テーブル!A11,$X$30=+テーブル!A12,$X$30=+テーブル!A14,$X$30=+テーブル!A16)</xm:f>
            <x14:dxf>
              <font>
                <color rgb="FFFF0000"/>
              </font>
            </x14:dxf>
          </x14:cfRule>
          <xm:sqref>F30:G30</xm:sqref>
        </x14:conditionalFormatting>
        <x14:conditionalFormatting xmlns:xm="http://schemas.microsoft.com/office/excel/2006/main">
          <x14:cfRule type="expression" priority="52" stopIfTrue="1" id="{13E77008-0669-48B9-8A78-3F654D332E72}">
            <xm:f xml:space="preserve"> OR($X$30=+テーブル!A2,$X$30=+テーブル!A3,$X$30=+テーブル!A4,$X$30=+テーブル!A9,$X$30=+テーブル!A10,$X$30=+テーブル!A11,$X$30=+テーブル!A12,$X$30=+テーブル!A13,$X$30=+テーブル!A14,$X$30=+テーブル!A16)</xm:f>
            <x14:dxf>
              <font>
                <color rgb="FFFF0000"/>
              </font>
            </x14:dxf>
          </x14:cfRule>
          <xm:sqref>H30:I30</xm:sqref>
        </x14:conditionalFormatting>
        <x14:conditionalFormatting xmlns:xm="http://schemas.microsoft.com/office/excel/2006/main">
          <x14:cfRule type="expression" priority="51" stopIfTrue="1" id="{267B63F8-2950-4F64-B200-F8A37E49D2E7}">
            <xm:f xml:space="preserve"> OR($X$31=+テーブル!A2,$X$31=+テーブル!A3,$X$31=+テーブル!A9,$X$31=+テーブル!A10,$X$31=+テーブル!A12,$X$31=+テーブル!A13,$X$31=+テーブル!A16)</xm:f>
            <x14:dxf>
              <font>
                <color rgb="FFFF0000"/>
              </font>
            </x14:dxf>
          </x14:cfRule>
          <xm:sqref>D31:E31</xm:sqref>
        </x14:conditionalFormatting>
        <x14:conditionalFormatting xmlns:xm="http://schemas.microsoft.com/office/excel/2006/main">
          <x14:cfRule type="expression" priority="50" stopIfTrue="1" id="{25045140-5BCB-417A-A87F-B6057E2AEE0D}">
            <xm:f xml:space="preserve"> OR($X$31=+テーブル!A2,$X$31=+テーブル!A4,$X$31=+テーブル!A9,$X$31=+テーブル!A11,$X$31=+テーブル!A12,$X$31=+テーブル!A14,$X$31=+テーブル!A16)</xm:f>
            <x14:dxf>
              <font>
                <color rgb="FFFF0000"/>
              </font>
            </x14:dxf>
          </x14:cfRule>
          <xm:sqref>F31:G31</xm:sqref>
        </x14:conditionalFormatting>
        <x14:conditionalFormatting xmlns:xm="http://schemas.microsoft.com/office/excel/2006/main">
          <x14:cfRule type="expression" priority="49" stopIfTrue="1" id="{6AFB8672-99DF-437E-A8F1-E6BD445906EA}">
            <xm:f xml:space="preserve"> OR($X$31=+テーブル!A2,$X$31=+テーブル!A3,$X$31=+テーブル!A4,$X$31=+テーブル!A9,$X$31=+テーブル!A10,$X$31=+テーブル!A11,$X$31=+テーブル!A12,$X$31=+テーブル!A13,$X$31=+テーブル!A14,$X$31=+テーブル!A16)</xm:f>
            <x14:dxf>
              <font>
                <color rgb="FFFF0000"/>
              </font>
            </x14:dxf>
          </x14:cfRule>
          <xm:sqref>H31:I31</xm:sqref>
        </x14:conditionalFormatting>
        <x14:conditionalFormatting xmlns:xm="http://schemas.microsoft.com/office/excel/2006/main">
          <x14:cfRule type="expression" priority="48" stopIfTrue="1" id="{6A999DA1-7FD9-413C-ABD7-F0842F46EFD6}">
            <xm:f xml:space="preserve"> OR($X$32=+テーブル!A2,$X$32=+テーブル!A3,$X$32=+テーブル!A9,$X$32=+テーブル!A10,$X$32=+テーブル!A12,$X$32=+テーブル!A13,$X$32=+テーブル!A16)</xm:f>
            <x14:dxf>
              <font>
                <color rgb="FFFF0000"/>
              </font>
            </x14:dxf>
          </x14:cfRule>
          <xm:sqref>D32:E32</xm:sqref>
        </x14:conditionalFormatting>
        <x14:conditionalFormatting xmlns:xm="http://schemas.microsoft.com/office/excel/2006/main">
          <x14:cfRule type="expression" priority="47" stopIfTrue="1" id="{B64F1424-7290-45A9-AA8D-D68A06190AF2}">
            <xm:f xml:space="preserve"> OR($X$32=+テーブル!A2,$X$32=+テーブル!A4,$X$32=+テーブル!A9,$X$32=+テーブル!A11,$X$32=+テーブル!A12,$X$32=+テーブル!A14,$X$32=+テーブル!A16)</xm:f>
            <x14:dxf>
              <font>
                <color rgb="FFFF0000"/>
              </font>
            </x14:dxf>
          </x14:cfRule>
          <xm:sqref>F32:G32</xm:sqref>
        </x14:conditionalFormatting>
        <x14:conditionalFormatting xmlns:xm="http://schemas.microsoft.com/office/excel/2006/main">
          <x14:cfRule type="expression" priority="46" stopIfTrue="1" id="{DDBBF7B4-85D8-4528-89B4-50636BA445A9}">
            <xm:f xml:space="preserve"> OR($X$32=+テーブル!A2,$X$32=+テーブル!A3,$X$32=+テーブル!A4,$X$32=+テーブル!A9,$X$32=+テーブル!A10,$X$32=+テーブル!A11,$X$32=+テーブル!A12,$X$32=+テーブル!A13,$X$32=+テーブル!A14,$X$32=+テーブル!A16)</xm:f>
            <x14:dxf>
              <font>
                <color rgb="FFFF0000"/>
              </font>
            </x14:dxf>
          </x14:cfRule>
          <xm:sqref>H32:I32</xm:sqref>
        </x14:conditionalFormatting>
        <x14:conditionalFormatting xmlns:xm="http://schemas.microsoft.com/office/excel/2006/main">
          <x14:cfRule type="expression" priority="45" stopIfTrue="1" id="{83CCADF5-D503-45F8-B529-632B803B98E1}">
            <xm:f xml:space="preserve"> OR($X$33=+テーブル!A2,$X$33=+テーブル!A3,$X$33=+テーブル!A9,$X$33=+テーブル!A10,$X$33=+テーブル!A12,$X$33=+テーブル!A13,$X$33=+テーブル!A16)</xm:f>
            <x14:dxf>
              <font>
                <color rgb="FFFF0000"/>
              </font>
            </x14:dxf>
          </x14:cfRule>
          <xm:sqref>D33:E33</xm:sqref>
        </x14:conditionalFormatting>
        <x14:conditionalFormatting xmlns:xm="http://schemas.microsoft.com/office/excel/2006/main">
          <x14:cfRule type="expression" priority="44" stopIfTrue="1" id="{FCD8D1BC-A6C0-42BD-BDC7-CBF854F3D1F3}">
            <xm:f xml:space="preserve"> OR($X$33=+テーブル!A2,$X$33=+テーブル!A4,$X$33=+テーブル!A9,$X$33=+テーブル!A11,$X$33=+テーブル!A12,$X$33=+テーブル!A14,$X$33=+テーブル!A16)</xm:f>
            <x14:dxf>
              <font>
                <color rgb="FFFF0000"/>
              </font>
            </x14:dxf>
          </x14:cfRule>
          <xm:sqref>F33:G33</xm:sqref>
        </x14:conditionalFormatting>
        <x14:conditionalFormatting xmlns:xm="http://schemas.microsoft.com/office/excel/2006/main">
          <x14:cfRule type="expression" priority="43" stopIfTrue="1" id="{62610487-0F1C-4F62-9CE2-063AA7A20BEE}">
            <xm:f xml:space="preserve"> OR($X$33=+テーブル!A2,$X$33=+テーブル!A3,$X$33=+テーブル!A4,$X$33=+テーブル!A9,$X$33=+テーブル!A10,$X$33=+テーブル!A11,$X$33=+テーブル!A12,$X$33=+テーブル!A13,$X$33=+テーブル!A14,$X$33=+テーブル!A16)</xm:f>
            <x14:dxf>
              <font>
                <color rgb="FFFF0000"/>
              </font>
            </x14:dxf>
          </x14:cfRule>
          <xm:sqref>H33:I33</xm:sqref>
        </x14:conditionalFormatting>
        <x14:conditionalFormatting xmlns:xm="http://schemas.microsoft.com/office/excel/2006/main">
          <x14:cfRule type="expression" priority="42" stopIfTrue="1" id="{D6D3C6DE-1FE3-4C16-A606-5C151E6EA4C1}">
            <xm:f xml:space="preserve"> OR($X$34=+テーブル!A2,$X$34=+テーブル!A3,$X$34=+テーブル!A9,$X$34=+テーブル!A10,$X$34=+テーブル!A12,$X$34=+テーブル!A13,$X$34=+テーブル!A16)</xm:f>
            <x14:dxf>
              <font>
                <color rgb="FFFF0000"/>
              </font>
            </x14:dxf>
          </x14:cfRule>
          <xm:sqref>D34:E34</xm:sqref>
        </x14:conditionalFormatting>
        <x14:conditionalFormatting xmlns:xm="http://schemas.microsoft.com/office/excel/2006/main">
          <x14:cfRule type="expression" priority="41" stopIfTrue="1" id="{3C3CEF0D-7674-47C1-B4D6-F50D7D7D7B9A}">
            <xm:f xml:space="preserve"> OR($X$34=+テーブル!A2,$X$34=+テーブル!A4,$X$34=+テーブル!A9,$X$34=+テーブル!A11,$X$34=+テーブル!A12,$X$34=+テーブル!A14,$X$34=+テーブル!A16)</xm:f>
            <x14:dxf>
              <font>
                <color rgb="FFFF0000"/>
              </font>
            </x14:dxf>
          </x14:cfRule>
          <xm:sqref>F34:G34</xm:sqref>
        </x14:conditionalFormatting>
        <x14:conditionalFormatting xmlns:xm="http://schemas.microsoft.com/office/excel/2006/main">
          <x14:cfRule type="expression" priority="40" stopIfTrue="1" id="{17D407A7-736A-4FED-B0B4-B581FD5CA998}">
            <xm:f xml:space="preserve"> OR($X$34=+テーブル!A2,$X$34=+テーブル!A3,$X$34=+テーブル!A4,$X$34=+テーブル!A9,$X$34=+テーブル!A10,$X$34=+テーブル!A11,$X$34=+テーブル!A12,$X$34=+テーブル!A13,$X$34=+テーブル!A14,$X$34=+テーブル!A16)</xm:f>
            <x14:dxf>
              <font>
                <color rgb="FFFF0000"/>
              </font>
            </x14:dxf>
          </x14:cfRule>
          <xm:sqref>H34:I34</xm:sqref>
        </x14:conditionalFormatting>
        <x14:conditionalFormatting xmlns:xm="http://schemas.microsoft.com/office/excel/2006/main">
          <x14:cfRule type="expression" priority="39" stopIfTrue="1" id="{A4EE81AF-B8FA-4E26-AF28-350561A575BF}">
            <xm:f xml:space="preserve"> OR($X$35=+テーブル!A2,$X$35=+テーブル!A3,$X$35=+テーブル!A9,$X$35=+テーブル!A10,$X$35=+テーブル!A12,$X$35=+テーブル!A13,$X$35=+テーブル!A16)</xm:f>
            <x14:dxf>
              <font>
                <color rgb="FFFF0000"/>
              </font>
            </x14:dxf>
          </x14:cfRule>
          <xm:sqref>D35:E35</xm:sqref>
        </x14:conditionalFormatting>
        <x14:conditionalFormatting xmlns:xm="http://schemas.microsoft.com/office/excel/2006/main">
          <x14:cfRule type="expression" priority="38" stopIfTrue="1" id="{6475F7EC-6B92-40B8-9454-AAA64A8D2E0C}">
            <xm:f xml:space="preserve"> OR($X$35=+テーブル!A2,$X$35=+テーブル!A4,$X$35=+テーブル!A9,$X$35=+テーブル!A11,$X$35=+テーブル!A12,$X$35=+テーブル!A14,$X$35=+テーブル!A16)</xm:f>
            <x14:dxf>
              <font>
                <color rgb="FFFF0000"/>
              </font>
            </x14:dxf>
          </x14:cfRule>
          <xm:sqref>F35:G35</xm:sqref>
        </x14:conditionalFormatting>
        <x14:conditionalFormatting xmlns:xm="http://schemas.microsoft.com/office/excel/2006/main">
          <x14:cfRule type="expression" priority="37" stopIfTrue="1" id="{BDC9F2B6-EB1F-422E-AC25-4AA53EB93D35}">
            <xm:f xml:space="preserve"> OR($X$35=+テーブル!A2,$X$35=+テーブル!A3,$X$35=+テーブル!A4,$X$35=+テーブル!A9,$X$35=+テーブル!A10,$X$35=+テーブル!A11,$X$35=+テーブル!A12,$X$35=+テーブル!A13,$X$35=+テーブル!A14,$X$35=+テーブル!A16)</xm:f>
            <x14:dxf>
              <font>
                <color rgb="FFFF0000"/>
              </font>
            </x14:dxf>
          </x14:cfRule>
          <xm:sqref>H35:I35</xm:sqref>
        </x14:conditionalFormatting>
        <x14:conditionalFormatting xmlns:xm="http://schemas.microsoft.com/office/excel/2006/main">
          <x14:cfRule type="expression" priority="36" stopIfTrue="1" id="{7C4E445B-384C-4A87-A4A1-B5E1B1352AD1}">
            <xm:f xml:space="preserve"> OR($X$36=+テーブル!A2,$X$36=+テーブル!A3,$X$36=+テーブル!A9,$X$36=+テーブル!A10,$X$36=+テーブル!A12,$X$36=+テーブル!A13,$X$36=+テーブル!A16)</xm:f>
            <x14:dxf>
              <font>
                <color rgb="FFFF0000"/>
              </font>
            </x14:dxf>
          </x14:cfRule>
          <xm:sqref>D36:E36</xm:sqref>
        </x14:conditionalFormatting>
        <x14:conditionalFormatting xmlns:xm="http://schemas.microsoft.com/office/excel/2006/main">
          <x14:cfRule type="expression" priority="35" stopIfTrue="1" id="{6EF63BF5-8242-47B8-963B-441F5B3665E5}">
            <xm:f xml:space="preserve"> OR($X$36=+テーブル!A2,$X$36=+テーブル!A4,$X$36=+テーブル!A9,$X$36=+テーブル!A11,$X$36=+テーブル!A12,$X$36=+テーブル!A14,$X$36=+テーブル!A16)</xm:f>
            <x14:dxf>
              <font>
                <color rgb="FFFF0000"/>
              </font>
            </x14:dxf>
          </x14:cfRule>
          <xm:sqref>F36:G36</xm:sqref>
        </x14:conditionalFormatting>
        <x14:conditionalFormatting xmlns:xm="http://schemas.microsoft.com/office/excel/2006/main">
          <x14:cfRule type="expression" priority="34" stopIfTrue="1" id="{59B52B09-36D9-4019-A068-7655762B07EE}">
            <xm:f xml:space="preserve"> OR($X$36=+テーブル!A2,$X$36=+テーブル!A3,$X$36=+テーブル!A4,$X$36=+テーブル!A9,$X$36=+テーブル!A10,$X$36=+テーブル!A11,$X$36=+テーブル!A12,$X$36=+テーブル!A13,$X$36=+テーブル!A14,$X$36=+テーブル!A16)</xm:f>
            <x14:dxf>
              <font>
                <color rgb="FFFF0000"/>
              </font>
            </x14:dxf>
          </x14:cfRule>
          <xm:sqref>H36:I36</xm:sqref>
        </x14:conditionalFormatting>
        <x14:conditionalFormatting xmlns:xm="http://schemas.microsoft.com/office/excel/2006/main">
          <x14:cfRule type="expression" priority="33" stopIfTrue="1" id="{18DBBB4C-F66A-41DA-860D-E1C8B8C36AC9}">
            <xm:f xml:space="preserve"> OR($X$37=+テーブル!A2,$X$37=+テーブル!A3,$X$37=+テーブル!A9,$X$37=+テーブル!A10,$X$37=+テーブル!A12,$X$37=+テーブル!A13,$X$37=+テーブル!A16)</xm:f>
            <x14:dxf>
              <font>
                <color rgb="FFFF0000"/>
              </font>
            </x14:dxf>
          </x14:cfRule>
          <xm:sqref>D37:E37</xm:sqref>
        </x14:conditionalFormatting>
        <x14:conditionalFormatting xmlns:xm="http://schemas.microsoft.com/office/excel/2006/main">
          <x14:cfRule type="expression" priority="32" stopIfTrue="1" id="{F2D6D3C4-3221-4531-92B3-B355A9E70513}">
            <xm:f xml:space="preserve"> OR($X$37=+テーブル!A2,$X$37=+テーブル!A4,$X$37=+テーブル!A9,$X$37=+テーブル!A11,$X$37=+テーブル!A12,$X$37=+テーブル!A14,$X$37=+テーブル!A16)</xm:f>
            <x14:dxf>
              <font>
                <color rgb="FFFF0000"/>
              </font>
            </x14:dxf>
          </x14:cfRule>
          <xm:sqref>F37:G37</xm:sqref>
        </x14:conditionalFormatting>
        <x14:conditionalFormatting xmlns:xm="http://schemas.microsoft.com/office/excel/2006/main">
          <x14:cfRule type="expression" priority="31" stopIfTrue="1" id="{C2F876A8-F46B-4E29-9257-78A6CE5A95F8}">
            <xm:f xml:space="preserve"> OR($X$37=+テーブル!A2,$X$37=+テーブル!A3,$X$37=+テーブル!A4,$X$37=+テーブル!A9,$X$37=+テーブル!A10,$X$37=+テーブル!A11,$X$37=+テーブル!A12,$X$37=+テーブル!A13,$X$37=+テーブル!A14,$X$37=+テーブル!A16)</xm:f>
            <x14:dxf>
              <font>
                <color rgb="FFFF0000"/>
              </font>
            </x14:dxf>
          </x14:cfRule>
          <xm:sqref>H37:I37</xm:sqref>
        </x14:conditionalFormatting>
        <x14:conditionalFormatting xmlns:xm="http://schemas.microsoft.com/office/excel/2006/main">
          <x14:cfRule type="expression" priority="30" stopIfTrue="1" id="{8461D11B-7C3C-49B6-82DE-C4C09ABE6457}">
            <xm:f xml:space="preserve"> OR($X$38=+テーブル!A2,$X$38=+テーブル!A3,$X$38=+テーブル!A9,$X$38=+テーブル!A10,$X$38=+テーブル!A12,$X$38=+テーブル!A13,$X$38=+テーブル!A16)</xm:f>
            <x14:dxf>
              <font>
                <color rgb="FFFF0000"/>
              </font>
            </x14:dxf>
          </x14:cfRule>
          <xm:sqref>D38:E38</xm:sqref>
        </x14:conditionalFormatting>
        <x14:conditionalFormatting xmlns:xm="http://schemas.microsoft.com/office/excel/2006/main">
          <x14:cfRule type="expression" priority="29" stopIfTrue="1" id="{8D6621B4-D38F-4D70-BC3F-CE8063B4FC3E}">
            <xm:f xml:space="preserve"> OR($X$38=+テーブル!A2,$X$38=+テーブル!A4,$X$38=+テーブル!A9,$X$38=+テーブル!A11,$X$38=+テーブル!A12,$X$38=+テーブル!A14,$X$38=+テーブル!A16)</xm:f>
            <x14:dxf>
              <font>
                <color rgb="FFFF0000"/>
              </font>
            </x14:dxf>
          </x14:cfRule>
          <xm:sqref>F38:G38</xm:sqref>
        </x14:conditionalFormatting>
        <x14:conditionalFormatting xmlns:xm="http://schemas.microsoft.com/office/excel/2006/main">
          <x14:cfRule type="expression" priority="28" stopIfTrue="1" id="{E3622D02-19D6-4D49-B19C-A903CE6034AA}">
            <xm:f xml:space="preserve"> OR($X$38=+テーブル!A2,$X$38=+テーブル!A3,$X$38=+テーブル!A4,$X$38=+テーブル!A9,$X$38=+テーブル!A10,$X$38=+テーブル!A11,$X$38=+テーブル!A12,$X$38=+テーブル!A13,$X$38=+テーブル!A14,$X$38=+テーブル!A16)</xm:f>
            <x14:dxf>
              <font>
                <color rgb="FFFF0000"/>
              </font>
            </x14:dxf>
          </x14:cfRule>
          <xm:sqref>H38:I38</xm:sqref>
        </x14:conditionalFormatting>
        <x14:conditionalFormatting xmlns:xm="http://schemas.microsoft.com/office/excel/2006/main">
          <x14:cfRule type="expression" priority="27" stopIfTrue="1" id="{8A79C461-A4E2-443D-BFA3-ED6EF8D74DE9}">
            <xm:f xml:space="preserve"> OR($X$39=+テーブル!A2,$X$39=+テーブル!A3,$X$39=+テーブル!A9,$X$39=+テーブル!A10,$X$39=+テーブル!A12,$X$39=+テーブル!A13,$X$39=+テーブル!A16)</xm:f>
            <x14:dxf>
              <font>
                <color rgb="FFFF0000"/>
              </font>
            </x14:dxf>
          </x14:cfRule>
          <xm:sqref>D39:E39</xm:sqref>
        </x14:conditionalFormatting>
        <x14:conditionalFormatting xmlns:xm="http://schemas.microsoft.com/office/excel/2006/main">
          <x14:cfRule type="expression" priority="26" stopIfTrue="1" id="{F03A4D0E-44F3-42CC-8C19-83AB7DCD31D2}">
            <xm:f xml:space="preserve"> OR($X$39=+テーブル!A2,$X$39=+テーブル!A4,$X$39=+テーブル!A9,$X$39=+テーブル!A11,$X$39=+テーブル!A12,$X$39=+テーブル!A14,$X$39=+テーブル!A16)</xm:f>
            <x14:dxf>
              <font>
                <color rgb="FFFF0000"/>
              </font>
            </x14:dxf>
          </x14:cfRule>
          <xm:sqref>F39:G39</xm:sqref>
        </x14:conditionalFormatting>
        <x14:conditionalFormatting xmlns:xm="http://schemas.microsoft.com/office/excel/2006/main">
          <x14:cfRule type="expression" priority="25" stopIfTrue="1" id="{BD3D2FC7-A0D6-4CA9-A372-4BABD30A2B93}">
            <xm:f xml:space="preserve"> OR($X$39=+テーブル!A2,$X$39=+テーブル!A3,$X$39=+テーブル!A4,$X$39=+テーブル!A9,$X$39=+テーブル!A10,$X$39=+テーブル!A11,$X$39=+テーブル!A12,$X$39=+テーブル!A13,$X$39=+テーブル!A14,$X$39=+テーブル!A16)</xm:f>
            <x14:dxf>
              <font>
                <color rgb="FFFF0000"/>
              </font>
            </x14:dxf>
          </x14:cfRule>
          <xm:sqref>H39:I39</xm:sqref>
        </x14:conditionalFormatting>
        <x14:conditionalFormatting xmlns:xm="http://schemas.microsoft.com/office/excel/2006/main">
          <x14:cfRule type="expression" priority="24" stopIfTrue="1" id="{9610163F-E20F-4703-986A-09D8230434F9}">
            <xm:f xml:space="preserve"> OR($X$40=+テーブル!A2,$X$40=+テーブル!A3,$X$40=+テーブル!A9,$X$40=+テーブル!A10,$X$40=+テーブル!A12,$X$40=+テーブル!A13,$X$40=+テーブル!A16)</xm:f>
            <x14:dxf>
              <font>
                <color rgb="FFFF0000"/>
              </font>
            </x14:dxf>
          </x14:cfRule>
          <xm:sqref>D40:E40</xm:sqref>
        </x14:conditionalFormatting>
        <x14:conditionalFormatting xmlns:xm="http://schemas.microsoft.com/office/excel/2006/main">
          <x14:cfRule type="expression" priority="23" stopIfTrue="1" id="{EC1100EF-04F5-44BC-9E01-C50A98823762}">
            <xm:f xml:space="preserve"> OR($X$40=+テーブル!A2,$X$40=+テーブル!A4,$X$40=+テーブル!A9,$X$40=+テーブル!A11,$X$40=+テーブル!A12,$X$40=+テーブル!A14,$X$40=+テーブル!A16)</xm:f>
            <x14:dxf>
              <font>
                <color rgb="FFFF0000"/>
              </font>
            </x14:dxf>
          </x14:cfRule>
          <xm:sqref>F40:G40</xm:sqref>
        </x14:conditionalFormatting>
        <x14:conditionalFormatting xmlns:xm="http://schemas.microsoft.com/office/excel/2006/main">
          <x14:cfRule type="expression" priority="22" stopIfTrue="1" id="{3A6AFE43-BDAE-4536-B6D2-2B39D83AF53B}">
            <xm:f xml:space="preserve"> OR($X$40=+テーブル!A2,$X$40=+テーブル!A3,$X$40=+テーブル!A4,$X$40=+テーブル!A9,$X$40=+テーブル!A10,$X$40=+テーブル!A11,$X$40=+テーブル!A12,$X$40=+テーブル!A13,$X$40=+テーブル!A14,$X$40=+テーブル!A16)</xm:f>
            <x14:dxf>
              <font>
                <color rgb="FFFF0000"/>
              </font>
            </x14:dxf>
          </x14:cfRule>
          <xm:sqref>H40:I40</xm:sqref>
        </x14:conditionalFormatting>
        <x14:conditionalFormatting xmlns:xm="http://schemas.microsoft.com/office/excel/2006/main">
          <x14:cfRule type="expression" priority="21" stopIfTrue="1" id="{99BD84D2-E386-42E2-A1EC-0F9E79D6250F}">
            <xm:f xml:space="preserve"> OR($X$41=+テーブル!A2,$X$41=+テーブル!A3,$X$41=+テーブル!A9,$X$41=+テーブル!A10,$X$41=+テーブル!A12,$X$41=+テーブル!A13,$X$41=+テーブル!A16)</xm:f>
            <x14:dxf>
              <font>
                <color rgb="FFFF0000"/>
              </font>
            </x14:dxf>
          </x14:cfRule>
          <xm:sqref>D41:E41</xm:sqref>
        </x14:conditionalFormatting>
        <x14:conditionalFormatting xmlns:xm="http://schemas.microsoft.com/office/excel/2006/main">
          <x14:cfRule type="expression" priority="20" stopIfTrue="1" id="{BCE9235F-CC66-409C-ACB1-0B2D8172D820}">
            <xm:f xml:space="preserve"> OR($X$41=+テーブル!A2,$X$41=+テーブル!A4,$X$41=+テーブル!A9,$X$41=+テーブル!A11,$X$41=+テーブル!A12,$X$41=+テーブル!A14,$X$41=+テーブル!A16)</xm:f>
            <x14:dxf>
              <font>
                <color rgb="FFFF0000"/>
              </font>
            </x14:dxf>
          </x14:cfRule>
          <xm:sqref>F41:G41</xm:sqref>
        </x14:conditionalFormatting>
        <x14:conditionalFormatting xmlns:xm="http://schemas.microsoft.com/office/excel/2006/main">
          <x14:cfRule type="expression" priority="19" stopIfTrue="1" id="{A5A4F34F-8BCA-4023-885F-49A5024A20A0}">
            <xm:f xml:space="preserve"> OR($X$41=+テーブル!A2,$X$41=+テーブル!A3,$X$41=+テーブル!A4,$X$41=+テーブル!A9,$X$41=+テーブル!A10,$X$41=+テーブル!A11,$X$41=+テーブル!A12,$X$41=+テーブル!A13,$X$41=+テーブル!A14,$X$41=+テーブル!A16)</xm:f>
            <x14:dxf>
              <font>
                <color rgb="FFFF0000"/>
              </font>
            </x14:dxf>
          </x14:cfRule>
          <xm:sqref>H41:I41</xm:sqref>
        </x14:conditionalFormatting>
        <x14:conditionalFormatting xmlns:xm="http://schemas.microsoft.com/office/excel/2006/main">
          <x14:cfRule type="expression" priority="18" stopIfTrue="1" id="{B29138B8-48D8-4587-851E-DB6AE8EF4067}">
            <xm:f xml:space="preserve"> OR($X$42=+テーブル!A2,$X$42=+テーブル!A3,$X$42=+テーブル!A9,$X$42=+テーブル!A10,$X$42=+テーブル!A12,$X$42=+テーブル!A13,$X$42=+テーブル!A16)</xm:f>
            <x14:dxf>
              <font>
                <color rgb="FFFF0000"/>
              </font>
            </x14:dxf>
          </x14:cfRule>
          <xm:sqref>D42:E42</xm:sqref>
        </x14:conditionalFormatting>
        <x14:conditionalFormatting xmlns:xm="http://schemas.microsoft.com/office/excel/2006/main">
          <x14:cfRule type="expression" priority="17" stopIfTrue="1" id="{8D78EBFD-9CA5-4DDB-87F9-72489CBF3467}">
            <xm:f xml:space="preserve"> OR($X$42=+テーブル!A2,$X$42=+テーブル!A4,$X$42=+テーブル!A9,$X$42=+テーブル!A11,$X$42=+テーブル!A12,$X$42=+テーブル!A14,$X$42=+テーブル!A16)</xm:f>
            <x14:dxf>
              <font>
                <color rgb="FFFF0000"/>
              </font>
            </x14:dxf>
          </x14:cfRule>
          <xm:sqref>F42:G42</xm:sqref>
        </x14:conditionalFormatting>
        <x14:conditionalFormatting xmlns:xm="http://schemas.microsoft.com/office/excel/2006/main">
          <x14:cfRule type="expression" priority="16" stopIfTrue="1" id="{4400F971-537D-4864-A87C-3F5710FE60C2}">
            <xm:f xml:space="preserve"> OR($X$42=+テーブル!A2,$X$42=+テーブル!A3,$X$42=+テーブル!A4,$X$42=+テーブル!A9,$X$42=+テーブル!A10,$X$42=+テーブル!A11,$X$42=+テーブル!A12,$X$42=+テーブル!A13,$X$42=+テーブル!A14,$X$42=+テーブル!A16)</xm:f>
            <x14:dxf>
              <font>
                <color rgb="FFFF0000"/>
              </font>
            </x14:dxf>
          </x14:cfRule>
          <xm:sqref>H42:I42</xm:sqref>
        </x14:conditionalFormatting>
        <x14:conditionalFormatting xmlns:xm="http://schemas.microsoft.com/office/excel/2006/main">
          <x14:cfRule type="expression" priority="15" stopIfTrue="1" id="{1593F9AC-C41C-48B0-9E4D-57781291FBBA}">
            <xm:f xml:space="preserve"> OR($X$43=+テーブル!A2,$X$43=+テーブル!A3,$X$43=+テーブル!A9,$X$43=+テーブル!A10,$X$43=+テーブル!A12,$X$43=+テーブル!A13,$X$43=+テーブル!A16)</xm:f>
            <x14:dxf>
              <font>
                <color rgb="FFFF0000"/>
              </font>
            </x14:dxf>
          </x14:cfRule>
          <xm:sqref>D43:E43</xm:sqref>
        </x14:conditionalFormatting>
        <x14:conditionalFormatting xmlns:xm="http://schemas.microsoft.com/office/excel/2006/main">
          <x14:cfRule type="expression" priority="14" stopIfTrue="1" id="{9D27D931-918A-4246-98B1-A8633AD168E0}">
            <xm:f xml:space="preserve"> OR($X$43=+テーブル!A2,$X$43=+テーブル!A4,$X$43=+テーブル!A9,$X$43=+テーブル!A11,$X$43=+テーブル!A12,$X$43=+テーブル!A14,$X$43=+テーブル!A16)</xm:f>
            <x14:dxf>
              <font>
                <color rgb="FFFF0000"/>
              </font>
            </x14:dxf>
          </x14:cfRule>
          <xm:sqref>F43:G43</xm:sqref>
        </x14:conditionalFormatting>
        <x14:conditionalFormatting xmlns:xm="http://schemas.microsoft.com/office/excel/2006/main">
          <x14:cfRule type="expression" priority="13" stopIfTrue="1" id="{70864C51-FD52-4699-AB55-24732DF47F68}">
            <xm:f xml:space="preserve"> OR($X$43=+テーブル!A2,$X$43=+テーブル!A3,$X$43=+テーブル!A4,$X$43=+テーブル!A9,$X$43=+テーブル!A10,$X$43=+テーブル!A11,$X$43=+テーブル!A12,$X$43=+テーブル!A13,$X$43=+テーブル!A14,$X$43=+テーブル!A16)</xm:f>
            <x14:dxf>
              <font>
                <color rgb="FFFF0000"/>
              </font>
            </x14:dxf>
          </x14:cfRule>
          <xm:sqref>H43:I43</xm:sqref>
        </x14:conditionalFormatting>
        <x14:conditionalFormatting xmlns:xm="http://schemas.microsoft.com/office/excel/2006/main">
          <x14:cfRule type="expression" priority="12" stopIfTrue="1" id="{7B711785-A912-403B-8216-3CE88AE31B57}">
            <xm:f xml:space="preserve"> OR($X$44=+テーブル!A2,$X$44=+テーブル!A3,$X$44=+テーブル!A9,$X$44=+テーブル!A10,$X$44=+テーブル!A12,$X$44=+テーブル!A13,$X$44=+テーブル!A16)</xm:f>
            <x14:dxf>
              <font>
                <color rgb="FFFF0000"/>
              </font>
            </x14:dxf>
          </x14:cfRule>
          <xm:sqref>D44:E44</xm:sqref>
        </x14:conditionalFormatting>
        <x14:conditionalFormatting xmlns:xm="http://schemas.microsoft.com/office/excel/2006/main">
          <x14:cfRule type="expression" priority="11" stopIfTrue="1" id="{6368CCCA-03B9-4128-879E-CFE8E0E90A00}">
            <xm:f xml:space="preserve"> OR($X$44=+テーブル!A2,$X$44=+テーブル!A4,$X$44=+テーブル!A9,$X$44=+テーブル!A11,$X$44=+テーブル!A12,$X$44=+テーブル!A14,$X$44=+テーブル!A16)</xm:f>
            <x14:dxf>
              <font>
                <color rgb="FFFF0000"/>
              </font>
            </x14:dxf>
          </x14:cfRule>
          <xm:sqref>F44:G44</xm:sqref>
        </x14:conditionalFormatting>
        <x14:conditionalFormatting xmlns:xm="http://schemas.microsoft.com/office/excel/2006/main">
          <x14:cfRule type="expression" priority="10" stopIfTrue="1" id="{DC72EB66-EF33-4E14-8DA7-5E4969171907}">
            <xm:f xml:space="preserve"> OR($X$44=+テーブル!A2,$X$44=+テーブル!A3,$X$44=+テーブル!A4,$X$44=+テーブル!A9,$X$44=+テーブル!A10,$X$44=+テーブル!A11,$X$44=+テーブル!A12,$X$44=+テーブル!A13,$X$44=+テーブル!A14,$X$44=+テーブル!A16)</xm:f>
            <x14:dxf>
              <font>
                <color rgb="FFFF0000"/>
              </font>
            </x14:dxf>
          </x14:cfRule>
          <xm:sqref>H44:I44</xm:sqref>
        </x14:conditionalFormatting>
        <x14:conditionalFormatting xmlns:xm="http://schemas.microsoft.com/office/excel/2006/main">
          <x14:cfRule type="expression" priority="9" stopIfTrue="1" id="{0ADB59A5-BBA5-4383-954E-B96CF5B2BC41}">
            <xm:f xml:space="preserve"> OR($X$45=+テーブル!A2,$X$45=+テーブル!A3,$X$45=+テーブル!A9,$X$45=+テーブル!A10,$X$45=+テーブル!A12,$X$45=+テーブル!A13,$X$45=+テーブル!A16)</xm:f>
            <x14:dxf>
              <font>
                <color rgb="FFFF0000"/>
              </font>
            </x14:dxf>
          </x14:cfRule>
          <xm:sqref>D45:E45</xm:sqref>
        </x14:conditionalFormatting>
        <x14:conditionalFormatting xmlns:xm="http://schemas.microsoft.com/office/excel/2006/main">
          <x14:cfRule type="expression" priority="8" stopIfTrue="1" id="{000AE236-D40D-4FFE-B7B9-38A6AFD902AF}">
            <xm:f xml:space="preserve"> OR($X$45=+テーブル!A2,$X$45=+テーブル!A4,$X$45=+テーブル!A9,$X$45=+テーブル!A11,$X$45=+テーブル!A12,$X$45=+テーブル!A14,$X$45=+テーブル!A16)</xm:f>
            <x14:dxf>
              <font>
                <color rgb="FFFF0000"/>
              </font>
            </x14:dxf>
          </x14:cfRule>
          <xm:sqref>F45:G45</xm:sqref>
        </x14:conditionalFormatting>
        <x14:conditionalFormatting xmlns:xm="http://schemas.microsoft.com/office/excel/2006/main">
          <x14:cfRule type="expression" priority="7" stopIfTrue="1" id="{EAA42039-86F6-4E0F-BCA6-8F26F42AA6A4}">
            <xm:f xml:space="preserve"> OR($X$45=+テーブル!A2,$X$45=+テーブル!A3,$X$45=+テーブル!A4,$X$45=+テーブル!A9,$X$45=+テーブル!A10,$X$45=+テーブル!A11,$X$45=+テーブル!A12,$X$45=+テーブル!A13,$X$45=+テーブル!A14,$X$45=+テーブル!A16)</xm:f>
            <x14:dxf>
              <font>
                <color rgb="FFFF0000"/>
              </font>
            </x14:dxf>
          </x14:cfRule>
          <xm:sqref>H45:I45</xm:sqref>
        </x14:conditionalFormatting>
        <x14:conditionalFormatting xmlns:xm="http://schemas.microsoft.com/office/excel/2006/main">
          <x14:cfRule type="expression" priority="6" stopIfTrue="1" id="{41E5BA21-367B-4C41-A7CF-BE99E98ACCD1}">
            <xm:f xml:space="preserve"> OR($X$46=+テーブル!A2,$X$46=+テーブル!A3,$X$46=+テーブル!A9,$X$46=+テーブル!A10,$X$46=+テーブル!A12,$X$46=+テーブル!A13,$X$46=+テーブル!A16)</xm:f>
            <x14:dxf>
              <font>
                <color rgb="FFFF0000"/>
              </font>
            </x14:dxf>
          </x14:cfRule>
          <xm:sqref>D46:E46</xm:sqref>
        </x14:conditionalFormatting>
        <x14:conditionalFormatting xmlns:xm="http://schemas.microsoft.com/office/excel/2006/main">
          <x14:cfRule type="expression" priority="5" stopIfTrue="1" id="{76900262-06E7-44A0-9AC2-70756B142DBA}">
            <xm:f xml:space="preserve"> OR($X$46=+テーブル!A2,$X$46=+テーブル!A4,$X$46=+テーブル!A9,$X$46=+テーブル!A11,$X$46=+テーブル!A12,$X$46=+テーブル!A14,$X$46=+テーブル!A16)</xm:f>
            <x14:dxf>
              <font>
                <color rgb="FFFF0000"/>
              </font>
            </x14:dxf>
          </x14:cfRule>
          <xm:sqref>F46:G46</xm:sqref>
        </x14:conditionalFormatting>
        <x14:conditionalFormatting xmlns:xm="http://schemas.microsoft.com/office/excel/2006/main">
          <x14:cfRule type="expression" priority="4" stopIfTrue="1" id="{7BF83E0A-31F8-45EB-B015-9EE367AC8F46}">
            <xm:f xml:space="preserve"> OR($X$46=+テーブル!A2,$X$46=+テーブル!A3,$X$46=+テーブル!A4,$X$46=+テーブル!A9,$X$46=+テーブル!A10,$X$46=+テーブル!A11,$X$46=+テーブル!A12,$X$46=+テーブル!A13,$X$46=+テーブル!A14,$X$46=+テーブル!A16)</xm:f>
            <x14:dxf>
              <font>
                <color rgb="FFFF0000"/>
              </font>
            </x14:dxf>
          </x14:cfRule>
          <xm:sqref>H46:I46</xm:sqref>
        </x14:conditionalFormatting>
        <x14:conditionalFormatting xmlns:xm="http://schemas.microsoft.com/office/excel/2006/main">
          <x14:cfRule type="expression" priority="3" stopIfTrue="1" id="{61AB0691-D026-4475-AE8D-E3B05B5F80E9}">
            <xm:f xml:space="preserve"> OR($X$47=+テーブル!A2,$X$47=+テーブル!A3,$X$47=+テーブル!A9,$X$47=+テーブル!A10,$X$47=+テーブル!A12,$X$47=+テーブル!A13,$X$47=+テーブル!A16)</xm:f>
            <x14:dxf>
              <font>
                <color rgb="FFFF0000"/>
              </font>
            </x14:dxf>
          </x14:cfRule>
          <xm:sqref>D47:E47</xm:sqref>
        </x14:conditionalFormatting>
        <x14:conditionalFormatting xmlns:xm="http://schemas.microsoft.com/office/excel/2006/main">
          <x14:cfRule type="expression" priority="2" stopIfTrue="1" id="{C8B801AB-B444-49B8-9276-9D9C928A282A}">
            <xm:f xml:space="preserve"> OR($X$47=+テーブル!A2,$X$47=+テーブル!A4,$X$47=+テーブル!A9,$X$47=+テーブル!A11,$X$47=+テーブル!A12,$X$47=+テーブル!A14,$X$47=+テーブル!A16)</xm:f>
            <x14:dxf>
              <font>
                <color rgb="FFFF0000"/>
              </font>
            </x14:dxf>
          </x14:cfRule>
          <xm:sqref>F47:G47</xm:sqref>
        </x14:conditionalFormatting>
        <x14:conditionalFormatting xmlns:xm="http://schemas.microsoft.com/office/excel/2006/main">
          <x14:cfRule type="expression" priority="1" stopIfTrue="1" id="{F7BAB97E-4D62-4335-BB1C-CC456E456EF7}">
            <xm:f xml:space="preserve"> OR($X$47=+テーブル!A2,$X$47=+テーブル!A3,$X$47=+テーブル!A4,$X$47=+テーブル!A9,$X$47=+テーブル!A10,$X$47=+テーブル!A11,$X$47=+テーブル!A12,$X$47=+テーブル!A13,$X$47=+テーブル!A14,$X$47=+テーブル!A16)</xm:f>
            <x14:dxf>
              <font>
                <color rgb="FFFF0000"/>
              </font>
            </x14:dxf>
          </x14:cfRule>
          <xm:sqref>H47:I47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38831B5-3A39-4CE1-9D5E-9DE5B63142BB}">
          <x14:formula1>
            <xm:f>テーブル!$Q:$Q</xm:f>
          </x14:formula1>
          <xm:sqref>D62:I64</xm:sqref>
        </x14:dataValidation>
        <x14:dataValidation type="list" allowBlank="1" showInputMessage="1" showErrorMessage="1" xr:uid="{609C49BF-8E50-4D2F-9327-6183056B0EC8}">
          <x14:formula1>
            <xm:f>テーブル!$P:$P</xm:f>
          </x14:formula1>
          <xm:sqref>D61:I61</xm:sqref>
        </x14:dataValidation>
        <x14:dataValidation type="list" allowBlank="1" showInputMessage="1" showErrorMessage="1" xr:uid="{8EC18936-A417-4451-83E1-BEDC61026128}">
          <x14:formula1>
            <xm:f>テーブル!$B:$B</xm:f>
          </x14:formula1>
          <xm:sqref>P57:W57</xm:sqref>
        </x14:dataValidation>
        <x14:dataValidation type="list" allowBlank="1" showInputMessage="1" showErrorMessage="1" xr:uid="{3AA5149C-352B-49C9-B92D-5F55CD3C8F64}">
          <x14:formula1>
            <xm:f>テーブル!$A:$A</xm:f>
          </x14:formula1>
          <xm:sqref>X17:Z47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1FAED-1055-40A7-AAD4-C31CA92969E8}">
  <sheetPr codeName="Sheet36">
    <pageSetUpPr fitToPage="1"/>
  </sheetPr>
  <dimension ref="A1:AH83"/>
  <sheetViews>
    <sheetView view="pageBreakPreview" zoomScaleNormal="130" zoomScaleSheetLayoutView="100" workbookViewId="0">
      <pane ySplit="16" topLeftCell="A17" activePane="bottomLeft" state="frozen"/>
      <selection activeCell="AC46" sqref="AC46"/>
      <selection pane="bottomLeft" activeCell="AC46" sqref="AC46"/>
    </sheetView>
  </sheetViews>
  <sheetFormatPr defaultRowHeight="13" x14ac:dyDescent="0.2"/>
  <cols>
    <col min="1" max="1" width="5.36328125" customWidth="1"/>
    <col min="2" max="7" width="3.6328125" customWidth="1"/>
    <col min="8" max="8" width="4.36328125" customWidth="1"/>
    <col min="9" max="12" width="3.6328125" customWidth="1"/>
    <col min="13" max="15" width="3.90625" customWidth="1"/>
    <col min="16" max="26" width="3.6328125" customWidth="1"/>
    <col min="27" max="28" width="10.453125" bestFit="1" customWidth="1"/>
    <col min="257" max="282" width="3.6328125" customWidth="1"/>
    <col min="513" max="538" width="3.6328125" customWidth="1"/>
    <col min="769" max="794" width="3.6328125" customWidth="1"/>
    <col min="1025" max="1050" width="3.6328125" customWidth="1"/>
    <col min="1281" max="1306" width="3.6328125" customWidth="1"/>
    <col min="1537" max="1562" width="3.6328125" customWidth="1"/>
    <col min="1793" max="1818" width="3.6328125" customWidth="1"/>
    <col min="2049" max="2074" width="3.6328125" customWidth="1"/>
    <col min="2305" max="2330" width="3.6328125" customWidth="1"/>
    <col min="2561" max="2586" width="3.6328125" customWidth="1"/>
    <col min="2817" max="2842" width="3.6328125" customWidth="1"/>
    <col min="3073" max="3098" width="3.6328125" customWidth="1"/>
    <col min="3329" max="3354" width="3.6328125" customWidth="1"/>
    <col min="3585" max="3610" width="3.6328125" customWidth="1"/>
    <col min="3841" max="3866" width="3.6328125" customWidth="1"/>
    <col min="4097" max="4122" width="3.6328125" customWidth="1"/>
    <col min="4353" max="4378" width="3.6328125" customWidth="1"/>
    <col min="4609" max="4634" width="3.6328125" customWidth="1"/>
    <col min="4865" max="4890" width="3.6328125" customWidth="1"/>
    <col min="5121" max="5146" width="3.6328125" customWidth="1"/>
    <col min="5377" max="5402" width="3.6328125" customWidth="1"/>
    <col min="5633" max="5658" width="3.6328125" customWidth="1"/>
    <col min="5889" max="5914" width="3.6328125" customWidth="1"/>
    <col min="6145" max="6170" width="3.6328125" customWidth="1"/>
    <col min="6401" max="6426" width="3.6328125" customWidth="1"/>
    <col min="6657" max="6682" width="3.6328125" customWidth="1"/>
    <col min="6913" max="6938" width="3.6328125" customWidth="1"/>
    <col min="7169" max="7194" width="3.6328125" customWidth="1"/>
    <col min="7425" max="7450" width="3.6328125" customWidth="1"/>
    <col min="7681" max="7706" width="3.6328125" customWidth="1"/>
    <col min="7937" max="7962" width="3.6328125" customWidth="1"/>
    <col min="8193" max="8218" width="3.6328125" customWidth="1"/>
    <col min="8449" max="8474" width="3.6328125" customWidth="1"/>
    <col min="8705" max="8730" width="3.6328125" customWidth="1"/>
    <col min="8961" max="8986" width="3.6328125" customWidth="1"/>
    <col min="9217" max="9242" width="3.6328125" customWidth="1"/>
    <col min="9473" max="9498" width="3.6328125" customWidth="1"/>
    <col min="9729" max="9754" width="3.6328125" customWidth="1"/>
    <col min="9985" max="10010" width="3.6328125" customWidth="1"/>
    <col min="10241" max="10266" width="3.6328125" customWidth="1"/>
    <col min="10497" max="10522" width="3.6328125" customWidth="1"/>
    <col min="10753" max="10778" width="3.6328125" customWidth="1"/>
    <col min="11009" max="11034" width="3.6328125" customWidth="1"/>
    <col min="11265" max="11290" width="3.6328125" customWidth="1"/>
    <col min="11521" max="11546" width="3.6328125" customWidth="1"/>
    <col min="11777" max="11802" width="3.6328125" customWidth="1"/>
    <col min="12033" max="12058" width="3.6328125" customWidth="1"/>
    <col min="12289" max="12314" width="3.6328125" customWidth="1"/>
    <col min="12545" max="12570" width="3.6328125" customWidth="1"/>
    <col min="12801" max="12826" width="3.6328125" customWidth="1"/>
    <col min="13057" max="13082" width="3.6328125" customWidth="1"/>
    <col min="13313" max="13338" width="3.6328125" customWidth="1"/>
    <col min="13569" max="13594" width="3.6328125" customWidth="1"/>
    <col min="13825" max="13850" width="3.6328125" customWidth="1"/>
    <col min="14081" max="14106" width="3.6328125" customWidth="1"/>
    <col min="14337" max="14362" width="3.6328125" customWidth="1"/>
    <col min="14593" max="14618" width="3.6328125" customWidth="1"/>
    <col min="14849" max="14874" width="3.6328125" customWidth="1"/>
    <col min="15105" max="15130" width="3.6328125" customWidth="1"/>
    <col min="15361" max="15386" width="3.6328125" customWidth="1"/>
    <col min="15617" max="15642" width="3.6328125" customWidth="1"/>
    <col min="15873" max="15898" width="3.6328125" customWidth="1"/>
    <col min="16129" max="16154" width="3.6328125" customWidth="1"/>
  </cols>
  <sheetData>
    <row r="1" spans="1:32" ht="8" customHeight="1" x14ac:dyDescent="0.2">
      <c r="A1" s="55">
        <v>45413</v>
      </c>
      <c r="B1" s="85">
        <v>45413</v>
      </c>
      <c r="AB1" s="55"/>
      <c r="AC1" s="57"/>
    </row>
    <row r="2" spans="1:32" ht="8" customHeight="1" x14ac:dyDescent="0.2">
      <c r="A2" s="3"/>
      <c r="B2" s="3"/>
      <c r="C2" s="3"/>
      <c r="D2" s="3"/>
      <c r="E2" s="3"/>
      <c r="F2" s="3"/>
      <c r="G2" s="3"/>
      <c r="H2" s="3"/>
      <c r="I2" s="3"/>
      <c r="J2" s="4"/>
      <c r="K2" s="4"/>
      <c r="L2" s="5"/>
      <c r="M2" s="6"/>
      <c r="N2" s="6"/>
      <c r="O2" s="6"/>
      <c r="P2" s="4"/>
      <c r="X2" t="s">
        <v>66</v>
      </c>
      <c r="Y2" s="361">
        <f>LOOKUP(10^10,Ver管理!C3:C33)</f>
        <v>6</v>
      </c>
      <c r="Z2" s="361"/>
    </row>
    <row r="3" spans="1:32" ht="10" customHeight="1" thickBot="1" x14ac:dyDescent="0.25">
      <c r="A3" s="362">
        <f ca="1">+VLOOKUP(AB5,テーブル!L:M,2,0)</f>
        <v>46388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2"/>
      <c r="R3" s="362"/>
      <c r="S3" s="362"/>
      <c r="T3" s="362"/>
      <c r="U3" s="362"/>
      <c r="V3" s="362"/>
      <c r="W3" s="362"/>
      <c r="X3" s="362"/>
      <c r="Y3" s="362"/>
      <c r="Z3" s="362"/>
    </row>
    <row r="4" spans="1:32" ht="10" customHeight="1" x14ac:dyDescent="0.2">
      <c r="A4" s="362"/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B4" s="68"/>
      <c r="AC4" s="69"/>
      <c r="AD4" s="70"/>
    </row>
    <row r="5" spans="1:32" ht="14.15" customHeight="1" x14ac:dyDescent="0.2">
      <c r="A5" s="363" t="s">
        <v>202</v>
      </c>
      <c r="B5" s="363"/>
      <c r="C5" s="363"/>
      <c r="D5" s="363"/>
      <c r="E5" s="364" t="str">
        <f>+'12月'!$E$5</f>
        <v>NMHT　社員</v>
      </c>
      <c r="F5" s="364"/>
      <c r="G5" s="364"/>
      <c r="H5" s="364"/>
      <c r="I5" s="364"/>
      <c r="J5" s="7"/>
      <c r="K5" s="7"/>
      <c r="L5" s="7"/>
      <c r="M5" s="7"/>
      <c r="N5" s="7"/>
      <c r="O5" s="7"/>
      <c r="P5" s="7" t="str">
        <f ca="1">IF(_xlfn.XLOOKUP(当月,テーブル!U:U,テーブル!V:V,0,FALSE)+_xlfn.XLOOKUP(当月,テーブル!U:U,テーブル!W:W,0,FALSE)&lt;&gt;_xlfn.XLOOKUP(AB6,テーブル!U:U,テーブル!V:V,0,FALSE)+_xlfn.XLOOKUP(AB6,テーブル!U:U,テーブル!W:W,0,FALSE),"基給+手当1に前月と差異があります。","")</f>
        <v/>
      </c>
      <c r="Q5" s="7"/>
      <c r="R5" s="8"/>
      <c r="S5" s="8"/>
      <c r="T5" s="8"/>
      <c r="U5" s="8"/>
      <c r="AB5" s="71" t="str" cm="1">
        <f t="array" aca="1" ref="AB5" ca="1">RIGHT(CELL("filename",A1),LEN(CELL("filename",A1))-FIND("]",CELL("filename",A1)))</f>
        <v>1月</v>
      </c>
      <c r="AC5" t="s">
        <v>158</v>
      </c>
      <c r="AD5" s="72"/>
    </row>
    <row r="6" spans="1:32" ht="14.15" customHeight="1" x14ac:dyDescent="0.25">
      <c r="A6" s="366">
        <f>+'12月'!$A$6</f>
        <v>2000002</v>
      </c>
      <c r="B6" s="366"/>
      <c r="C6" s="366"/>
      <c r="D6" s="366"/>
      <c r="E6" s="365"/>
      <c r="F6" s="365"/>
      <c r="G6" s="365"/>
      <c r="H6" s="365"/>
      <c r="I6" s="365"/>
      <c r="J6" s="9" t="s">
        <v>98</v>
      </c>
      <c r="K6" s="108" t="str">
        <f ca="1">HYPERLINK(LEFT(TEXT(CELL("filename",B2),0),SEARCH("\[",TEXT(CELL("filename",B2),0),1)-1)&amp;"\")</f>
        <v>Z:\マクロ保管場所谷津用\2月控除分\</v>
      </c>
      <c r="L6" s="5"/>
      <c r="M6" s="6"/>
      <c r="N6" s="6"/>
      <c r="O6" s="6"/>
      <c r="P6" s="4"/>
      <c r="AB6" s="71" t="str">
        <f ca="1">+IF(SUBSTITUTE(当月,"月","")-1=0,12,SUBSTITUTE(当月,"月","")-1) &amp; "月"</f>
        <v>12月</v>
      </c>
      <c r="AC6" s="74" t="s">
        <v>170</v>
      </c>
      <c r="AD6" s="72"/>
    </row>
    <row r="7" spans="1:32" ht="14.15" customHeight="1" x14ac:dyDescent="0.2">
      <c r="I7" s="3"/>
      <c r="K7" s="11"/>
      <c r="N7" s="368"/>
      <c r="O7" s="368"/>
      <c r="P7" s="367" t="s">
        <v>272</v>
      </c>
      <c r="Q7" s="358"/>
      <c r="R7" s="358"/>
      <c r="S7" s="358"/>
      <c r="T7" s="358"/>
      <c r="U7" s="358"/>
      <c r="V7" s="358"/>
      <c r="W7" s="358"/>
      <c r="X7" s="358"/>
      <c r="Y7" s="358"/>
      <c r="Z7" s="358"/>
      <c r="AB7" s="73"/>
      <c r="AC7" s="56">
        <v>0.91666666666666663</v>
      </c>
      <c r="AD7" s="72"/>
    </row>
    <row r="8" spans="1:32" ht="14.15" hidden="1" customHeight="1" thickBot="1" x14ac:dyDescent="0.25">
      <c r="A8" s="163" t="s">
        <v>99</v>
      </c>
      <c r="B8" s="120"/>
      <c r="C8" s="350" t="str">
        <f>+'12月'!C8</f>
        <v>株式会社エヌエム・ヒューマテック</v>
      </c>
      <c r="D8" s="351"/>
      <c r="E8" s="351"/>
      <c r="F8" s="351"/>
      <c r="G8" s="351"/>
      <c r="H8" s="351"/>
      <c r="I8" s="352"/>
      <c r="J8" s="353"/>
      <c r="K8" s="11"/>
      <c r="L8" s="1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B8" s="75">
        <f ca="1">+IF(給与体系="管理監督者",0,IF(給与体系="月給制",1,2))</f>
        <v>2</v>
      </c>
      <c r="AC8" s="76">
        <v>0.20833333333333334</v>
      </c>
      <c r="AD8" s="77"/>
    </row>
    <row r="9" spans="1:32" ht="14.15" hidden="1" customHeight="1" x14ac:dyDescent="0.2">
      <c r="A9" s="166"/>
      <c r="B9" s="123"/>
      <c r="C9" s="354"/>
      <c r="D9" s="355"/>
      <c r="E9" s="355"/>
      <c r="F9" s="355"/>
      <c r="G9" s="355"/>
      <c r="H9" s="355"/>
      <c r="I9" s="356"/>
      <c r="J9" s="357"/>
      <c r="K9" s="13"/>
      <c r="P9" s="53"/>
      <c r="Q9" s="54" t="s">
        <v>269</v>
      </c>
      <c r="R9" s="52"/>
      <c r="S9" s="52"/>
      <c r="T9" s="358" t="s">
        <v>270</v>
      </c>
      <c r="U9" s="358"/>
      <c r="V9" s="358"/>
      <c r="W9" s="358"/>
      <c r="X9" s="358"/>
      <c r="Y9" s="358"/>
      <c r="Z9" s="358"/>
    </row>
    <row r="10" spans="1:32" ht="14.15" hidden="1" customHeight="1" x14ac:dyDescent="0.2">
      <c r="A10" s="163" t="s">
        <v>100</v>
      </c>
      <c r="B10" s="120"/>
      <c r="C10" s="359" t="str">
        <f>+'12月'!C10</f>
        <v>管理部</v>
      </c>
      <c r="D10" s="332"/>
      <c r="E10" s="332"/>
      <c r="F10" s="332"/>
      <c r="G10" s="332"/>
      <c r="H10" s="332"/>
      <c r="I10" s="333"/>
      <c r="J10" s="334"/>
      <c r="K10" s="13"/>
      <c r="P10" s="53"/>
      <c r="Q10" s="52"/>
      <c r="R10" s="52"/>
      <c r="S10" s="52"/>
      <c r="T10" s="360" t="s">
        <v>271</v>
      </c>
      <c r="U10" s="360"/>
      <c r="V10" s="360"/>
      <c r="W10" s="360"/>
      <c r="X10" s="360"/>
      <c r="Y10" s="360"/>
      <c r="Z10" s="360"/>
    </row>
    <row r="11" spans="1:32" ht="14.15" hidden="1" customHeight="1" x14ac:dyDescent="0.2">
      <c r="A11" s="166"/>
      <c r="B11" s="123"/>
      <c r="C11" s="335"/>
      <c r="D11" s="336"/>
      <c r="E11" s="336"/>
      <c r="F11" s="336"/>
      <c r="G11" s="336"/>
      <c r="H11" s="336"/>
      <c r="I11" s="337"/>
      <c r="J11" s="338"/>
      <c r="K11" s="4"/>
      <c r="L11" s="4"/>
      <c r="P11" s="52"/>
      <c r="Q11" s="54" t="s">
        <v>96</v>
      </c>
      <c r="R11" s="54"/>
      <c r="S11" s="53"/>
      <c r="T11" s="54"/>
      <c r="U11" s="53"/>
      <c r="V11" s="54" t="s">
        <v>97</v>
      </c>
      <c r="W11" s="54"/>
      <c r="X11" s="52"/>
      <c r="Y11" s="52"/>
      <c r="Z11" s="52"/>
      <c r="AE11" t="s">
        <v>178</v>
      </c>
    </row>
    <row r="12" spans="1:32" ht="14.15" hidden="1" customHeight="1" x14ac:dyDescent="0.2">
      <c r="A12" s="163" t="s">
        <v>101</v>
      </c>
      <c r="B12" s="120"/>
      <c r="C12" s="331"/>
      <c r="D12" s="332"/>
      <c r="E12" s="332"/>
      <c r="F12" s="332"/>
      <c r="G12" s="332"/>
      <c r="H12" s="332"/>
      <c r="I12" s="333"/>
      <c r="J12" s="334"/>
      <c r="K12" s="13"/>
      <c r="M12" s="15"/>
      <c r="N12" s="15"/>
      <c r="O12" s="14"/>
      <c r="P12" s="14"/>
      <c r="Q12" s="14"/>
      <c r="R12" s="14"/>
      <c r="S12" s="14"/>
      <c r="T12" s="14"/>
      <c r="U12" s="14"/>
      <c r="V12" s="8"/>
      <c r="W12" s="8"/>
      <c r="AF12">
        <f ca="1">+IFERROR(((MAX(0,超過勤務時間計+深夜残業時間計-60)*1.5+MIN(60,超過勤務時間計+深夜残業時間計)*1.25))/(超過勤務時間計),0)</f>
        <v>0</v>
      </c>
    </row>
    <row r="13" spans="1:32" ht="14.15" hidden="1" customHeight="1" x14ac:dyDescent="0.2">
      <c r="A13" s="166"/>
      <c r="B13" s="123"/>
      <c r="C13" s="335"/>
      <c r="D13" s="336"/>
      <c r="E13" s="336"/>
      <c r="F13" s="336"/>
      <c r="G13" s="336"/>
      <c r="H13" s="336"/>
      <c r="I13" s="337"/>
      <c r="J13" s="338"/>
      <c r="K13" s="13"/>
      <c r="M13" s="16"/>
      <c r="N13" s="15"/>
      <c r="O13" s="14"/>
      <c r="P13" s="14"/>
      <c r="Q13" s="14"/>
      <c r="R13" s="14"/>
      <c r="S13" s="14">
        <f>+'12月'!S13</f>
        <v>0</v>
      </c>
    </row>
    <row r="14" spans="1:32" ht="14.15" hidden="1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4"/>
      <c r="K14" s="4"/>
      <c r="L14" s="4"/>
      <c r="M14" s="4"/>
      <c r="N14" s="17"/>
      <c r="O14" s="4"/>
      <c r="P14" s="4"/>
      <c r="U14" s="18"/>
    </row>
    <row r="15" spans="1:32" ht="14.15" customHeight="1" x14ac:dyDescent="0.2">
      <c r="A15" s="339" t="s">
        <v>5</v>
      </c>
      <c r="B15" s="340"/>
      <c r="C15" s="339" t="s">
        <v>6</v>
      </c>
      <c r="D15" s="312" t="s">
        <v>36</v>
      </c>
      <c r="E15" s="343"/>
      <c r="F15" s="343"/>
      <c r="G15" s="313"/>
      <c r="H15" s="344" t="s">
        <v>37</v>
      </c>
      <c r="I15" s="345"/>
      <c r="J15" s="345" t="s">
        <v>7</v>
      </c>
      <c r="K15" s="348"/>
      <c r="L15" s="314" t="s">
        <v>8</v>
      </c>
      <c r="M15" s="325"/>
      <c r="N15" s="328" t="s">
        <v>9</v>
      </c>
      <c r="O15" s="315"/>
      <c r="P15" s="314" t="s">
        <v>10</v>
      </c>
      <c r="Q15" s="315"/>
      <c r="R15" s="314" t="s">
        <v>11</v>
      </c>
      <c r="S15" s="315"/>
      <c r="T15" s="314" t="s">
        <v>12</v>
      </c>
      <c r="U15" s="315"/>
      <c r="V15" s="314" t="s">
        <v>43</v>
      </c>
      <c r="W15" s="315"/>
      <c r="X15" s="304" t="s">
        <v>122</v>
      </c>
      <c r="Y15" s="305"/>
      <c r="Z15" s="306"/>
      <c r="AA15" s="310" t="s">
        <v>107</v>
      </c>
      <c r="AB15" t="s">
        <v>32</v>
      </c>
    </row>
    <row r="16" spans="1:32" ht="14.15" customHeight="1" x14ac:dyDescent="0.2">
      <c r="A16" s="341"/>
      <c r="B16" s="342"/>
      <c r="C16" s="341"/>
      <c r="D16" s="312" t="s">
        <v>14</v>
      </c>
      <c r="E16" s="313"/>
      <c r="F16" s="312" t="s">
        <v>15</v>
      </c>
      <c r="G16" s="313"/>
      <c r="H16" s="346"/>
      <c r="I16" s="347"/>
      <c r="J16" s="347"/>
      <c r="K16" s="349"/>
      <c r="L16" s="326"/>
      <c r="M16" s="327"/>
      <c r="N16" s="329"/>
      <c r="O16" s="317"/>
      <c r="P16" s="316"/>
      <c r="Q16" s="317"/>
      <c r="R16" s="316"/>
      <c r="S16" s="317"/>
      <c r="T16" s="316"/>
      <c r="U16" s="317"/>
      <c r="V16" s="316"/>
      <c r="W16" s="317"/>
      <c r="X16" s="307"/>
      <c r="Y16" s="308"/>
      <c r="Z16" s="309"/>
      <c r="AA16" s="311"/>
      <c r="AB16" t="s">
        <v>210</v>
      </c>
      <c r="AC16" s="59"/>
    </row>
    <row r="17" spans="1:30" s="59" customFormat="1" ht="14.15" customHeight="1" x14ac:dyDescent="0.2">
      <c r="A17" s="318">
        <f ca="1">A3</f>
        <v>46388</v>
      </c>
      <c r="B17" s="319"/>
      <c r="C17" s="78">
        <f ca="1">IF(A17="","",IF(WEEKDAY(A17,1)=1,1,IF(COUNTIF(祝日管理!B:B,A17)=1,"祝",WEEKDAY(A17,1))))</f>
        <v>6</v>
      </c>
      <c r="D17" s="320"/>
      <c r="E17" s="320"/>
      <c r="F17" s="320"/>
      <c r="G17" s="320"/>
      <c r="H17" s="320"/>
      <c r="I17" s="321"/>
      <c r="J17" s="322">
        <f>IF(OR(D17="",F17="",H17=""),0,IF(F17&gt;D17,F17,F17+24)-D17-H17)</f>
        <v>0</v>
      </c>
      <c r="K17" s="323"/>
      <c r="L17" s="299">
        <f>IF(J17="",0,(HOUR(J17))+(ROUNDDOWN(MINUTE(J17)/60,2)*1))</f>
        <v>0</v>
      </c>
      <c r="M17" s="324"/>
      <c r="N17" s="330">
        <f ca="1">+IF(ISERROR(IF(A17="",0,IF(OR(X17="法休",X17="所休")=1,0,IF(L17=0,0,MIN(8,L17-R17))))),"",IF(A17="","",IF(OR(X17="法休",X17="所休"),0,IF(L17=0,0,MIN(8,L17-R17)))))</f>
        <v>0</v>
      </c>
      <c r="O17" s="300"/>
      <c r="P17" s="299">
        <f ca="1">+IF(ISERROR(IF(A17="","",IF(X17="法休",0,MAX(0,L17-N17-R17)))),0,IF(A17="","",IF(X17="法休",0,MAX(0,L17-N17-R17))))</f>
        <v>0</v>
      </c>
      <c r="Q17" s="300"/>
      <c r="R17" s="299">
        <f ca="1">+IF(A17="",0,IF(X17="法休",0,NOT(OR(D17="",F17=""))*MIN(7,(MAX(0,MIN(F17,$AC$8)-D17)+MAX(0,F17-$AC$7+(D17&gt;F17)))*24)))</f>
        <v>0</v>
      </c>
      <c r="S17" s="300"/>
      <c r="T17" s="299">
        <f t="shared" ref="T17" ca="1" si="0">+IF(A17="",0,IF(X17="法休",L17-V17,0))</f>
        <v>0</v>
      </c>
      <c r="U17" s="300"/>
      <c r="V17" s="299">
        <f t="shared" ref="V17" ca="1" si="1">+IF(A17="",0,IF(X17&lt;&gt;"法休",0,NOT(OR(D17="",F17=""))*MIN(7,(MAX(0,MIN(F17,$AC$8)-D17)+MAX(0,F17-$AC$7+(D17&gt;F17)))*24)))</f>
        <v>0</v>
      </c>
      <c r="W17" s="300"/>
      <c r="X17" s="301" t="s">
        <v>187</v>
      </c>
      <c r="Y17" s="302"/>
      <c r="Z17" s="303"/>
      <c r="AA17" s="79"/>
      <c r="AB17" s="93">
        <f t="shared" ref="AB17:AB46" ca="1" si="2">IF(ISERROR((X17="")*(7.5-N17)),0,(X17="")*(7.5-N17))</f>
        <v>0</v>
      </c>
      <c r="AD17" s="67"/>
    </row>
    <row r="18" spans="1:30" ht="14.15" customHeight="1" x14ac:dyDescent="0.2">
      <c r="A18" s="290">
        <f t="shared" ref="A18:A44" ca="1" si="3">A17+1</f>
        <v>46389</v>
      </c>
      <c r="B18" s="291"/>
      <c r="C18" s="80">
        <f ca="1">IF(A18="","",IF(WEEKDAY(A18,1)=1,1,IF(COUNTIF(祝日管理!B:B,A18)=1,"祝",WEEKDAY(A18,1))))</f>
        <v>7</v>
      </c>
      <c r="D18" s="292"/>
      <c r="E18" s="292"/>
      <c r="F18" s="292"/>
      <c r="G18" s="292"/>
      <c r="H18" s="292"/>
      <c r="I18" s="293"/>
      <c r="J18" s="298">
        <f t="shared" ref="J18:J47" si="4">IF(OR(D18="",F18="",H18=""),0,IF(F18&gt;D18,F18,F18+24)-D18-H18)</f>
        <v>0</v>
      </c>
      <c r="K18" s="294"/>
      <c r="L18" s="285">
        <f t="shared" ref="L18:L47" si="5">IF(J18="",0,(HOUR(J18))+(ROUNDDOWN(MINUTE(J18)/60,2)*1))</f>
        <v>0</v>
      </c>
      <c r="M18" s="296"/>
      <c r="N18" s="297">
        <f t="shared" ref="N18:N47" ca="1" si="6">+IF(ISERROR(IF(A18="",0,IF(OR(X18="法休",X18="所休")=1,0,IF(L18=0,0,MIN(8,L18-R18))))),"",IF(A18="","",IF(OR(X18="法休",X18="所休"),0,IF(L18=0,0,MIN(8,L18-R18)))))</f>
        <v>0</v>
      </c>
      <c r="O18" s="286"/>
      <c r="P18" s="285">
        <f t="shared" ref="P18:P47" ca="1" si="7">+IF(ISERROR(IF(A18="","",IF(X18="法休",0,MAX(0,L18-N18-R18)))),0,IF(A18="","",IF(X18="法休",0,MAX(0,L18-N18-R18))))</f>
        <v>0</v>
      </c>
      <c r="Q18" s="286"/>
      <c r="R18" s="285">
        <f t="shared" ref="R18:R47" ca="1" si="8">+IF(A18="",0,IF(X18="法休",0,NOT(OR(D18="",F18=""))*MIN(7,(MAX(0,MIN(F18,$AC$8)-D18)+MAX(0,F18-$AC$7+(D18&gt;F18)))*24)))</f>
        <v>0</v>
      </c>
      <c r="S18" s="286"/>
      <c r="T18" s="285">
        <f t="shared" ref="T18:T47" ca="1" si="9">+IF(A18="",0,IF(X18="法休",L18-V18,0))</f>
        <v>0</v>
      </c>
      <c r="U18" s="286"/>
      <c r="V18" s="285">
        <f t="shared" ref="V18:V47" ca="1" si="10">+IF(A18="",0,IF(X18&lt;&gt;"法休",0,NOT(OR(D18="",F18=""))*MIN(7,(MAX(0,MIN(F18,$AC$8)-D18)+MAX(0,F18-$AC$7+(D18&gt;F18)))*24)))</f>
        <v>0</v>
      </c>
      <c r="W18" s="286"/>
      <c r="X18" s="287" t="s">
        <v>187</v>
      </c>
      <c r="Y18" s="288"/>
      <c r="Z18" s="289"/>
      <c r="AA18" s="81"/>
      <c r="AB18" s="93">
        <f t="shared" ca="1" si="2"/>
        <v>0</v>
      </c>
      <c r="AC18" s="59"/>
      <c r="AD18" t="s">
        <v>175</v>
      </c>
    </row>
    <row r="19" spans="1:30" ht="14.15" customHeight="1" x14ac:dyDescent="0.2">
      <c r="A19" s="290">
        <f t="shared" ca="1" si="3"/>
        <v>46390</v>
      </c>
      <c r="B19" s="291"/>
      <c r="C19" s="80">
        <f ca="1">IF(A19="","",IF(WEEKDAY(A19,1)=1,1,IF(COUNTIF(祝日管理!B:B,A19)=1,"祝",WEEKDAY(A19,1))))</f>
        <v>1</v>
      </c>
      <c r="D19" s="292"/>
      <c r="E19" s="292"/>
      <c r="F19" s="292"/>
      <c r="G19" s="292"/>
      <c r="H19" s="292"/>
      <c r="I19" s="293"/>
      <c r="J19" s="298">
        <f t="shared" si="4"/>
        <v>0</v>
      </c>
      <c r="K19" s="294"/>
      <c r="L19" s="285">
        <f t="shared" si="5"/>
        <v>0</v>
      </c>
      <c r="M19" s="296"/>
      <c r="N19" s="297">
        <f t="shared" ca="1" si="6"/>
        <v>0</v>
      </c>
      <c r="O19" s="286"/>
      <c r="P19" s="285">
        <f t="shared" ca="1" si="7"/>
        <v>0</v>
      </c>
      <c r="Q19" s="286"/>
      <c r="R19" s="285">
        <f t="shared" ca="1" si="8"/>
        <v>0</v>
      </c>
      <c r="S19" s="286"/>
      <c r="T19" s="285">
        <f t="shared" ca="1" si="9"/>
        <v>0</v>
      </c>
      <c r="U19" s="286"/>
      <c r="V19" s="285">
        <f t="shared" ca="1" si="10"/>
        <v>0</v>
      </c>
      <c r="W19" s="286"/>
      <c r="X19" s="287" t="s">
        <v>187</v>
      </c>
      <c r="Y19" s="288"/>
      <c r="Z19" s="289"/>
      <c r="AA19" s="81"/>
      <c r="AB19" s="93">
        <f t="shared" ca="1" si="2"/>
        <v>0</v>
      </c>
      <c r="AC19" s="59"/>
    </row>
    <row r="20" spans="1:30" ht="14.15" customHeight="1" x14ac:dyDescent="0.2">
      <c r="A20" s="290">
        <f t="shared" ca="1" si="3"/>
        <v>46391</v>
      </c>
      <c r="B20" s="291"/>
      <c r="C20" s="80">
        <f ca="1">IF(A20="","",IF(WEEKDAY(A20,1)=1,1,IF(COUNTIF(祝日管理!B:B,A20)=1,"祝",WEEKDAY(A20,1))))</f>
        <v>2</v>
      </c>
      <c r="D20" s="292"/>
      <c r="E20" s="292"/>
      <c r="F20" s="292"/>
      <c r="G20" s="292"/>
      <c r="H20" s="292"/>
      <c r="I20" s="293"/>
      <c r="J20" s="298">
        <f t="shared" si="4"/>
        <v>0</v>
      </c>
      <c r="K20" s="294"/>
      <c r="L20" s="285">
        <f t="shared" si="5"/>
        <v>0</v>
      </c>
      <c r="M20" s="296"/>
      <c r="N20" s="297">
        <f t="shared" ca="1" si="6"/>
        <v>0</v>
      </c>
      <c r="O20" s="286"/>
      <c r="P20" s="285">
        <f t="shared" ca="1" si="7"/>
        <v>0</v>
      </c>
      <c r="Q20" s="286"/>
      <c r="R20" s="285">
        <f t="shared" ca="1" si="8"/>
        <v>0</v>
      </c>
      <c r="S20" s="286"/>
      <c r="T20" s="285">
        <f t="shared" ca="1" si="9"/>
        <v>0</v>
      </c>
      <c r="U20" s="286"/>
      <c r="V20" s="285">
        <f t="shared" ca="1" si="10"/>
        <v>0</v>
      </c>
      <c r="W20" s="286"/>
      <c r="X20" s="287" t="s">
        <v>185</v>
      </c>
      <c r="Y20" s="288"/>
      <c r="Z20" s="289"/>
      <c r="AA20" s="81"/>
      <c r="AB20" s="93">
        <f t="shared" ca="1" si="2"/>
        <v>0</v>
      </c>
      <c r="AC20" s="59"/>
    </row>
    <row r="21" spans="1:30" ht="14.15" customHeight="1" x14ac:dyDescent="0.2">
      <c r="A21" s="290">
        <f t="shared" ca="1" si="3"/>
        <v>46392</v>
      </c>
      <c r="B21" s="291"/>
      <c r="C21" s="80">
        <f ca="1">IF(A21="","",IF(WEEKDAY(A21,1)=1,1,IF(COUNTIF(祝日管理!B:B,A21)=1,"祝",WEEKDAY(A21,1))))</f>
        <v>3</v>
      </c>
      <c r="D21" s="292"/>
      <c r="E21" s="292"/>
      <c r="F21" s="292"/>
      <c r="G21" s="292"/>
      <c r="H21" s="292"/>
      <c r="I21" s="293"/>
      <c r="J21" s="298">
        <f t="shared" si="4"/>
        <v>0</v>
      </c>
      <c r="K21" s="294"/>
      <c r="L21" s="285">
        <f t="shared" si="5"/>
        <v>0</v>
      </c>
      <c r="M21" s="296"/>
      <c r="N21" s="297">
        <f t="shared" ca="1" si="6"/>
        <v>0</v>
      </c>
      <c r="O21" s="286"/>
      <c r="P21" s="285">
        <f t="shared" ca="1" si="7"/>
        <v>0</v>
      </c>
      <c r="Q21" s="286"/>
      <c r="R21" s="285">
        <f t="shared" ca="1" si="8"/>
        <v>0</v>
      </c>
      <c r="S21" s="286"/>
      <c r="T21" s="285">
        <f t="shared" ca="1" si="9"/>
        <v>0</v>
      </c>
      <c r="U21" s="286"/>
      <c r="V21" s="285">
        <f t="shared" ca="1" si="10"/>
        <v>0</v>
      </c>
      <c r="W21" s="286"/>
      <c r="X21" s="287"/>
      <c r="Y21" s="288"/>
      <c r="Z21" s="289"/>
      <c r="AA21" s="81"/>
      <c r="AB21" s="93">
        <f t="shared" ca="1" si="2"/>
        <v>7.5</v>
      </c>
      <c r="AC21" s="59"/>
      <c r="AD21" t="s">
        <v>176</v>
      </c>
    </row>
    <row r="22" spans="1:30" s="59" customFormat="1" ht="14.15" customHeight="1" x14ac:dyDescent="0.2">
      <c r="A22" s="290">
        <f t="shared" ca="1" si="3"/>
        <v>46393</v>
      </c>
      <c r="B22" s="291"/>
      <c r="C22" s="80">
        <f ca="1">IF(A22="","",IF(WEEKDAY(A22,1)=1,1,IF(COUNTIF(祝日管理!B:B,A22)=1,"祝",WEEKDAY(A22,1))))</f>
        <v>4</v>
      </c>
      <c r="D22" s="292"/>
      <c r="E22" s="292"/>
      <c r="F22" s="292"/>
      <c r="G22" s="292"/>
      <c r="H22" s="292"/>
      <c r="I22" s="293"/>
      <c r="J22" s="298">
        <f t="shared" si="4"/>
        <v>0</v>
      </c>
      <c r="K22" s="294"/>
      <c r="L22" s="285">
        <f t="shared" si="5"/>
        <v>0</v>
      </c>
      <c r="M22" s="296"/>
      <c r="N22" s="297">
        <f t="shared" ca="1" si="6"/>
        <v>0</v>
      </c>
      <c r="O22" s="286"/>
      <c r="P22" s="285">
        <f t="shared" ca="1" si="7"/>
        <v>0</v>
      </c>
      <c r="Q22" s="286"/>
      <c r="R22" s="285">
        <f t="shared" ca="1" si="8"/>
        <v>0</v>
      </c>
      <c r="S22" s="286"/>
      <c r="T22" s="285">
        <f t="shared" ca="1" si="9"/>
        <v>0</v>
      </c>
      <c r="U22" s="286"/>
      <c r="V22" s="285">
        <f t="shared" ca="1" si="10"/>
        <v>0</v>
      </c>
      <c r="W22" s="286"/>
      <c r="X22" s="287"/>
      <c r="Y22" s="288"/>
      <c r="Z22" s="289"/>
      <c r="AA22" s="81"/>
      <c r="AB22" s="93">
        <f t="shared" ca="1" si="2"/>
        <v>7.5</v>
      </c>
    </row>
    <row r="23" spans="1:30" ht="14.15" customHeight="1" x14ac:dyDescent="0.2">
      <c r="A23" s="290">
        <f t="shared" ca="1" si="3"/>
        <v>46394</v>
      </c>
      <c r="B23" s="291"/>
      <c r="C23" s="80">
        <f ca="1">IF(A23="","",IF(WEEKDAY(A23,1)=1,1,IF(COUNTIF(祝日管理!B:B,A23)=1,"祝",WEEKDAY(A23,1))))</f>
        <v>5</v>
      </c>
      <c r="D23" s="292"/>
      <c r="E23" s="292"/>
      <c r="F23" s="292"/>
      <c r="G23" s="292"/>
      <c r="H23" s="292"/>
      <c r="I23" s="293"/>
      <c r="J23" s="298">
        <f t="shared" si="4"/>
        <v>0</v>
      </c>
      <c r="K23" s="294"/>
      <c r="L23" s="285">
        <f t="shared" si="5"/>
        <v>0</v>
      </c>
      <c r="M23" s="296"/>
      <c r="N23" s="297">
        <f t="shared" ca="1" si="6"/>
        <v>0</v>
      </c>
      <c r="O23" s="286"/>
      <c r="P23" s="285">
        <f t="shared" ca="1" si="7"/>
        <v>0</v>
      </c>
      <c r="Q23" s="286"/>
      <c r="R23" s="285">
        <f t="shared" ca="1" si="8"/>
        <v>0</v>
      </c>
      <c r="S23" s="286"/>
      <c r="T23" s="285">
        <f t="shared" ca="1" si="9"/>
        <v>0</v>
      </c>
      <c r="U23" s="286"/>
      <c r="V23" s="285">
        <f t="shared" ca="1" si="10"/>
        <v>0</v>
      </c>
      <c r="W23" s="286"/>
      <c r="X23" s="287"/>
      <c r="Y23" s="288"/>
      <c r="Z23" s="289"/>
      <c r="AA23" s="81"/>
      <c r="AB23" s="93">
        <f t="shared" ca="1" si="2"/>
        <v>7.5</v>
      </c>
    </row>
    <row r="24" spans="1:30" ht="14.15" customHeight="1" x14ac:dyDescent="0.2">
      <c r="A24" s="290">
        <f t="shared" ca="1" si="3"/>
        <v>46395</v>
      </c>
      <c r="B24" s="291"/>
      <c r="C24" s="80">
        <f ca="1">IF(A24="","",IF(WEEKDAY(A24,1)=1,1,IF(COUNTIF(祝日管理!B:B,A24)=1,"祝",WEEKDAY(A24,1))))</f>
        <v>6</v>
      </c>
      <c r="D24" s="292"/>
      <c r="E24" s="292"/>
      <c r="F24" s="292"/>
      <c r="G24" s="292"/>
      <c r="H24" s="292"/>
      <c r="I24" s="293"/>
      <c r="J24" s="298">
        <f t="shared" si="4"/>
        <v>0</v>
      </c>
      <c r="K24" s="294"/>
      <c r="L24" s="285">
        <f t="shared" si="5"/>
        <v>0</v>
      </c>
      <c r="M24" s="296"/>
      <c r="N24" s="297">
        <f t="shared" ca="1" si="6"/>
        <v>0</v>
      </c>
      <c r="O24" s="286"/>
      <c r="P24" s="285">
        <f t="shared" ca="1" si="7"/>
        <v>0</v>
      </c>
      <c r="Q24" s="286"/>
      <c r="R24" s="285">
        <f t="shared" ca="1" si="8"/>
        <v>0</v>
      </c>
      <c r="S24" s="286"/>
      <c r="T24" s="285">
        <f t="shared" ca="1" si="9"/>
        <v>0</v>
      </c>
      <c r="U24" s="286"/>
      <c r="V24" s="285">
        <f t="shared" ca="1" si="10"/>
        <v>0</v>
      </c>
      <c r="W24" s="286"/>
      <c r="X24" s="287"/>
      <c r="Y24" s="288"/>
      <c r="Z24" s="289"/>
      <c r="AA24" s="81"/>
      <c r="AB24" s="93">
        <f t="shared" ca="1" si="2"/>
        <v>7.5</v>
      </c>
      <c r="AD24" t="s">
        <v>177</v>
      </c>
    </row>
    <row r="25" spans="1:30" ht="14.15" customHeight="1" x14ac:dyDescent="0.2">
      <c r="A25" s="290">
        <f t="shared" ca="1" si="3"/>
        <v>46396</v>
      </c>
      <c r="B25" s="291"/>
      <c r="C25" s="80">
        <f ca="1">IF(A25="","",IF(WEEKDAY(A25,1)=1,1,IF(COUNTIF(祝日管理!B:B,A25)=1,"祝",WEEKDAY(A25,1))))</f>
        <v>7</v>
      </c>
      <c r="D25" s="292"/>
      <c r="E25" s="292"/>
      <c r="F25" s="292"/>
      <c r="G25" s="292"/>
      <c r="H25" s="292"/>
      <c r="I25" s="293"/>
      <c r="J25" s="298">
        <f t="shared" si="4"/>
        <v>0</v>
      </c>
      <c r="K25" s="294"/>
      <c r="L25" s="285">
        <f t="shared" si="5"/>
        <v>0</v>
      </c>
      <c r="M25" s="296"/>
      <c r="N25" s="297">
        <f t="shared" ca="1" si="6"/>
        <v>0</v>
      </c>
      <c r="O25" s="286"/>
      <c r="P25" s="285">
        <f t="shared" ca="1" si="7"/>
        <v>0</v>
      </c>
      <c r="Q25" s="286"/>
      <c r="R25" s="285">
        <f t="shared" ca="1" si="8"/>
        <v>0</v>
      </c>
      <c r="S25" s="286"/>
      <c r="T25" s="285">
        <f t="shared" ca="1" si="9"/>
        <v>0</v>
      </c>
      <c r="U25" s="286"/>
      <c r="V25" s="285">
        <f t="shared" ca="1" si="10"/>
        <v>0</v>
      </c>
      <c r="W25" s="286"/>
      <c r="X25" s="287"/>
      <c r="Y25" s="288"/>
      <c r="Z25" s="289"/>
      <c r="AA25" s="81"/>
      <c r="AB25" s="93">
        <f t="shared" ca="1" si="2"/>
        <v>7.5</v>
      </c>
    </row>
    <row r="26" spans="1:30" ht="14.15" customHeight="1" x14ac:dyDescent="0.2">
      <c r="A26" s="290">
        <f t="shared" ca="1" si="3"/>
        <v>46397</v>
      </c>
      <c r="B26" s="291"/>
      <c r="C26" s="80">
        <f ca="1">IF(A26="","",IF(WEEKDAY(A26,1)=1,1,IF(COUNTIF(祝日管理!B:B,A26)=1,"祝",WEEKDAY(A26,1))))</f>
        <v>1</v>
      </c>
      <c r="D26" s="292"/>
      <c r="E26" s="292"/>
      <c r="F26" s="292"/>
      <c r="G26" s="292"/>
      <c r="H26" s="292"/>
      <c r="I26" s="293"/>
      <c r="J26" s="298">
        <f t="shared" si="4"/>
        <v>0</v>
      </c>
      <c r="K26" s="294"/>
      <c r="L26" s="285">
        <f t="shared" si="5"/>
        <v>0</v>
      </c>
      <c r="M26" s="296"/>
      <c r="N26" s="297">
        <f t="shared" ca="1" si="6"/>
        <v>0</v>
      </c>
      <c r="O26" s="286"/>
      <c r="P26" s="285">
        <f t="shared" ca="1" si="7"/>
        <v>0</v>
      </c>
      <c r="Q26" s="286"/>
      <c r="R26" s="285">
        <f t="shared" ca="1" si="8"/>
        <v>0</v>
      </c>
      <c r="S26" s="286"/>
      <c r="T26" s="285">
        <f t="shared" ca="1" si="9"/>
        <v>0</v>
      </c>
      <c r="U26" s="286"/>
      <c r="V26" s="285">
        <f t="shared" ca="1" si="10"/>
        <v>0</v>
      </c>
      <c r="W26" s="286"/>
      <c r="X26" s="287" t="s">
        <v>187</v>
      </c>
      <c r="Y26" s="288"/>
      <c r="Z26" s="289"/>
      <c r="AA26" s="81"/>
      <c r="AB26" s="93">
        <f t="shared" ca="1" si="2"/>
        <v>0</v>
      </c>
      <c r="AD26" t="s">
        <v>213</v>
      </c>
    </row>
    <row r="27" spans="1:30" ht="14.15" customHeight="1" x14ac:dyDescent="0.2">
      <c r="A27" s="290">
        <f t="shared" ca="1" si="3"/>
        <v>46398</v>
      </c>
      <c r="B27" s="291"/>
      <c r="C27" s="80">
        <f ca="1">IF(A27="","",IF(WEEKDAY(A27,1)=1,1,IF(COUNTIF(祝日管理!B:B,A27)=1,"祝",WEEKDAY(A27,1))))</f>
        <v>2</v>
      </c>
      <c r="D27" s="292"/>
      <c r="E27" s="292"/>
      <c r="F27" s="292"/>
      <c r="G27" s="292"/>
      <c r="H27" s="292"/>
      <c r="I27" s="293"/>
      <c r="J27" s="298">
        <f t="shared" si="4"/>
        <v>0</v>
      </c>
      <c r="K27" s="294"/>
      <c r="L27" s="285">
        <f t="shared" si="5"/>
        <v>0</v>
      </c>
      <c r="M27" s="296"/>
      <c r="N27" s="297">
        <f t="shared" ca="1" si="6"/>
        <v>0</v>
      </c>
      <c r="O27" s="286"/>
      <c r="P27" s="285">
        <f t="shared" ca="1" si="7"/>
        <v>0</v>
      </c>
      <c r="Q27" s="286"/>
      <c r="R27" s="285">
        <f t="shared" ca="1" si="8"/>
        <v>0</v>
      </c>
      <c r="S27" s="286"/>
      <c r="T27" s="285">
        <f t="shared" ca="1" si="9"/>
        <v>0</v>
      </c>
      <c r="U27" s="286"/>
      <c r="V27" s="285">
        <f t="shared" ca="1" si="10"/>
        <v>0</v>
      </c>
      <c r="W27" s="286"/>
      <c r="X27" s="287" t="s">
        <v>185</v>
      </c>
      <c r="Y27" s="288"/>
      <c r="Z27" s="289"/>
      <c r="AA27" s="81"/>
      <c r="AB27" s="93">
        <f t="shared" ca="1" si="2"/>
        <v>0</v>
      </c>
    </row>
    <row r="28" spans="1:30" ht="14.15" customHeight="1" x14ac:dyDescent="0.2">
      <c r="A28" s="290">
        <f t="shared" ca="1" si="3"/>
        <v>46399</v>
      </c>
      <c r="B28" s="291"/>
      <c r="C28" s="80">
        <f ca="1">IF(A28="","",IF(WEEKDAY(A28,1)=1,1,IF(COUNTIF(祝日管理!B:B,A28)=1,"祝",WEEKDAY(A28,1))))</f>
        <v>3</v>
      </c>
      <c r="D28" s="292"/>
      <c r="E28" s="292"/>
      <c r="F28" s="292"/>
      <c r="G28" s="292"/>
      <c r="H28" s="292"/>
      <c r="I28" s="293"/>
      <c r="J28" s="298">
        <f t="shared" si="4"/>
        <v>0</v>
      </c>
      <c r="K28" s="294"/>
      <c r="L28" s="285">
        <f t="shared" si="5"/>
        <v>0</v>
      </c>
      <c r="M28" s="296"/>
      <c r="N28" s="297">
        <f t="shared" ca="1" si="6"/>
        <v>0</v>
      </c>
      <c r="O28" s="286"/>
      <c r="P28" s="285">
        <f t="shared" ca="1" si="7"/>
        <v>0</v>
      </c>
      <c r="Q28" s="286"/>
      <c r="R28" s="285">
        <f t="shared" ca="1" si="8"/>
        <v>0</v>
      </c>
      <c r="S28" s="286"/>
      <c r="T28" s="285">
        <f t="shared" ca="1" si="9"/>
        <v>0</v>
      </c>
      <c r="U28" s="286"/>
      <c r="V28" s="285">
        <f t="shared" ca="1" si="10"/>
        <v>0</v>
      </c>
      <c r="W28" s="286"/>
      <c r="X28" s="287" t="s">
        <v>187</v>
      </c>
      <c r="Y28" s="288"/>
      <c r="Z28" s="289"/>
      <c r="AA28" s="81"/>
      <c r="AB28" s="93">
        <f t="shared" ca="1" si="2"/>
        <v>0</v>
      </c>
    </row>
    <row r="29" spans="1:30" s="59" customFormat="1" ht="14.15" customHeight="1" x14ac:dyDescent="0.2">
      <c r="A29" s="290">
        <f t="shared" ca="1" si="3"/>
        <v>46400</v>
      </c>
      <c r="B29" s="291"/>
      <c r="C29" s="80">
        <f ca="1">IF(A29="","",IF(WEEKDAY(A29,1)=1,1,IF(COUNTIF(祝日管理!B:B,A29)=1,"祝",WEEKDAY(A29,1))))</f>
        <v>4</v>
      </c>
      <c r="D29" s="292"/>
      <c r="E29" s="292"/>
      <c r="F29" s="292"/>
      <c r="G29" s="292"/>
      <c r="H29" s="292"/>
      <c r="I29" s="293"/>
      <c r="J29" s="298">
        <f t="shared" si="4"/>
        <v>0</v>
      </c>
      <c r="K29" s="294"/>
      <c r="L29" s="285">
        <f t="shared" si="5"/>
        <v>0</v>
      </c>
      <c r="M29" s="296"/>
      <c r="N29" s="297">
        <f t="shared" ca="1" si="6"/>
        <v>0</v>
      </c>
      <c r="O29" s="286"/>
      <c r="P29" s="285">
        <f t="shared" ca="1" si="7"/>
        <v>0</v>
      </c>
      <c r="Q29" s="286"/>
      <c r="R29" s="285">
        <f t="shared" ca="1" si="8"/>
        <v>0</v>
      </c>
      <c r="S29" s="286"/>
      <c r="T29" s="285">
        <f t="shared" ca="1" si="9"/>
        <v>0</v>
      </c>
      <c r="U29" s="286"/>
      <c r="V29" s="285">
        <f t="shared" ca="1" si="10"/>
        <v>0</v>
      </c>
      <c r="W29" s="286"/>
      <c r="X29" s="287"/>
      <c r="Y29" s="288"/>
      <c r="Z29" s="289"/>
      <c r="AA29" s="81"/>
      <c r="AB29" s="93">
        <f t="shared" ca="1" si="2"/>
        <v>7.5</v>
      </c>
      <c r="AC29" s="59" t="s">
        <v>207</v>
      </c>
    </row>
    <row r="30" spans="1:30" ht="14.15" customHeight="1" x14ac:dyDescent="0.2">
      <c r="A30" s="290">
        <f t="shared" ca="1" si="3"/>
        <v>46401</v>
      </c>
      <c r="B30" s="291"/>
      <c r="C30" s="80">
        <f ca="1">IF(A30="","",IF(WEEKDAY(A30,1)=1,1,IF(COUNTIF(祝日管理!B:B,A30)=1,"祝",WEEKDAY(A30,1))))</f>
        <v>5</v>
      </c>
      <c r="D30" s="292"/>
      <c r="E30" s="292"/>
      <c r="F30" s="292"/>
      <c r="G30" s="292"/>
      <c r="H30" s="292"/>
      <c r="I30" s="293"/>
      <c r="J30" s="298">
        <f t="shared" si="4"/>
        <v>0</v>
      </c>
      <c r="K30" s="294"/>
      <c r="L30" s="285">
        <f t="shared" si="5"/>
        <v>0</v>
      </c>
      <c r="M30" s="296"/>
      <c r="N30" s="297">
        <f t="shared" ca="1" si="6"/>
        <v>0</v>
      </c>
      <c r="O30" s="286"/>
      <c r="P30" s="285">
        <f t="shared" ca="1" si="7"/>
        <v>0</v>
      </c>
      <c r="Q30" s="286"/>
      <c r="R30" s="285">
        <f t="shared" ca="1" si="8"/>
        <v>0</v>
      </c>
      <c r="S30" s="286"/>
      <c r="T30" s="285">
        <f t="shared" ca="1" si="9"/>
        <v>0</v>
      </c>
      <c r="U30" s="286"/>
      <c r="V30" s="285">
        <f t="shared" ca="1" si="10"/>
        <v>0</v>
      </c>
      <c r="W30" s="286"/>
      <c r="X30" s="287"/>
      <c r="Y30" s="288"/>
      <c r="Z30" s="289"/>
      <c r="AA30" s="81"/>
      <c r="AB30" s="93">
        <f t="shared" ca="1" si="2"/>
        <v>7.5</v>
      </c>
      <c r="AC30" t="s">
        <v>208</v>
      </c>
    </row>
    <row r="31" spans="1:30" ht="14.15" customHeight="1" x14ac:dyDescent="0.2">
      <c r="A31" s="290">
        <f t="shared" ca="1" si="3"/>
        <v>46402</v>
      </c>
      <c r="B31" s="291"/>
      <c r="C31" s="80">
        <f ca="1">IF(A31="","",IF(WEEKDAY(A31,1)=1,1,IF(COUNTIF(祝日管理!B:B,A31)=1,"祝",WEEKDAY(A31,1))))</f>
        <v>6</v>
      </c>
      <c r="D31" s="292"/>
      <c r="E31" s="292"/>
      <c r="F31" s="292"/>
      <c r="G31" s="292"/>
      <c r="H31" s="292"/>
      <c r="I31" s="293"/>
      <c r="J31" s="298">
        <f t="shared" si="4"/>
        <v>0</v>
      </c>
      <c r="K31" s="294"/>
      <c r="L31" s="285">
        <f t="shared" si="5"/>
        <v>0</v>
      </c>
      <c r="M31" s="296"/>
      <c r="N31" s="297">
        <f t="shared" ca="1" si="6"/>
        <v>0</v>
      </c>
      <c r="O31" s="286"/>
      <c r="P31" s="285">
        <f t="shared" ca="1" si="7"/>
        <v>0</v>
      </c>
      <c r="Q31" s="286"/>
      <c r="R31" s="285">
        <f t="shared" ca="1" si="8"/>
        <v>0</v>
      </c>
      <c r="S31" s="286"/>
      <c r="T31" s="285">
        <f t="shared" ca="1" si="9"/>
        <v>0</v>
      </c>
      <c r="U31" s="286"/>
      <c r="V31" s="285">
        <f t="shared" ca="1" si="10"/>
        <v>0</v>
      </c>
      <c r="W31" s="286"/>
      <c r="X31" s="287"/>
      <c r="Y31" s="288"/>
      <c r="Z31" s="289"/>
      <c r="AA31" s="81"/>
      <c r="AB31" s="93">
        <f t="shared" ca="1" si="2"/>
        <v>7.5</v>
      </c>
      <c r="AC31" t="s">
        <v>209</v>
      </c>
    </row>
    <row r="32" spans="1:30" ht="14.15" customHeight="1" x14ac:dyDescent="0.2">
      <c r="A32" s="290">
        <f t="shared" ca="1" si="3"/>
        <v>46403</v>
      </c>
      <c r="B32" s="291"/>
      <c r="C32" s="80">
        <f ca="1">IF(A32="","",IF(WEEKDAY(A32,1)=1,1,IF(COUNTIF(祝日管理!B:B,A32)=1,"祝",WEEKDAY(A32,1))))</f>
        <v>7</v>
      </c>
      <c r="D32" s="292"/>
      <c r="E32" s="292"/>
      <c r="F32" s="292"/>
      <c r="G32" s="292"/>
      <c r="H32" s="292"/>
      <c r="I32" s="293"/>
      <c r="J32" s="298">
        <f t="shared" si="4"/>
        <v>0</v>
      </c>
      <c r="K32" s="294"/>
      <c r="L32" s="285">
        <f t="shared" si="5"/>
        <v>0</v>
      </c>
      <c r="M32" s="296"/>
      <c r="N32" s="297">
        <f t="shared" ca="1" si="6"/>
        <v>0</v>
      </c>
      <c r="O32" s="286"/>
      <c r="P32" s="285">
        <f t="shared" ca="1" si="7"/>
        <v>0</v>
      </c>
      <c r="Q32" s="286"/>
      <c r="R32" s="285">
        <f t="shared" ca="1" si="8"/>
        <v>0</v>
      </c>
      <c r="S32" s="286"/>
      <c r="T32" s="285">
        <f t="shared" ca="1" si="9"/>
        <v>0</v>
      </c>
      <c r="U32" s="286"/>
      <c r="V32" s="285">
        <f t="shared" ca="1" si="10"/>
        <v>0</v>
      </c>
      <c r="W32" s="286"/>
      <c r="X32" s="287"/>
      <c r="Y32" s="288"/>
      <c r="Z32" s="289"/>
      <c r="AA32" s="81"/>
      <c r="AB32" s="93">
        <f t="shared" ca="1" si="2"/>
        <v>7.5</v>
      </c>
    </row>
    <row r="33" spans="1:32" ht="14.15" customHeight="1" x14ac:dyDescent="0.2">
      <c r="A33" s="290">
        <f t="shared" ca="1" si="3"/>
        <v>46404</v>
      </c>
      <c r="B33" s="291"/>
      <c r="C33" s="80">
        <f ca="1">IF(A33="","",IF(WEEKDAY(A33,1)=1,1,IF(COUNTIF(祝日管理!B:B,A33)=1,"祝",WEEKDAY(A33,1))))</f>
        <v>1</v>
      </c>
      <c r="D33" s="292"/>
      <c r="E33" s="292"/>
      <c r="F33" s="292"/>
      <c r="G33" s="292"/>
      <c r="H33" s="292"/>
      <c r="I33" s="293"/>
      <c r="J33" s="298">
        <f t="shared" si="4"/>
        <v>0</v>
      </c>
      <c r="K33" s="294"/>
      <c r="L33" s="285">
        <f t="shared" si="5"/>
        <v>0</v>
      </c>
      <c r="M33" s="296"/>
      <c r="N33" s="297">
        <f t="shared" ca="1" si="6"/>
        <v>0</v>
      </c>
      <c r="O33" s="286"/>
      <c r="P33" s="285">
        <f t="shared" ca="1" si="7"/>
        <v>0</v>
      </c>
      <c r="Q33" s="286"/>
      <c r="R33" s="285">
        <f t="shared" ca="1" si="8"/>
        <v>0</v>
      </c>
      <c r="S33" s="286"/>
      <c r="T33" s="285">
        <f t="shared" ca="1" si="9"/>
        <v>0</v>
      </c>
      <c r="U33" s="286"/>
      <c r="V33" s="285">
        <f t="shared" ca="1" si="10"/>
        <v>0</v>
      </c>
      <c r="W33" s="286"/>
      <c r="X33" s="287" t="s">
        <v>187</v>
      </c>
      <c r="Y33" s="288"/>
      <c r="Z33" s="289"/>
      <c r="AA33" s="81"/>
      <c r="AB33" s="93">
        <f t="shared" ca="1" si="2"/>
        <v>0</v>
      </c>
      <c r="AD33" t="s">
        <v>214</v>
      </c>
    </row>
    <row r="34" spans="1:32" ht="14.15" customHeight="1" x14ac:dyDescent="0.2">
      <c r="A34" s="290">
        <f t="shared" ca="1" si="3"/>
        <v>46405</v>
      </c>
      <c r="B34" s="291"/>
      <c r="C34" s="80">
        <f ca="1">IF(A34="","",IF(WEEKDAY(A34,1)=1,1,IF(COUNTIF(祝日管理!B:B,A34)=1,"祝",WEEKDAY(A34,1))))</f>
        <v>2</v>
      </c>
      <c r="D34" s="292"/>
      <c r="E34" s="292"/>
      <c r="F34" s="292"/>
      <c r="G34" s="292"/>
      <c r="H34" s="292"/>
      <c r="I34" s="293"/>
      <c r="J34" s="298">
        <f t="shared" si="4"/>
        <v>0</v>
      </c>
      <c r="K34" s="294"/>
      <c r="L34" s="285">
        <f t="shared" si="5"/>
        <v>0</v>
      </c>
      <c r="M34" s="296"/>
      <c r="N34" s="297">
        <f t="shared" ca="1" si="6"/>
        <v>0</v>
      </c>
      <c r="O34" s="286"/>
      <c r="P34" s="285">
        <f t="shared" ca="1" si="7"/>
        <v>0</v>
      </c>
      <c r="Q34" s="286"/>
      <c r="R34" s="285">
        <f t="shared" ca="1" si="8"/>
        <v>0</v>
      </c>
      <c r="S34" s="286"/>
      <c r="T34" s="285">
        <f t="shared" ca="1" si="9"/>
        <v>0</v>
      </c>
      <c r="U34" s="286"/>
      <c r="V34" s="285">
        <f t="shared" ca="1" si="10"/>
        <v>0</v>
      </c>
      <c r="W34" s="286"/>
      <c r="X34" s="287" t="s">
        <v>185</v>
      </c>
      <c r="Y34" s="288"/>
      <c r="Z34" s="289"/>
      <c r="AA34" s="81"/>
      <c r="AB34" s="93">
        <f ca="1">IF(ISERROR((X34="")*(7.5-N34)),0,(X34="")*(7.5-N34))</f>
        <v>0</v>
      </c>
      <c r="AD34" t="s">
        <v>215</v>
      </c>
    </row>
    <row r="35" spans="1:32" ht="14.15" customHeight="1" x14ac:dyDescent="0.2">
      <c r="A35" s="290">
        <f t="shared" ca="1" si="3"/>
        <v>46406</v>
      </c>
      <c r="B35" s="291"/>
      <c r="C35" s="80">
        <f ca="1">IF(A35="","",IF(WEEKDAY(A35,1)=1,1,IF(COUNTIF(祝日管理!B:B,A35)=1,"祝",WEEKDAY(A35,1))))</f>
        <v>3</v>
      </c>
      <c r="D35" s="292"/>
      <c r="E35" s="292"/>
      <c r="F35" s="292"/>
      <c r="G35" s="292"/>
      <c r="H35" s="292"/>
      <c r="I35" s="293"/>
      <c r="J35" s="298">
        <f t="shared" si="4"/>
        <v>0</v>
      </c>
      <c r="K35" s="294"/>
      <c r="L35" s="285">
        <f t="shared" si="5"/>
        <v>0</v>
      </c>
      <c r="M35" s="296"/>
      <c r="N35" s="297">
        <f t="shared" ca="1" si="6"/>
        <v>0</v>
      </c>
      <c r="O35" s="286"/>
      <c r="P35" s="285">
        <f t="shared" ca="1" si="7"/>
        <v>0</v>
      </c>
      <c r="Q35" s="286"/>
      <c r="R35" s="285">
        <f t="shared" ca="1" si="8"/>
        <v>0</v>
      </c>
      <c r="S35" s="286"/>
      <c r="T35" s="285">
        <f t="shared" ca="1" si="9"/>
        <v>0</v>
      </c>
      <c r="U35" s="286"/>
      <c r="V35" s="285">
        <f t="shared" ca="1" si="10"/>
        <v>0</v>
      </c>
      <c r="W35" s="286"/>
      <c r="X35" s="287"/>
      <c r="Y35" s="288"/>
      <c r="Z35" s="289"/>
      <c r="AA35" s="81"/>
      <c r="AB35" s="93">
        <f ca="1">IF(ISERROR((X35="")*(7.5-N35)),0,(X35="")*(7.5-N35))</f>
        <v>7.5</v>
      </c>
    </row>
    <row r="36" spans="1:32" ht="14.15" customHeight="1" x14ac:dyDescent="0.2">
      <c r="A36" s="290">
        <f t="shared" ca="1" si="3"/>
        <v>46407</v>
      </c>
      <c r="B36" s="291"/>
      <c r="C36" s="80">
        <f ca="1">IF(A36="","",IF(WEEKDAY(A36,1)=1,1,IF(COUNTIF(祝日管理!B:B,A36)=1,"祝",WEEKDAY(A36,1))))</f>
        <v>4</v>
      </c>
      <c r="D36" s="292"/>
      <c r="E36" s="292"/>
      <c r="F36" s="292"/>
      <c r="G36" s="292"/>
      <c r="H36" s="292"/>
      <c r="I36" s="293"/>
      <c r="J36" s="298">
        <f t="shared" si="4"/>
        <v>0</v>
      </c>
      <c r="K36" s="294"/>
      <c r="L36" s="285">
        <f t="shared" si="5"/>
        <v>0</v>
      </c>
      <c r="M36" s="296"/>
      <c r="N36" s="297">
        <f t="shared" ca="1" si="6"/>
        <v>0</v>
      </c>
      <c r="O36" s="286"/>
      <c r="P36" s="285">
        <f t="shared" ca="1" si="7"/>
        <v>0</v>
      </c>
      <c r="Q36" s="286"/>
      <c r="R36" s="285">
        <f t="shared" ca="1" si="8"/>
        <v>0</v>
      </c>
      <c r="S36" s="286"/>
      <c r="T36" s="285">
        <f t="shared" ca="1" si="9"/>
        <v>0</v>
      </c>
      <c r="U36" s="286"/>
      <c r="V36" s="285">
        <f t="shared" ca="1" si="10"/>
        <v>0</v>
      </c>
      <c r="W36" s="286"/>
      <c r="X36" s="287"/>
      <c r="Y36" s="288"/>
      <c r="Z36" s="289"/>
      <c r="AA36" s="81"/>
      <c r="AB36" s="93">
        <f t="shared" ca="1" si="2"/>
        <v>7.5</v>
      </c>
    </row>
    <row r="37" spans="1:32" ht="14.15" customHeight="1" x14ac:dyDescent="0.2">
      <c r="A37" s="290">
        <f t="shared" ca="1" si="3"/>
        <v>46408</v>
      </c>
      <c r="B37" s="291"/>
      <c r="C37" s="80">
        <f ca="1">IF(A37="","",IF(WEEKDAY(A37,1)=1,1,IF(COUNTIF(祝日管理!B:B,A37)=1,"祝",WEEKDAY(A37,1))))</f>
        <v>5</v>
      </c>
      <c r="D37" s="292"/>
      <c r="E37" s="292"/>
      <c r="F37" s="292"/>
      <c r="G37" s="292"/>
      <c r="H37" s="292"/>
      <c r="I37" s="293"/>
      <c r="J37" s="298">
        <f t="shared" si="4"/>
        <v>0</v>
      </c>
      <c r="K37" s="294"/>
      <c r="L37" s="285">
        <f t="shared" si="5"/>
        <v>0</v>
      </c>
      <c r="M37" s="296"/>
      <c r="N37" s="297">
        <f t="shared" ca="1" si="6"/>
        <v>0</v>
      </c>
      <c r="O37" s="286"/>
      <c r="P37" s="285">
        <f t="shared" ca="1" si="7"/>
        <v>0</v>
      </c>
      <c r="Q37" s="286"/>
      <c r="R37" s="285">
        <f t="shared" ca="1" si="8"/>
        <v>0</v>
      </c>
      <c r="S37" s="286"/>
      <c r="T37" s="285">
        <f t="shared" ca="1" si="9"/>
        <v>0</v>
      </c>
      <c r="U37" s="286"/>
      <c r="V37" s="285">
        <f t="shared" ca="1" si="10"/>
        <v>0</v>
      </c>
      <c r="W37" s="286"/>
      <c r="X37" s="287"/>
      <c r="Y37" s="288"/>
      <c r="Z37" s="289"/>
      <c r="AA37" s="81"/>
      <c r="AB37" s="93">
        <f t="shared" ca="1" si="2"/>
        <v>7.5</v>
      </c>
    </row>
    <row r="38" spans="1:32" ht="14.15" customHeight="1" x14ac:dyDescent="0.2">
      <c r="A38" s="290">
        <f t="shared" ca="1" si="3"/>
        <v>46409</v>
      </c>
      <c r="B38" s="291"/>
      <c r="C38" s="80">
        <f ca="1">IF(A38="","",IF(WEEKDAY(A38,1)=1,1,IF(COUNTIF(祝日管理!B:B,A38)=1,"祝",WEEKDAY(A38,1))))</f>
        <v>6</v>
      </c>
      <c r="D38" s="292"/>
      <c r="E38" s="292"/>
      <c r="F38" s="292"/>
      <c r="G38" s="292"/>
      <c r="H38" s="292"/>
      <c r="I38" s="293"/>
      <c r="J38" s="298">
        <f t="shared" si="4"/>
        <v>0</v>
      </c>
      <c r="K38" s="294"/>
      <c r="L38" s="285">
        <f t="shared" si="5"/>
        <v>0</v>
      </c>
      <c r="M38" s="296"/>
      <c r="N38" s="297">
        <f t="shared" ca="1" si="6"/>
        <v>0</v>
      </c>
      <c r="O38" s="286"/>
      <c r="P38" s="285">
        <f t="shared" ca="1" si="7"/>
        <v>0</v>
      </c>
      <c r="Q38" s="286"/>
      <c r="R38" s="285">
        <f t="shared" ca="1" si="8"/>
        <v>0</v>
      </c>
      <c r="S38" s="286"/>
      <c r="T38" s="285">
        <f t="shared" ca="1" si="9"/>
        <v>0</v>
      </c>
      <c r="U38" s="286"/>
      <c r="V38" s="285">
        <f t="shared" ca="1" si="10"/>
        <v>0</v>
      </c>
      <c r="W38" s="286"/>
      <c r="X38" s="287"/>
      <c r="Y38" s="288"/>
      <c r="Z38" s="289"/>
      <c r="AA38" s="81"/>
      <c r="AB38" s="93">
        <f t="shared" ca="1" si="2"/>
        <v>7.5</v>
      </c>
    </row>
    <row r="39" spans="1:32" ht="14.15" customHeight="1" x14ac:dyDescent="0.2">
      <c r="A39" s="290">
        <f t="shared" ca="1" si="3"/>
        <v>46410</v>
      </c>
      <c r="B39" s="291"/>
      <c r="C39" s="80">
        <f ca="1">IF(A39="","",IF(WEEKDAY(A39,1)=1,1,IF(COUNTIF(祝日管理!B:B,A39)=1,"祝",WEEKDAY(A39,1))))</f>
        <v>7</v>
      </c>
      <c r="D39" s="292"/>
      <c r="E39" s="292"/>
      <c r="F39" s="292"/>
      <c r="G39" s="292"/>
      <c r="H39" s="292"/>
      <c r="I39" s="293"/>
      <c r="J39" s="298">
        <f t="shared" si="4"/>
        <v>0</v>
      </c>
      <c r="K39" s="294"/>
      <c r="L39" s="285">
        <f t="shared" si="5"/>
        <v>0</v>
      </c>
      <c r="M39" s="296"/>
      <c r="N39" s="297">
        <f t="shared" ca="1" si="6"/>
        <v>0</v>
      </c>
      <c r="O39" s="286"/>
      <c r="P39" s="285">
        <f t="shared" ca="1" si="7"/>
        <v>0</v>
      </c>
      <c r="Q39" s="286"/>
      <c r="R39" s="285">
        <f t="shared" ca="1" si="8"/>
        <v>0</v>
      </c>
      <c r="S39" s="286"/>
      <c r="T39" s="285">
        <f t="shared" ca="1" si="9"/>
        <v>0</v>
      </c>
      <c r="U39" s="286"/>
      <c r="V39" s="285">
        <f t="shared" ca="1" si="10"/>
        <v>0</v>
      </c>
      <c r="W39" s="286"/>
      <c r="X39" s="287"/>
      <c r="Y39" s="288"/>
      <c r="Z39" s="289"/>
      <c r="AA39" s="81"/>
      <c r="AB39" s="93">
        <f t="shared" ca="1" si="2"/>
        <v>7.5</v>
      </c>
    </row>
    <row r="40" spans="1:32" ht="14.15" customHeight="1" x14ac:dyDescent="0.2">
      <c r="A40" s="290">
        <f t="shared" ca="1" si="3"/>
        <v>46411</v>
      </c>
      <c r="B40" s="291"/>
      <c r="C40" s="80">
        <f ca="1">IF(A40="","",IF(WEEKDAY(A40,1)=1,1,IF(COUNTIF(祝日管理!B:B,A40)=1,"祝",WEEKDAY(A40,1))))</f>
        <v>1</v>
      </c>
      <c r="D40" s="292"/>
      <c r="E40" s="292"/>
      <c r="F40" s="292"/>
      <c r="G40" s="292"/>
      <c r="H40" s="292"/>
      <c r="I40" s="293"/>
      <c r="J40" s="298">
        <f t="shared" si="4"/>
        <v>0</v>
      </c>
      <c r="K40" s="294"/>
      <c r="L40" s="285">
        <f t="shared" si="5"/>
        <v>0</v>
      </c>
      <c r="M40" s="296"/>
      <c r="N40" s="297">
        <f t="shared" ca="1" si="6"/>
        <v>0</v>
      </c>
      <c r="O40" s="286"/>
      <c r="P40" s="285">
        <f t="shared" ca="1" si="7"/>
        <v>0</v>
      </c>
      <c r="Q40" s="286"/>
      <c r="R40" s="285">
        <f t="shared" ca="1" si="8"/>
        <v>0</v>
      </c>
      <c r="S40" s="286"/>
      <c r="T40" s="285">
        <f t="shared" ca="1" si="9"/>
        <v>0</v>
      </c>
      <c r="U40" s="286"/>
      <c r="V40" s="285">
        <f t="shared" ca="1" si="10"/>
        <v>0</v>
      </c>
      <c r="W40" s="286"/>
      <c r="X40" s="287" t="s">
        <v>187</v>
      </c>
      <c r="Y40" s="288"/>
      <c r="Z40" s="289"/>
      <c r="AA40" s="81"/>
      <c r="AB40" s="93">
        <f t="shared" ca="1" si="2"/>
        <v>0</v>
      </c>
    </row>
    <row r="41" spans="1:32" ht="14.15" customHeight="1" x14ac:dyDescent="0.2">
      <c r="A41" s="290">
        <f t="shared" ca="1" si="3"/>
        <v>46412</v>
      </c>
      <c r="B41" s="291"/>
      <c r="C41" s="80">
        <f ca="1">IF(A41="","",IF(WEEKDAY(A41,1)=1,1,IF(COUNTIF(祝日管理!B:B,A41)=1,"祝",WEEKDAY(A41,1))))</f>
        <v>2</v>
      </c>
      <c r="D41" s="292"/>
      <c r="E41" s="292"/>
      <c r="F41" s="292"/>
      <c r="G41" s="292"/>
      <c r="H41" s="292"/>
      <c r="I41" s="293"/>
      <c r="J41" s="298">
        <f t="shared" si="4"/>
        <v>0</v>
      </c>
      <c r="K41" s="294"/>
      <c r="L41" s="285">
        <f t="shared" si="5"/>
        <v>0</v>
      </c>
      <c r="M41" s="296"/>
      <c r="N41" s="297">
        <f t="shared" ca="1" si="6"/>
        <v>0</v>
      </c>
      <c r="O41" s="286"/>
      <c r="P41" s="285">
        <f t="shared" ca="1" si="7"/>
        <v>0</v>
      </c>
      <c r="Q41" s="286"/>
      <c r="R41" s="285">
        <f t="shared" ca="1" si="8"/>
        <v>0</v>
      </c>
      <c r="S41" s="286"/>
      <c r="T41" s="285">
        <f t="shared" ca="1" si="9"/>
        <v>0</v>
      </c>
      <c r="U41" s="286"/>
      <c r="V41" s="285">
        <f t="shared" ca="1" si="10"/>
        <v>0</v>
      </c>
      <c r="W41" s="286"/>
      <c r="X41" s="287" t="s">
        <v>185</v>
      </c>
      <c r="Y41" s="288"/>
      <c r="Z41" s="289"/>
      <c r="AA41" s="81"/>
      <c r="AB41" s="93">
        <f t="shared" ca="1" si="2"/>
        <v>0</v>
      </c>
    </row>
    <row r="42" spans="1:32" ht="14.15" customHeight="1" x14ac:dyDescent="0.2">
      <c r="A42" s="290">
        <f t="shared" ca="1" si="3"/>
        <v>46413</v>
      </c>
      <c r="B42" s="291"/>
      <c r="C42" s="80">
        <f ca="1">IF(A42="","",IF(WEEKDAY(A42,1)=1,1,IF(COUNTIF(祝日管理!B:B,A42)=1,"祝",WEEKDAY(A42,1))))</f>
        <v>3</v>
      </c>
      <c r="D42" s="292"/>
      <c r="E42" s="292"/>
      <c r="F42" s="292"/>
      <c r="G42" s="292"/>
      <c r="H42" s="292"/>
      <c r="I42" s="293"/>
      <c r="J42" s="298">
        <f t="shared" si="4"/>
        <v>0</v>
      </c>
      <c r="K42" s="294"/>
      <c r="L42" s="285">
        <f t="shared" si="5"/>
        <v>0</v>
      </c>
      <c r="M42" s="296"/>
      <c r="N42" s="297">
        <f t="shared" ca="1" si="6"/>
        <v>0</v>
      </c>
      <c r="O42" s="286"/>
      <c r="P42" s="285">
        <f t="shared" ca="1" si="7"/>
        <v>0</v>
      </c>
      <c r="Q42" s="286"/>
      <c r="R42" s="285">
        <f t="shared" ca="1" si="8"/>
        <v>0</v>
      </c>
      <c r="S42" s="286"/>
      <c r="T42" s="285">
        <f t="shared" ca="1" si="9"/>
        <v>0</v>
      </c>
      <c r="U42" s="286"/>
      <c r="V42" s="285">
        <f t="shared" ca="1" si="10"/>
        <v>0</v>
      </c>
      <c r="W42" s="286"/>
      <c r="X42" s="287"/>
      <c r="Y42" s="288"/>
      <c r="Z42" s="289"/>
      <c r="AA42" s="81"/>
      <c r="AB42" s="93">
        <f t="shared" ca="1" si="2"/>
        <v>7.5</v>
      </c>
    </row>
    <row r="43" spans="1:32" ht="14.15" customHeight="1" x14ac:dyDescent="0.2">
      <c r="A43" s="290">
        <f t="shared" ca="1" si="3"/>
        <v>46414</v>
      </c>
      <c r="B43" s="291"/>
      <c r="C43" s="80">
        <f ca="1">IF(A43="","",IF(WEEKDAY(A43,1)=1,1,IF(COUNTIF(祝日管理!B:B,A43)=1,"祝",WEEKDAY(A43,1))))</f>
        <v>4</v>
      </c>
      <c r="D43" s="292"/>
      <c r="E43" s="292"/>
      <c r="F43" s="292"/>
      <c r="G43" s="292"/>
      <c r="H43" s="292"/>
      <c r="I43" s="293"/>
      <c r="J43" s="298">
        <f t="shared" si="4"/>
        <v>0</v>
      </c>
      <c r="K43" s="294"/>
      <c r="L43" s="285">
        <f t="shared" si="5"/>
        <v>0</v>
      </c>
      <c r="M43" s="296"/>
      <c r="N43" s="297">
        <f t="shared" ca="1" si="6"/>
        <v>0</v>
      </c>
      <c r="O43" s="286"/>
      <c r="P43" s="285">
        <f t="shared" ca="1" si="7"/>
        <v>0</v>
      </c>
      <c r="Q43" s="286"/>
      <c r="R43" s="285">
        <f t="shared" ca="1" si="8"/>
        <v>0</v>
      </c>
      <c r="S43" s="286"/>
      <c r="T43" s="285">
        <f t="shared" ca="1" si="9"/>
        <v>0</v>
      </c>
      <c r="U43" s="286"/>
      <c r="V43" s="285">
        <f t="shared" ca="1" si="10"/>
        <v>0</v>
      </c>
      <c r="W43" s="286"/>
      <c r="X43" s="287"/>
      <c r="Y43" s="288"/>
      <c r="Z43" s="289"/>
      <c r="AA43" s="81"/>
      <c r="AB43" s="93">
        <f t="shared" ca="1" si="2"/>
        <v>7.5</v>
      </c>
    </row>
    <row r="44" spans="1:32" ht="14.15" customHeight="1" x14ac:dyDescent="0.2">
      <c r="A44" s="290">
        <f t="shared" ca="1" si="3"/>
        <v>46415</v>
      </c>
      <c r="B44" s="291"/>
      <c r="C44" s="80">
        <f ca="1">IF(A44="","",IF(WEEKDAY(A44,1)=1,1,IF(COUNTIF(祝日管理!B:B,A44)=1,"祝",WEEKDAY(A44,1))))</f>
        <v>5</v>
      </c>
      <c r="D44" s="292"/>
      <c r="E44" s="292"/>
      <c r="F44" s="292"/>
      <c r="G44" s="292"/>
      <c r="H44" s="292"/>
      <c r="I44" s="293"/>
      <c r="J44" s="298">
        <f t="shared" si="4"/>
        <v>0</v>
      </c>
      <c r="K44" s="294"/>
      <c r="L44" s="285">
        <f t="shared" si="5"/>
        <v>0</v>
      </c>
      <c r="M44" s="296"/>
      <c r="N44" s="297">
        <f t="shared" ca="1" si="6"/>
        <v>0</v>
      </c>
      <c r="O44" s="286"/>
      <c r="P44" s="285">
        <f t="shared" ca="1" si="7"/>
        <v>0</v>
      </c>
      <c r="Q44" s="286"/>
      <c r="R44" s="285">
        <f t="shared" ca="1" si="8"/>
        <v>0</v>
      </c>
      <c r="S44" s="286"/>
      <c r="T44" s="285">
        <f t="shared" ca="1" si="9"/>
        <v>0</v>
      </c>
      <c r="U44" s="286"/>
      <c r="V44" s="285">
        <f t="shared" ca="1" si="10"/>
        <v>0</v>
      </c>
      <c r="W44" s="286"/>
      <c r="X44" s="287"/>
      <c r="Y44" s="288"/>
      <c r="Z44" s="289"/>
      <c r="AA44" s="81"/>
      <c r="AB44" s="93">
        <f t="shared" ca="1" si="2"/>
        <v>7.5</v>
      </c>
    </row>
    <row r="45" spans="1:32" ht="14.15" customHeight="1" x14ac:dyDescent="0.2">
      <c r="A45" s="290">
        <f ca="1">IF(DAY(A44+1)=29,A44+1,"")</f>
        <v>46416</v>
      </c>
      <c r="B45" s="291"/>
      <c r="C45" s="80">
        <f ca="1">IF(A45="","",IF(WEEKDAY(A45,1)=1,1,IF(COUNTIF(祝日管理!B:B,A45)=1,"祝",WEEKDAY(A45,1))))</f>
        <v>6</v>
      </c>
      <c r="D45" s="292"/>
      <c r="E45" s="292"/>
      <c r="F45" s="292"/>
      <c r="G45" s="292"/>
      <c r="H45" s="292"/>
      <c r="I45" s="293"/>
      <c r="J45" s="298">
        <f t="shared" si="4"/>
        <v>0</v>
      </c>
      <c r="K45" s="294"/>
      <c r="L45" s="285">
        <f t="shared" si="5"/>
        <v>0</v>
      </c>
      <c r="M45" s="296"/>
      <c r="N45" s="297">
        <f t="shared" ca="1" si="6"/>
        <v>0</v>
      </c>
      <c r="O45" s="286"/>
      <c r="P45" s="285">
        <f t="shared" ca="1" si="7"/>
        <v>0</v>
      </c>
      <c r="Q45" s="286"/>
      <c r="R45" s="285">
        <f t="shared" ca="1" si="8"/>
        <v>0</v>
      </c>
      <c r="S45" s="286"/>
      <c r="T45" s="285">
        <f t="shared" ca="1" si="9"/>
        <v>0</v>
      </c>
      <c r="U45" s="286"/>
      <c r="V45" s="285">
        <f t="shared" ca="1" si="10"/>
        <v>0</v>
      </c>
      <c r="W45" s="286"/>
      <c r="X45" s="287"/>
      <c r="Y45" s="288"/>
      <c r="Z45" s="289"/>
      <c r="AA45" s="82"/>
      <c r="AB45" s="93">
        <f t="shared" ca="1" si="2"/>
        <v>7.5</v>
      </c>
    </row>
    <row r="46" spans="1:32" ht="14.15" customHeight="1" x14ac:dyDescent="0.2">
      <c r="A46" s="290">
        <f ca="1">IF(A45="","",IF(DAY(A45+1)=30,A45+1,""))</f>
        <v>46417</v>
      </c>
      <c r="B46" s="291"/>
      <c r="C46" s="80">
        <f ca="1">IF(A46="","",IF(WEEKDAY(A46,1)=1,1,IF(COUNTIF(祝日管理!B:B,A46)=1,"祝",WEEKDAY(A46,1))))</f>
        <v>7</v>
      </c>
      <c r="D46" s="292"/>
      <c r="E46" s="292"/>
      <c r="F46" s="292"/>
      <c r="G46" s="292"/>
      <c r="H46" s="292"/>
      <c r="I46" s="293"/>
      <c r="J46" s="298">
        <f t="shared" si="4"/>
        <v>0</v>
      </c>
      <c r="K46" s="294"/>
      <c r="L46" s="285">
        <f t="shared" si="5"/>
        <v>0</v>
      </c>
      <c r="M46" s="296"/>
      <c r="N46" s="297">
        <f t="shared" ca="1" si="6"/>
        <v>0</v>
      </c>
      <c r="O46" s="286"/>
      <c r="P46" s="285">
        <f t="shared" ca="1" si="7"/>
        <v>0</v>
      </c>
      <c r="Q46" s="286"/>
      <c r="R46" s="285">
        <f t="shared" ca="1" si="8"/>
        <v>0</v>
      </c>
      <c r="S46" s="286"/>
      <c r="T46" s="285">
        <f t="shared" ca="1" si="9"/>
        <v>0</v>
      </c>
      <c r="U46" s="286"/>
      <c r="V46" s="285">
        <f t="shared" ca="1" si="10"/>
        <v>0</v>
      </c>
      <c r="W46" s="286"/>
      <c r="X46" s="287"/>
      <c r="Y46" s="288"/>
      <c r="Z46" s="289"/>
      <c r="AA46" s="81"/>
      <c r="AB46" s="93">
        <f t="shared" ca="1" si="2"/>
        <v>7.5</v>
      </c>
      <c r="AF46">
        <f>+時間・月額</f>
        <v>250000</v>
      </c>
    </row>
    <row r="47" spans="1:32" ht="14.15" customHeight="1" thickBot="1" x14ac:dyDescent="0.25">
      <c r="A47" s="290">
        <f ca="1">IF(A46="","",IF(DAY(A46+1)=31,A46+1,""))</f>
        <v>46418</v>
      </c>
      <c r="B47" s="291"/>
      <c r="C47" s="80">
        <f ca="1">IF(A47="","",IF(WEEKDAY(A47,1)=1,1,IF(COUNTIF(祝日管理!B:B,A47)=1,"祝",WEEKDAY(A47,1))))</f>
        <v>1</v>
      </c>
      <c r="D47" s="292"/>
      <c r="E47" s="292"/>
      <c r="F47" s="292"/>
      <c r="G47" s="292"/>
      <c r="H47" s="292"/>
      <c r="I47" s="293"/>
      <c r="J47" s="294">
        <f t="shared" si="4"/>
        <v>0</v>
      </c>
      <c r="K47" s="295"/>
      <c r="L47" s="285">
        <f t="shared" si="5"/>
        <v>0</v>
      </c>
      <c r="M47" s="296"/>
      <c r="N47" s="283">
        <f t="shared" ca="1" si="6"/>
        <v>0</v>
      </c>
      <c r="O47" s="284"/>
      <c r="P47" s="285">
        <f t="shared" ca="1" si="7"/>
        <v>0</v>
      </c>
      <c r="Q47" s="286"/>
      <c r="R47" s="285">
        <f t="shared" ca="1" si="8"/>
        <v>0</v>
      </c>
      <c r="S47" s="286"/>
      <c r="T47" s="285">
        <f t="shared" ca="1" si="9"/>
        <v>0</v>
      </c>
      <c r="U47" s="286"/>
      <c r="V47" s="285">
        <f t="shared" ca="1" si="10"/>
        <v>0</v>
      </c>
      <c r="W47" s="286"/>
      <c r="X47" s="287" t="s">
        <v>187</v>
      </c>
      <c r="Y47" s="288"/>
      <c r="Z47" s="289"/>
      <c r="AA47" s="81"/>
      <c r="AB47" s="93">
        <f ca="1">IF(ISERROR((X47="")*(7.5-N47)),0,(X47="")*(7.5-N47))</f>
        <v>0</v>
      </c>
    </row>
    <row r="48" spans="1:32" ht="14.15" customHeight="1" thickBot="1" x14ac:dyDescent="0.25">
      <c r="A48" s="274" t="s">
        <v>56</v>
      </c>
      <c r="B48" s="275"/>
      <c r="C48" s="35"/>
      <c r="D48" s="276"/>
      <c r="E48" s="277"/>
      <c r="F48" s="276"/>
      <c r="G48" s="277"/>
      <c r="H48" s="276"/>
      <c r="I48" s="278"/>
      <c r="J48" s="279"/>
      <c r="K48" s="280"/>
      <c r="L48" s="281" t="s">
        <v>198</v>
      </c>
      <c r="M48" s="282"/>
      <c r="N48" s="265"/>
      <c r="O48" s="266"/>
      <c r="P48" s="267" t="s">
        <v>200</v>
      </c>
      <c r="Q48" s="268"/>
      <c r="R48" s="265"/>
      <c r="S48" s="266"/>
      <c r="T48" s="269"/>
      <c r="U48" s="270"/>
      <c r="V48" s="269"/>
      <c r="W48" s="270"/>
      <c r="X48" s="271"/>
      <c r="Y48" s="272"/>
      <c r="Z48" s="273"/>
      <c r="AA48" s="66"/>
      <c r="AB48" t="s">
        <v>191</v>
      </c>
    </row>
    <row r="49" spans="1:34" ht="14.15" customHeight="1" x14ac:dyDescent="0.2">
      <c r="A49" s="255" t="s">
        <v>196</v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8">
        <f>SUM(L17:M47)+N48</f>
        <v>0</v>
      </c>
      <c r="M49" s="259"/>
      <c r="N49" s="260">
        <f ca="1">ROUNDDOWN((SUM(N17:O48)+0.01)*4,0)/4</f>
        <v>0</v>
      </c>
      <c r="O49" s="261"/>
      <c r="P49" s="262">
        <f ca="1">ROUNDDOWN((SUM(P17:Q47)+0.01)*4,0)/4</f>
        <v>0</v>
      </c>
      <c r="Q49" s="263"/>
      <c r="R49" s="242">
        <f ca="1">ROUNDDOWN((SUM(R17:S47)+0.01)*4,0)/4</f>
        <v>0</v>
      </c>
      <c r="S49" s="264"/>
      <c r="T49" s="242">
        <f ca="1">ROUNDDOWN((SUM(T17:U47)+0.01)*4,0)/4</f>
        <v>0</v>
      </c>
      <c r="U49" s="243"/>
      <c r="V49" s="242">
        <f ca="1">ROUNDDOWN((SUM(V17:W47)+0.01)*4,0)/4</f>
        <v>0</v>
      </c>
      <c r="W49" s="243"/>
      <c r="X49" s="244">
        <f ca="1">SUM(通常時間計:休日深夜時間計)</f>
        <v>0</v>
      </c>
      <c r="Y49" s="245"/>
      <c r="Z49" s="245"/>
      <c r="AA49" s="64" t="s">
        <v>142</v>
      </c>
    </row>
    <row r="50" spans="1:34" ht="14.15" customHeight="1" thickBot="1" x14ac:dyDescent="0.25">
      <c r="A50" s="246" t="s">
        <v>106</v>
      </c>
      <c r="B50" s="246"/>
      <c r="C50" s="246"/>
      <c r="D50" s="246"/>
      <c r="E50" s="246"/>
      <c r="F50" s="246"/>
      <c r="G50" s="246"/>
      <c r="H50" s="246"/>
      <c r="I50" s="246"/>
      <c r="J50" s="246"/>
      <c r="K50" s="246"/>
      <c r="L50" s="247">
        <f ca="1">SUM(N50:W50)</f>
        <v>0</v>
      </c>
      <c r="M50" s="248"/>
      <c r="N50" s="249">
        <f ca="1">通常時間計</f>
        <v>0</v>
      </c>
      <c r="O50" s="250"/>
      <c r="P50" s="249">
        <f ca="1">IF(給与体系="140-160時間制",超過勤務時間計,MAX(0,超過勤務時間計+深夜残業時間計-60)*0.25+超過勤務時間計*1.25)</f>
        <v>0</v>
      </c>
      <c r="Q50" s="250"/>
      <c r="R50" s="251">
        <f ca="1">IF(給与体系="140-160時間制",深夜残業時間計,深夜残業時間計*1.5)</f>
        <v>0</v>
      </c>
      <c r="S50" s="252"/>
      <c r="T50" s="251">
        <f ca="1">IF(給与体系="140-160時間制",休日出勤時間計,休日出勤時間計*1.35)</f>
        <v>0</v>
      </c>
      <c r="U50" s="252"/>
      <c r="V50" s="251">
        <f ca="1">IF(給与体系="140-160時間制",休日深夜時間計,休日深夜時間計*1.6)</f>
        <v>0</v>
      </c>
      <c r="W50" s="252"/>
      <c r="X50" s="253">
        <f ca="1">SUM(N50:W50)</f>
        <v>0</v>
      </c>
      <c r="Y50" s="254"/>
      <c r="Z50" s="254"/>
      <c r="AA50" s="88">
        <f>+'12月'!AA50</f>
        <v>45748</v>
      </c>
      <c r="AB50" s="98">
        <f ca="1">+IFERROR(((MAX(0,超過勤務時間計+深夜残業時間計-60)*0.25+(超過勤務時間計+深夜残業時間計)*1.25))/(超過勤務時間計+深夜残業時間計),0)</f>
        <v>0</v>
      </c>
      <c r="AC50" s="2" t="s">
        <v>158</v>
      </c>
      <c r="AD50" s="2"/>
      <c r="AE50" s="231"/>
      <c r="AF50" s="231"/>
      <c r="AG50" s="60"/>
      <c r="AH50" s="61"/>
    </row>
    <row r="51" spans="1:34" ht="14.15" customHeight="1" thickTop="1" thickBot="1" x14ac:dyDescent="0.25">
      <c r="A51" s="232" t="s">
        <v>38</v>
      </c>
      <c r="B51" s="233"/>
      <c r="C51" s="234">
        <f>COUNTA(D17:D47)-W51-W52</f>
        <v>0</v>
      </c>
      <c r="D51" s="235"/>
      <c r="E51" s="236" t="s">
        <v>32</v>
      </c>
      <c r="F51" s="233"/>
      <c r="G51" s="237">
        <f>+COUNTIF($X17:$Z47,E51)</f>
        <v>0</v>
      </c>
      <c r="H51" s="238"/>
      <c r="I51" s="169" t="s">
        <v>111</v>
      </c>
      <c r="J51" s="170"/>
      <c r="K51" s="167">
        <f>+COUNTIF($X17:$Z47,I51)</f>
        <v>0</v>
      </c>
      <c r="L51" s="168"/>
      <c r="M51" s="169" t="s">
        <v>113</v>
      </c>
      <c r="N51" s="170"/>
      <c r="O51" s="167">
        <f>+COUNTIF($X17:$Z47,M51)</f>
        <v>0</v>
      </c>
      <c r="P51" s="168"/>
      <c r="Q51" s="169" t="s">
        <v>112</v>
      </c>
      <c r="R51" s="170"/>
      <c r="S51" s="167">
        <f>+COUNTIF($X17:$Z47,Q51)</f>
        <v>0</v>
      </c>
      <c r="T51" s="168"/>
      <c r="U51" s="169" t="s">
        <v>123</v>
      </c>
      <c r="V51" s="170"/>
      <c r="W51" s="171">
        <f>+K51+(O51+S51)/2</f>
        <v>0</v>
      </c>
      <c r="X51" s="172"/>
      <c r="Y51" s="208" t="s">
        <v>124</v>
      </c>
      <c r="Z51" s="209"/>
      <c r="AA51" s="63">
        <f>+AA52-W51-AA53</f>
        <v>35</v>
      </c>
      <c r="AB51" t="s">
        <v>174</v>
      </c>
    </row>
    <row r="52" spans="1:34" ht="14.15" customHeight="1" thickTop="1" thickBot="1" x14ac:dyDescent="0.25">
      <c r="A52" s="239" t="s">
        <v>153</v>
      </c>
      <c r="B52" s="239"/>
      <c r="C52" s="239"/>
      <c r="D52" s="239"/>
      <c r="E52" s="239"/>
      <c r="F52" s="240">
        <f>+'12月'!F52</f>
        <v>250000</v>
      </c>
      <c r="G52" s="240"/>
      <c r="H52" s="241"/>
      <c r="I52" s="169" t="s">
        <v>126</v>
      </c>
      <c r="J52" s="170"/>
      <c r="K52" s="167">
        <f>+COUNTIF($X17:$Z47,"*全*")-COUNTIF($X17:$Z47,"*欠勤(全*")-COUNTIF($X17:$Z47,"*振休(全*")-COUNTIF($X17:$Z47,"*代休(全*")-K51</f>
        <v>0</v>
      </c>
      <c r="L52" s="168"/>
      <c r="M52" s="169" t="s">
        <v>135</v>
      </c>
      <c r="N52" s="170"/>
      <c r="O52" s="167">
        <f>+COUNTIF($X17:$Z47,"*AM*")-COUNTIF($X17:$Z47,"*欠勤(A*")-COUNTIF($X17:$Z47,"*代休(A*")-O51</f>
        <v>0</v>
      </c>
      <c r="P52" s="168"/>
      <c r="Q52" s="169" t="s">
        <v>136</v>
      </c>
      <c r="R52" s="170"/>
      <c r="S52" s="167">
        <f>+COUNTIF($X17:$Z47,"*PM*")-COUNTIF($X17:$Z47,"*代休(P*")-S51</f>
        <v>0</v>
      </c>
      <c r="T52" s="168"/>
      <c r="U52" s="169" t="s">
        <v>127</v>
      </c>
      <c r="V52" s="170"/>
      <c r="W52" s="171">
        <f>+K52+(O52+S52)/2</f>
        <v>0</v>
      </c>
      <c r="X52" s="172"/>
      <c r="Y52" s="208" t="s">
        <v>125</v>
      </c>
      <c r="Z52" s="209"/>
      <c r="AA52" s="62">
        <f>+'12月'!AA51</f>
        <v>35</v>
      </c>
      <c r="AB52" t="s">
        <v>173</v>
      </c>
    </row>
    <row r="53" spans="1:34" ht="14.15" customHeight="1" thickTop="1" thickBot="1" x14ac:dyDescent="0.25">
      <c r="A53" s="224"/>
      <c r="B53" s="225"/>
      <c r="C53" s="226"/>
      <c r="D53" s="227" t="s">
        <v>21</v>
      </c>
      <c r="E53" s="228"/>
      <c r="F53" s="33"/>
      <c r="G53" s="228" t="s">
        <v>22</v>
      </c>
      <c r="H53" s="228"/>
      <c r="I53" s="34"/>
      <c r="J53" s="229"/>
      <c r="K53" s="225"/>
      <c r="L53" s="230"/>
      <c r="M53" s="27"/>
      <c r="N53" s="28"/>
      <c r="O53" s="32"/>
      <c r="P53" s="4"/>
      <c r="S53" s="4"/>
      <c r="Y53" s="208" t="s">
        <v>166</v>
      </c>
      <c r="Z53" s="209"/>
      <c r="AA53" s="63">
        <v>0</v>
      </c>
      <c r="AB53" t="s">
        <v>167</v>
      </c>
    </row>
    <row r="54" spans="1:34" ht="14.15" customHeight="1" thickTop="1" thickBot="1" x14ac:dyDescent="0.25">
      <c r="A54" s="217" t="s">
        <v>256</v>
      </c>
      <c r="B54" s="218"/>
      <c r="C54" s="218"/>
      <c r="D54" s="219" t="e">
        <f ca="1">ROUNDUP(IF(給与種別=0,時間・月額+手当１金額,IF(給与体系="時給制",(時間・月額+手当１金額/150),(時間・月額+手当１金額)/SUMIF(テーブル_勤務時間,給与体系,テーブル!C:C))),0)</f>
        <v>#DIV/0!</v>
      </c>
      <c r="E54" s="220"/>
      <c r="F54" s="99" t="s">
        <v>39</v>
      </c>
      <c r="G54" s="195">
        <f ca="1">+IF(給与種別=0,1,IF(給与体系&lt;&gt;"時給制",SUMIF(テーブル_勤務時間,給与体系,テーブル!K:K),通常時間計))</f>
        <v>0</v>
      </c>
      <c r="H54" s="195"/>
      <c r="I54" s="100" t="str">
        <f ca="1">IF(給与種別=2,"h","m")</f>
        <v>h</v>
      </c>
      <c r="J54" s="221">
        <f ca="1">IF(給与体系="時給制",基本給単価*基本給時間,SUMIF(テーブル!U2:U13,当月,テーブル!V2:V13))</f>
        <v>0</v>
      </c>
      <c r="K54" s="222"/>
      <c r="L54" s="223"/>
      <c r="M54" s="4"/>
      <c r="N54" s="202" t="s">
        <v>188</v>
      </c>
      <c r="O54" s="203"/>
      <c r="P54" s="203"/>
      <c r="Q54" s="204">
        <f>(合計_15分未満切捨て-(K51+K52)*7.5-(O51+O52)*3-(S51+S52)*4.5)</f>
        <v>0</v>
      </c>
      <c r="R54" s="205"/>
      <c r="S54" s="206"/>
      <c r="T54" s="207"/>
      <c r="U54" s="92" t="s">
        <v>197</v>
      </c>
      <c r="Y54" s="208" t="s">
        <v>203</v>
      </c>
      <c r="Z54" s="209"/>
      <c r="AA54" s="63">
        <f>+SUM('1月:4月'!W51:X51)</f>
        <v>0</v>
      </c>
      <c r="AB54" t="s">
        <v>204</v>
      </c>
    </row>
    <row r="55" spans="1:34" ht="14.15" customHeight="1" thickTop="1" thickBot="1" x14ac:dyDescent="0.25">
      <c r="A55" s="192" t="str">
        <f ca="1">+IF(給与体系="時給制","超過勤務","みなし給")</f>
        <v>みなし給</v>
      </c>
      <c r="B55" s="193"/>
      <c r="C55" s="194"/>
      <c r="D55" s="210" t="e">
        <f ca="1">IF(給与体系="140-160時間制",基本給単価/4,IF(時間外係数=0,基本給単価*1.25,ROUNDUP(IF(給与体系="時給制",(時間・月額+手当１金額/150)*時間外係数,(時間・月額+手当１金額)/SUMIF(テーブル_勤務時間,給与体系,テーブル!C:C)*SUMIF(テーブル_勤務時間,給与体系,テーブル!E:E)),0)))</f>
        <v>#DIV/0!</v>
      </c>
      <c r="E55" s="211"/>
      <c r="F55" s="99" t="s">
        <v>39</v>
      </c>
      <c r="G55" s="195">
        <f ca="1">+IF(給与体系="時給制",超過勤務時間計,SUMIF(テーブル_勤務時間,給与体系,テーブル_みなし時間))</f>
        <v>0</v>
      </c>
      <c r="H55" s="195"/>
      <c r="I55" s="100" t="s">
        <v>40</v>
      </c>
      <c r="J55" s="212">
        <f ca="1">IF(みなし給時間="","",IF(給与体系="時給制",みなし給単価*みなし給時間,SUMIF(テーブル!U2:U13,当月,テーブル!W2:W13)))</f>
        <v>0</v>
      </c>
      <c r="K55" s="213"/>
      <c r="L55" s="214"/>
      <c r="M55" s="4"/>
      <c r="N55" s="215" t="s">
        <v>189</v>
      </c>
      <c r="O55" s="216"/>
      <c r="P55" s="216"/>
      <c r="Q55" s="204">
        <f>+N48+R48*7.5</f>
        <v>0</v>
      </c>
      <c r="R55" s="205"/>
      <c r="S55" s="206"/>
      <c r="T55" s="207"/>
      <c r="U55" s="92" t="s">
        <v>201</v>
      </c>
      <c r="AA55" s="87" t="s">
        <v>192</v>
      </c>
    </row>
    <row r="56" spans="1:34" ht="14.15" customHeight="1" thickTop="1" thickBot="1" x14ac:dyDescent="0.25">
      <c r="A56" s="192" t="str">
        <f ca="1">+IF(給与体系="時給制","深夜残業","月額給")</f>
        <v>月額給</v>
      </c>
      <c r="B56" s="193"/>
      <c r="C56" s="194"/>
      <c r="D56" s="200" t="e">
        <f ca="1">IF(給与体系="時給制",ROUND(基本給単価*(1.5+MAX(0,時間外係数-1.25)),0),IF(給与体系="月給制","",VLOOKUP(給与体系,テーブル!B:F,5,0)))</f>
        <v>#N/A</v>
      </c>
      <c r="E56" s="201"/>
      <c r="F56" s="99" t="str">
        <f ca="1">+IF(給与体系="時給制","＊",IF(給与体系="月給制","","－"))</f>
        <v>－</v>
      </c>
      <c r="G56" s="195" t="e">
        <f ca="1">+IF(給与体系="時給制",深夜残業時間計,IF(給与体系="月給制","月額給",VLOOKUP(給与体系,テーブル!B:G,6,0)))</f>
        <v>#N/A</v>
      </c>
      <c r="H56" s="195"/>
      <c r="I56" s="100" t="str">
        <f ca="1">+IF(給与体系="時給制","h","制")</f>
        <v>制</v>
      </c>
      <c r="J56" s="179">
        <f ca="1">IF(給与体系="時給制",D56*G56,基本給+みなし給)</f>
        <v>0</v>
      </c>
      <c r="K56" s="180"/>
      <c r="L56" s="181"/>
      <c r="M56" s="4"/>
      <c r="N56" s="202" t="s">
        <v>190</v>
      </c>
      <c r="O56" s="203"/>
      <c r="P56" s="203"/>
      <c r="Q56" s="204">
        <f>+Q54-Q55</f>
        <v>0</v>
      </c>
      <c r="R56" s="205"/>
      <c r="S56" s="206"/>
      <c r="T56" s="207"/>
      <c r="U56" s="92" t="s">
        <v>199</v>
      </c>
      <c r="AA56" s="86">
        <f>IF(D62="テレワーク手当",J62/400,IF(D63="テレワーク手当",J63/400,IF(D64="テレワーク手当",J64/400,0)))</f>
        <v>0</v>
      </c>
      <c r="AB56" t="s">
        <v>193</v>
      </c>
    </row>
    <row r="57" spans="1:34" ht="14.15" customHeight="1" thickTop="1" thickBot="1" x14ac:dyDescent="0.25">
      <c r="A57" s="192" t="str">
        <f ca="1">+IF(給与体系="時給制","休日出勤","控除精算")</f>
        <v>控除精算</v>
      </c>
      <c r="B57" s="193"/>
      <c r="C57" s="194"/>
      <c r="D57" s="176" t="e">
        <f ca="1">ROUNDUP(IF(給与種別=0,0,IF(給与体系="時給制",(基本給単価)*1.35,(時間・月額)/SUMIF(テーブル_勤務時間,給与体系,テーブル!C:C))),0)</f>
        <v>#DIV/0!</v>
      </c>
      <c r="E57" s="177"/>
      <c r="F57" s="99" t="s">
        <v>39</v>
      </c>
      <c r="G57" s="195">
        <f ca="1">IF(給与体系="時給制",休日出勤時間計,IF(給与体系="月給制",-1*欠勤時間計,IF(給与体系="140-160時間制",MIN(0,時間合計-140),MIN(0,補正勤務時間合計-SUMIF(テーブル_勤務時間,給与体系,テーブル!H:H)))))</f>
        <v>0</v>
      </c>
      <c r="H57" s="195"/>
      <c r="I57" s="100" t="s">
        <v>40</v>
      </c>
      <c r="J57" s="179" t="e">
        <f ca="1">MAX(控除単価*控除時間,時間・月額*-1)</f>
        <v>#DIV/0!</v>
      </c>
      <c r="K57" s="180"/>
      <c r="L57" s="181"/>
      <c r="M57" s="4"/>
      <c r="N57" s="196" t="s">
        <v>134</v>
      </c>
      <c r="O57" s="197"/>
      <c r="P57" s="198">
        <f ca="1">_xlfn.XLOOKUP(当月,テーブル!U2:U13,テーブル!X2:X13,テーブル!$O$6,FALSE)</f>
        <v>0</v>
      </c>
      <c r="Q57" s="198"/>
      <c r="R57" s="198"/>
      <c r="S57" s="198"/>
      <c r="T57" s="198"/>
      <c r="U57" s="198"/>
      <c r="V57" s="198"/>
      <c r="W57" s="199"/>
    </row>
    <row r="58" spans="1:34" ht="14.15" customHeight="1" x14ac:dyDescent="0.2">
      <c r="A58" s="173" t="str">
        <f ca="1">+IF(給与体系="時給制","休日深夜","超過精算")</f>
        <v>超過精算</v>
      </c>
      <c r="B58" s="174"/>
      <c r="C58" s="175"/>
      <c r="D58" s="176" t="e">
        <f ca="1">ROUNDUP(IF(給与種別=0,((時間・月額+手当１金額)/150),IF(給与体系="時給制",(基本給単価)*1.6,(時間・月額)/SUMIF(テーブル_勤務時間,給与体系,テーブル!C:C))),0)</f>
        <v>#DIV/0!</v>
      </c>
      <c r="E58" s="177"/>
      <c r="F58" s="101" t="s">
        <v>39</v>
      </c>
      <c r="G58" s="178">
        <f ca="1">IF(給与体系="時給制",休日深夜時間計,IF(給与体系="140-160時間制",MAX(0,時間合計-160)*1.25+MAX(0,深夜残業時間計-80)*0.25,(IF(給与体系="管理監督者",(深夜残業時間計+休日深夜時間計)*0.25,MAX(0,補正勤務時間合計-SUMIF(テーブル_勤務時間,給与体系,テーブル!I:I))))))</f>
        <v>0</v>
      </c>
      <c r="H58" s="178"/>
      <c r="I58" s="102" t="s">
        <v>40</v>
      </c>
      <c r="J58" s="179" t="e">
        <f ca="1">超過単価*超過時間</f>
        <v>#DIV/0!</v>
      </c>
      <c r="K58" s="180"/>
      <c r="L58" s="181"/>
      <c r="M58" s="4"/>
      <c r="N58" s="182" t="s">
        <v>157</v>
      </c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94" t="s">
        <v>211</v>
      </c>
    </row>
    <row r="59" spans="1:34" ht="14.15" customHeight="1" thickBot="1" x14ac:dyDescent="0.25">
      <c r="A59" s="183" t="s">
        <v>227</v>
      </c>
      <c r="B59" s="184"/>
      <c r="C59" s="185"/>
      <c r="D59" s="186"/>
      <c r="E59" s="187"/>
      <c r="F59" s="83"/>
      <c r="G59" s="188" t="s">
        <v>255</v>
      </c>
      <c r="H59" s="188"/>
      <c r="I59" s="84"/>
      <c r="J59" s="189" t="str">
        <f>+IF(ISERROR(過不足調整単価*過不足調整時間),"",過不足調整単価*過不足調整時間)</f>
        <v/>
      </c>
      <c r="K59" s="190"/>
      <c r="L59" s="191"/>
      <c r="M59" s="4"/>
      <c r="N59" s="154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95">
        <f ca="1">+SUM(AB17:AB47)+G51*7.5+AB59</f>
        <v>142.5</v>
      </c>
    </row>
    <row r="60" spans="1:34" ht="14.15" customHeight="1" thickTop="1" x14ac:dyDescent="0.2">
      <c r="A60" s="145"/>
      <c r="B60" s="146"/>
      <c r="C60" s="147"/>
      <c r="D60" s="148" t="s">
        <v>148</v>
      </c>
      <c r="E60" s="149"/>
      <c r="F60" s="149"/>
      <c r="G60" s="149"/>
      <c r="H60" s="149"/>
      <c r="I60" s="150"/>
      <c r="J60" s="151" t="e">
        <f ca="1">IF(給与体系="時給制",SUM(基本給:L59),SUM(J56:L59))</f>
        <v>#DIV/0!</v>
      </c>
      <c r="K60" s="152"/>
      <c r="L60" s="153"/>
      <c r="M60" s="4"/>
      <c r="N60" s="154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6"/>
      <c r="AB60" t="s">
        <v>229</v>
      </c>
    </row>
    <row r="61" spans="1:34" ht="14.15" customHeight="1" x14ac:dyDescent="0.2">
      <c r="A61" s="157" t="s">
        <v>137</v>
      </c>
      <c r="B61" s="158" t="s">
        <v>182</v>
      </c>
      <c r="C61" s="159"/>
      <c r="D61" s="160">
        <f>'4月'!D61</f>
        <v>0</v>
      </c>
      <c r="E61" s="161"/>
      <c r="F61" s="161"/>
      <c r="G61" s="161"/>
      <c r="H61" s="161"/>
      <c r="I61" s="162"/>
      <c r="J61" s="126">
        <f>'4月'!手当１金額</f>
        <v>0</v>
      </c>
      <c r="K61" s="127"/>
      <c r="L61" s="128"/>
      <c r="M61" s="4"/>
      <c r="N61" s="115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7"/>
      <c r="AB61" t="s">
        <v>232</v>
      </c>
      <c r="AC61" t="s">
        <v>235</v>
      </c>
    </row>
    <row r="62" spans="1:34" ht="14.15" customHeight="1" x14ac:dyDescent="0.2">
      <c r="A62" s="157"/>
      <c r="B62" s="163" t="s">
        <v>183</v>
      </c>
      <c r="C62" s="120"/>
      <c r="D62" s="133"/>
      <c r="E62" s="134"/>
      <c r="F62" s="134"/>
      <c r="G62" s="134"/>
      <c r="H62" s="134"/>
      <c r="I62" s="135"/>
      <c r="J62" s="126"/>
      <c r="K62" s="127"/>
      <c r="L62" s="128"/>
      <c r="M62" s="4"/>
      <c r="N62" s="115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7"/>
      <c r="AB62" t="s">
        <v>239</v>
      </c>
      <c r="AC62" t="s">
        <v>236</v>
      </c>
    </row>
    <row r="63" spans="1:34" ht="14.15" customHeight="1" x14ac:dyDescent="0.2">
      <c r="A63" s="157"/>
      <c r="B63" s="164"/>
      <c r="C63" s="165"/>
      <c r="D63" s="133"/>
      <c r="E63" s="134"/>
      <c r="F63" s="134"/>
      <c r="G63" s="134"/>
      <c r="H63" s="134"/>
      <c r="I63" s="135"/>
      <c r="J63" s="126"/>
      <c r="K63" s="127"/>
      <c r="L63" s="128"/>
      <c r="M63" s="4"/>
      <c r="N63" s="115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7"/>
      <c r="AB63" t="s">
        <v>245</v>
      </c>
      <c r="AC63" t="s">
        <v>249</v>
      </c>
    </row>
    <row r="64" spans="1:34" ht="14.15" customHeight="1" x14ac:dyDescent="0.2">
      <c r="A64" s="157"/>
      <c r="B64" s="166"/>
      <c r="C64" s="123"/>
      <c r="D64" s="133"/>
      <c r="E64" s="134"/>
      <c r="F64" s="134"/>
      <c r="G64" s="134"/>
      <c r="H64" s="134"/>
      <c r="I64" s="135"/>
      <c r="J64" s="126"/>
      <c r="K64" s="127"/>
      <c r="L64" s="128"/>
      <c r="M64" s="4"/>
      <c r="N64" s="115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7"/>
      <c r="AB64" t="s">
        <v>247</v>
      </c>
      <c r="AC64" t="s">
        <v>237</v>
      </c>
    </row>
    <row r="65" spans="1:29" ht="14.15" customHeight="1" x14ac:dyDescent="0.2">
      <c r="A65" s="136" t="s">
        <v>28</v>
      </c>
      <c r="B65" s="137"/>
      <c r="C65" s="137"/>
      <c r="D65" s="137"/>
      <c r="E65" s="137"/>
      <c r="F65" s="137"/>
      <c r="G65" s="137"/>
      <c r="H65" s="137"/>
      <c r="I65" s="138"/>
      <c r="J65" s="139" t="e">
        <f ca="1">J60+SUM(J62:L64)</f>
        <v>#DIV/0!</v>
      </c>
      <c r="K65" s="140"/>
      <c r="L65" s="141"/>
      <c r="M65" s="4"/>
      <c r="N65" s="142" t="str">
        <f>+IF('4月'!J66=0," ※前月の通勤費がゼロのため通勤交通費が表示されない","")</f>
        <v xml:space="preserve"> ※前月の通勤費がゼロのため通勤交通費が表示されない</v>
      </c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4"/>
    </row>
    <row r="66" spans="1:29" ht="14.15" customHeight="1" x14ac:dyDescent="0.2">
      <c r="A66" s="132" t="s">
        <v>169</v>
      </c>
      <c r="B66" s="124"/>
      <c r="C66" s="124"/>
      <c r="D66" s="124"/>
      <c r="E66" s="124"/>
      <c r="F66" s="124"/>
      <c r="G66" s="124"/>
      <c r="H66" s="124"/>
      <c r="I66" s="125"/>
      <c r="J66" s="126">
        <f>+'12月'!$J$66</f>
        <v>0</v>
      </c>
      <c r="K66" s="127"/>
      <c r="L66" s="128"/>
      <c r="M66" s="4"/>
      <c r="N66" s="115" t="str">
        <f>+IF(C51=0," ※出勤がないため通勤交通費の支給は無し","")</f>
        <v xml:space="preserve"> ※出勤がないため通勤交通費の支給は無し</v>
      </c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7"/>
      <c r="AB66" t="s">
        <v>246</v>
      </c>
      <c r="AC66" t="s">
        <v>253</v>
      </c>
    </row>
    <row r="67" spans="1:29" ht="14.15" customHeight="1" x14ac:dyDescent="0.2">
      <c r="A67" s="132" t="s">
        <v>141</v>
      </c>
      <c r="B67" s="124"/>
      <c r="C67" s="125"/>
      <c r="D67" s="124" t="s">
        <v>138</v>
      </c>
      <c r="E67" s="124"/>
      <c r="F67" s="124"/>
      <c r="G67" s="124"/>
      <c r="H67" s="124"/>
      <c r="I67" s="125"/>
      <c r="J67" s="126">
        <v>0</v>
      </c>
      <c r="K67" s="127"/>
      <c r="L67" s="128"/>
      <c r="N67" s="115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7"/>
      <c r="AB67" t="s">
        <v>248</v>
      </c>
      <c r="AC67" t="s">
        <v>254</v>
      </c>
    </row>
    <row r="68" spans="1:29" ht="14.15" customHeight="1" x14ac:dyDescent="0.2">
      <c r="A68" s="118" t="s">
        <v>140</v>
      </c>
      <c r="B68" s="119"/>
      <c r="C68" s="120"/>
      <c r="D68" s="124" t="s">
        <v>138</v>
      </c>
      <c r="E68" s="124"/>
      <c r="F68" s="124"/>
      <c r="G68" s="124"/>
      <c r="H68" s="124"/>
      <c r="I68" s="125"/>
      <c r="J68" s="126">
        <v>0</v>
      </c>
      <c r="K68" s="127"/>
      <c r="L68" s="128"/>
      <c r="N68" s="115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7"/>
    </row>
    <row r="69" spans="1:29" ht="13.5" customHeight="1" x14ac:dyDescent="0.2">
      <c r="A69" s="121"/>
      <c r="B69" s="122"/>
      <c r="C69" s="123"/>
      <c r="D69" s="124" t="s">
        <v>139</v>
      </c>
      <c r="E69" s="124"/>
      <c r="F69" s="124"/>
      <c r="G69" s="124"/>
      <c r="H69" s="124"/>
      <c r="I69" s="125"/>
      <c r="J69" s="129"/>
      <c r="K69" s="130"/>
      <c r="L69" s="131"/>
      <c r="N69" s="115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7"/>
      <c r="AB69" t="s">
        <v>240</v>
      </c>
      <c r="AC69" t="s">
        <v>233</v>
      </c>
    </row>
    <row r="70" spans="1:29" ht="14.15" customHeight="1" thickBot="1" x14ac:dyDescent="0.25">
      <c r="A70" s="109" t="s">
        <v>31</v>
      </c>
      <c r="B70" s="110"/>
      <c r="C70" s="110"/>
      <c r="D70" s="110"/>
      <c r="E70" s="110"/>
      <c r="F70" s="110"/>
      <c r="G70" s="110"/>
      <c r="H70" s="110"/>
      <c r="I70" s="111"/>
      <c r="J70" s="112" t="e">
        <f ca="1">SUM(J65:L69)</f>
        <v>#DIV/0!</v>
      </c>
      <c r="K70" s="113"/>
      <c r="L70" s="114"/>
      <c r="N70" s="115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7"/>
      <c r="AB70" t="s">
        <v>242</v>
      </c>
      <c r="AC70" t="s">
        <v>241</v>
      </c>
    </row>
    <row r="71" spans="1:29" ht="13.5" thickTop="1" x14ac:dyDescent="0.2">
      <c r="T71">
        <v>0</v>
      </c>
      <c r="AB71" t="s">
        <v>230</v>
      </c>
      <c r="AC71" t="s">
        <v>231</v>
      </c>
    </row>
    <row r="73" spans="1:29" x14ac:dyDescent="0.2">
      <c r="AB73" t="s">
        <v>228</v>
      </c>
    </row>
    <row r="74" spans="1:29" x14ac:dyDescent="0.2">
      <c r="AB74" t="s">
        <v>232</v>
      </c>
      <c r="AC74" t="s">
        <v>234</v>
      </c>
    </row>
    <row r="75" spans="1:29" x14ac:dyDescent="0.2">
      <c r="AB75" t="s">
        <v>239</v>
      </c>
      <c r="AC75" t="s">
        <v>238</v>
      </c>
    </row>
    <row r="76" spans="1:29" x14ac:dyDescent="0.2">
      <c r="AB76" t="s">
        <v>245</v>
      </c>
      <c r="AC76" t="s">
        <v>250</v>
      </c>
    </row>
    <row r="79" spans="1:29" x14ac:dyDescent="0.2">
      <c r="AB79" t="s">
        <v>246</v>
      </c>
      <c r="AC79" t="s">
        <v>251</v>
      </c>
    </row>
    <row r="80" spans="1:29" x14ac:dyDescent="0.2">
      <c r="AB80" t="s">
        <v>248</v>
      </c>
      <c r="AC80" t="s">
        <v>252</v>
      </c>
    </row>
    <row r="82" spans="28:29" x14ac:dyDescent="0.2">
      <c r="AB82" t="s">
        <v>240</v>
      </c>
      <c r="AC82" t="s">
        <v>243</v>
      </c>
    </row>
    <row r="83" spans="28:29" x14ac:dyDescent="0.2">
      <c r="AB83" t="s">
        <v>242</v>
      </c>
      <c r="AC83" t="s">
        <v>244</v>
      </c>
    </row>
  </sheetData>
  <dataConsolidate/>
  <mergeCells count="534">
    <mergeCell ref="T9:Z9"/>
    <mergeCell ref="A10:B11"/>
    <mergeCell ref="C10:J11"/>
    <mergeCell ref="T10:Z10"/>
    <mergeCell ref="Y2:Z2"/>
    <mergeCell ref="A3:Z4"/>
    <mergeCell ref="A5:D5"/>
    <mergeCell ref="E5:I6"/>
    <mergeCell ref="A6:D6"/>
    <mergeCell ref="P7:Z7"/>
    <mergeCell ref="N7:O7"/>
    <mergeCell ref="A12:B13"/>
    <mergeCell ref="C12:J13"/>
    <mergeCell ref="A15:B16"/>
    <mergeCell ref="C15:C16"/>
    <mergeCell ref="D15:G15"/>
    <mergeCell ref="H15:I16"/>
    <mergeCell ref="J15:K16"/>
    <mergeCell ref="A8:B9"/>
    <mergeCell ref="C8:J9"/>
    <mergeCell ref="A17:B17"/>
    <mergeCell ref="D17:E17"/>
    <mergeCell ref="F17:G17"/>
    <mergeCell ref="H17:I17"/>
    <mergeCell ref="J17:K17"/>
    <mergeCell ref="L17:M17"/>
    <mergeCell ref="L15:M16"/>
    <mergeCell ref="N15:O16"/>
    <mergeCell ref="P15:Q16"/>
    <mergeCell ref="N17:O17"/>
    <mergeCell ref="P17:Q17"/>
    <mergeCell ref="R17:S17"/>
    <mergeCell ref="T17:U17"/>
    <mergeCell ref="V17:W17"/>
    <mergeCell ref="X17:Z17"/>
    <mergeCell ref="X15:Z16"/>
    <mergeCell ref="AA15:AA16"/>
    <mergeCell ref="D16:E16"/>
    <mergeCell ref="F16:G16"/>
    <mergeCell ref="R15:S16"/>
    <mergeCell ref="T15:U16"/>
    <mergeCell ref="V15:W16"/>
    <mergeCell ref="N18:O18"/>
    <mergeCell ref="P18:Q18"/>
    <mergeCell ref="R18:S18"/>
    <mergeCell ref="T18:U18"/>
    <mergeCell ref="V18:W18"/>
    <mergeCell ref="X18:Z18"/>
    <mergeCell ref="A18:B18"/>
    <mergeCell ref="D18:E18"/>
    <mergeCell ref="F18:G18"/>
    <mergeCell ref="H18:I18"/>
    <mergeCell ref="J18:K18"/>
    <mergeCell ref="L18:M18"/>
    <mergeCell ref="N19:O19"/>
    <mergeCell ref="P19:Q19"/>
    <mergeCell ref="R19:S19"/>
    <mergeCell ref="T19:U19"/>
    <mergeCell ref="V19:W19"/>
    <mergeCell ref="X19:Z19"/>
    <mergeCell ref="A19:B19"/>
    <mergeCell ref="D19:E19"/>
    <mergeCell ref="F19:G19"/>
    <mergeCell ref="H19:I19"/>
    <mergeCell ref="J19:K19"/>
    <mergeCell ref="L19:M19"/>
    <mergeCell ref="N20:O20"/>
    <mergeCell ref="P20:Q20"/>
    <mergeCell ref="R20:S20"/>
    <mergeCell ref="T20:U20"/>
    <mergeCell ref="V20:W20"/>
    <mergeCell ref="X20:Z20"/>
    <mergeCell ref="A20:B20"/>
    <mergeCell ref="D20:E20"/>
    <mergeCell ref="F20:G20"/>
    <mergeCell ref="H20:I20"/>
    <mergeCell ref="J20:K20"/>
    <mergeCell ref="L20:M20"/>
    <mergeCell ref="N21:O21"/>
    <mergeCell ref="P21:Q21"/>
    <mergeCell ref="R21:S21"/>
    <mergeCell ref="T21:U21"/>
    <mergeCell ref="V21:W21"/>
    <mergeCell ref="X21:Z21"/>
    <mergeCell ref="A21:B21"/>
    <mergeCell ref="D21:E21"/>
    <mergeCell ref="F21:G21"/>
    <mergeCell ref="H21:I21"/>
    <mergeCell ref="J21:K21"/>
    <mergeCell ref="L21:M21"/>
    <mergeCell ref="N22:O22"/>
    <mergeCell ref="P22:Q22"/>
    <mergeCell ref="R22:S22"/>
    <mergeCell ref="T22:U22"/>
    <mergeCell ref="V22:W22"/>
    <mergeCell ref="X22:Z22"/>
    <mergeCell ref="A22:B22"/>
    <mergeCell ref="D22:E22"/>
    <mergeCell ref="F22:G22"/>
    <mergeCell ref="H22:I22"/>
    <mergeCell ref="J22:K22"/>
    <mergeCell ref="L22:M22"/>
    <mergeCell ref="N23:O23"/>
    <mergeCell ref="P23:Q23"/>
    <mergeCell ref="R23:S23"/>
    <mergeCell ref="T23:U23"/>
    <mergeCell ref="V23:W23"/>
    <mergeCell ref="X23:Z23"/>
    <mergeCell ref="A23:B23"/>
    <mergeCell ref="D23:E23"/>
    <mergeCell ref="F23:G23"/>
    <mergeCell ref="H23:I23"/>
    <mergeCell ref="J23:K23"/>
    <mergeCell ref="L23:M23"/>
    <mergeCell ref="N24:O24"/>
    <mergeCell ref="P24:Q24"/>
    <mergeCell ref="R24:S24"/>
    <mergeCell ref="T24:U24"/>
    <mergeCell ref="V24:W24"/>
    <mergeCell ref="X24:Z24"/>
    <mergeCell ref="A24:B24"/>
    <mergeCell ref="D24:E24"/>
    <mergeCell ref="F24:G24"/>
    <mergeCell ref="H24:I24"/>
    <mergeCell ref="J24:K24"/>
    <mergeCell ref="L24:M24"/>
    <mergeCell ref="N25:O25"/>
    <mergeCell ref="P25:Q25"/>
    <mergeCell ref="R25:S25"/>
    <mergeCell ref="T25:U25"/>
    <mergeCell ref="V25:W25"/>
    <mergeCell ref="X25:Z25"/>
    <mergeCell ref="A25:B25"/>
    <mergeCell ref="D25:E25"/>
    <mergeCell ref="F25:G25"/>
    <mergeCell ref="H25:I25"/>
    <mergeCell ref="J25:K25"/>
    <mergeCell ref="L25:M25"/>
    <mergeCell ref="N26:O26"/>
    <mergeCell ref="P26:Q26"/>
    <mergeCell ref="R26:S26"/>
    <mergeCell ref="T26:U26"/>
    <mergeCell ref="V26:W26"/>
    <mergeCell ref="X26:Z26"/>
    <mergeCell ref="A26:B26"/>
    <mergeCell ref="D26:E26"/>
    <mergeCell ref="F26:G26"/>
    <mergeCell ref="H26:I26"/>
    <mergeCell ref="J26:K26"/>
    <mergeCell ref="L26:M26"/>
    <mergeCell ref="N27:O27"/>
    <mergeCell ref="P27:Q27"/>
    <mergeCell ref="R27:S27"/>
    <mergeCell ref="T27:U27"/>
    <mergeCell ref="V27:W27"/>
    <mergeCell ref="X27:Z27"/>
    <mergeCell ref="A27:B27"/>
    <mergeCell ref="D27:E27"/>
    <mergeCell ref="F27:G27"/>
    <mergeCell ref="H27:I27"/>
    <mergeCell ref="J27:K27"/>
    <mergeCell ref="L27:M27"/>
    <mergeCell ref="N28:O28"/>
    <mergeCell ref="P28:Q28"/>
    <mergeCell ref="R28:S28"/>
    <mergeCell ref="T28:U28"/>
    <mergeCell ref="V28:W28"/>
    <mergeCell ref="X28:Z28"/>
    <mergeCell ref="A28:B28"/>
    <mergeCell ref="D28:E28"/>
    <mergeCell ref="F28:G28"/>
    <mergeCell ref="H28:I28"/>
    <mergeCell ref="J28:K28"/>
    <mergeCell ref="L28:M28"/>
    <mergeCell ref="N29:O29"/>
    <mergeCell ref="P29:Q29"/>
    <mergeCell ref="R29:S29"/>
    <mergeCell ref="T29:U29"/>
    <mergeCell ref="V29:W29"/>
    <mergeCell ref="X29:Z29"/>
    <mergeCell ref="A29:B29"/>
    <mergeCell ref="D29:E29"/>
    <mergeCell ref="F29:G29"/>
    <mergeCell ref="H29:I29"/>
    <mergeCell ref="J29:K29"/>
    <mergeCell ref="L29:M29"/>
    <mergeCell ref="N30:O30"/>
    <mergeCell ref="P30:Q30"/>
    <mergeCell ref="R30:S30"/>
    <mergeCell ref="T30:U30"/>
    <mergeCell ref="V30:W30"/>
    <mergeCell ref="X30:Z30"/>
    <mergeCell ref="A30:B30"/>
    <mergeCell ref="D30:E30"/>
    <mergeCell ref="F30:G30"/>
    <mergeCell ref="H30:I30"/>
    <mergeCell ref="J30:K30"/>
    <mergeCell ref="L30:M30"/>
    <mergeCell ref="N31:O31"/>
    <mergeCell ref="P31:Q31"/>
    <mergeCell ref="R31:S31"/>
    <mergeCell ref="T31:U31"/>
    <mergeCell ref="V31:W31"/>
    <mergeCell ref="X31:Z31"/>
    <mergeCell ref="A31:B31"/>
    <mergeCell ref="D31:E31"/>
    <mergeCell ref="F31:G31"/>
    <mergeCell ref="H31:I31"/>
    <mergeCell ref="J31:K31"/>
    <mergeCell ref="L31:M31"/>
    <mergeCell ref="N32:O32"/>
    <mergeCell ref="P32:Q32"/>
    <mergeCell ref="R32:S32"/>
    <mergeCell ref="T32:U32"/>
    <mergeCell ref="V32:W32"/>
    <mergeCell ref="X32:Z32"/>
    <mergeCell ref="A32:B32"/>
    <mergeCell ref="D32:E32"/>
    <mergeCell ref="F32:G32"/>
    <mergeCell ref="H32:I32"/>
    <mergeCell ref="J32:K32"/>
    <mergeCell ref="L32:M32"/>
    <mergeCell ref="N33:O33"/>
    <mergeCell ref="P33:Q33"/>
    <mergeCell ref="R33:S33"/>
    <mergeCell ref="T33:U33"/>
    <mergeCell ref="V33:W33"/>
    <mergeCell ref="X33:Z33"/>
    <mergeCell ref="A33:B33"/>
    <mergeCell ref="D33:E33"/>
    <mergeCell ref="F33:G33"/>
    <mergeCell ref="H33:I33"/>
    <mergeCell ref="J33:K33"/>
    <mergeCell ref="L33:M33"/>
    <mergeCell ref="N34:O34"/>
    <mergeCell ref="P34:Q34"/>
    <mergeCell ref="R34:S34"/>
    <mergeCell ref="T34:U34"/>
    <mergeCell ref="V34:W34"/>
    <mergeCell ref="X34:Z34"/>
    <mergeCell ref="A34:B34"/>
    <mergeCell ref="D34:E34"/>
    <mergeCell ref="F34:G34"/>
    <mergeCell ref="H34:I34"/>
    <mergeCell ref="J34:K34"/>
    <mergeCell ref="L34:M34"/>
    <mergeCell ref="N35:O35"/>
    <mergeCell ref="P35:Q35"/>
    <mergeCell ref="R35:S35"/>
    <mergeCell ref="T35:U35"/>
    <mergeCell ref="V35:W35"/>
    <mergeCell ref="X35:Z35"/>
    <mergeCell ref="A35:B35"/>
    <mergeCell ref="D35:E35"/>
    <mergeCell ref="F35:G35"/>
    <mergeCell ref="H35:I35"/>
    <mergeCell ref="J35:K35"/>
    <mergeCell ref="L35:M35"/>
    <mergeCell ref="N36:O36"/>
    <mergeCell ref="P36:Q36"/>
    <mergeCell ref="R36:S36"/>
    <mergeCell ref="T36:U36"/>
    <mergeCell ref="V36:W36"/>
    <mergeCell ref="X36:Z36"/>
    <mergeCell ref="A36:B36"/>
    <mergeCell ref="D36:E36"/>
    <mergeCell ref="F36:G36"/>
    <mergeCell ref="H36:I36"/>
    <mergeCell ref="J36:K36"/>
    <mergeCell ref="L36:M36"/>
    <mergeCell ref="N37:O37"/>
    <mergeCell ref="P37:Q37"/>
    <mergeCell ref="R37:S37"/>
    <mergeCell ref="T37:U37"/>
    <mergeCell ref="V37:W37"/>
    <mergeCell ref="X37:Z37"/>
    <mergeCell ref="A37:B37"/>
    <mergeCell ref="D37:E37"/>
    <mergeCell ref="F37:G37"/>
    <mergeCell ref="H37:I37"/>
    <mergeCell ref="J37:K37"/>
    <mergeCell ref="L37:M37"/>
    <mergeCell ref="N38:O38"/>
    <mergeCell ref="P38:Q38"/>
    <mergeCell ref="R38:S38"/>
    <mergeCell ref="T38:U38"/>
    <mergeCell ref="V38:W38"/>
    <mergeCell ref="X38:Z38"/>
    <mergeCell ref="A38:B38"/>
    <mergeCell ref="D38:E38"/>
    <mergeCell ref="F38:G38"/>
    <mergeCell ref="H38:I38"/>
    <mergeCell ref="J38:K38"/>
    <mergeCell ref="L38:M38"/>
    <mergeCell ref="N39:O39"/>
    <mergeCell ref="P39:Q39"/>
    <mergeCell ref="R39:S39"/>
    <mergeCell ref="T39:U39"/>
    <mergeCell ref="V39:W39"/>
    <mergeCell ref="X39:Z39"/>
    <mergeCell ref="A39:B39"/>
    <mergeCell ref="D39:E39"/>
    <mergeCell ref="F39:G39"/>
    <mergeCell ref="H39:I39"/>
    <mergeCell ref="J39:K39"/>
    <mergeCell ref="L39:M39"/>
    <mergeCell ref="N40:O40"/>
    <mergeCell ref="P40:Q40"/>
    <mergeCell ref="R40:S40"/>
    <mergeCell ref="T40:U40"/>
    <mergeCell ref="V40:W40"/>
    <mergeCell ref="X40:Z40"/>
    <mergeCell ref="A40:B40"/>
    <mergeCell ref="D40:E40"/>
    <mergeCell ref="F40:G40"/>
    <mergeCell ref="H40:I40"/>
    <mergeCell ref="J40:K40"/>
    <mergeCell ref="L40:M40"/>
    <mergeCell ref="N41:O41"/>
    <mergeCell ref="P41:Q41"/>
    <mergeCell ref="R41:S41"/>
    <mergeCell ref="T41:U41"/>
    <mergeCell ref="V41:W41"/>
    <mergeCell ref="X41:Z41"/>
    <mergeCell ref="A41:B41"/>
    <mergeCell ref="D41:E41"/>
    <mergeCell ref="F41:G41"/>
    <mergeCell ref="H41:I41"/>
    <mergeCell ref="J41:K41"/>
    <mergeCell ref="L41:M41"/>
    <mergeCell ref="N42:O42"/>
    <mergeCell ref="P42:Q42"/>
    <mergeCell ref="R42:S42"/>
    <mergeCell ref="T42:U42"/>
    <mergeCell ref="V42:W42"/>
    <mergeCell ref="X42:Z42"/>
    <mergeCell ref="A42:B42"/>
    <mergeCell ref="D42:E42"/>
    <mergeCell ref="F42:G42"/>
    <mergeCell ref="H42:I42"/>
    <mergeCell ref="J42:K42"/>
    <mergeCell ref="L42:M42"/>
    <mergeCell ref="N43:O43"/>
    <mergeCell ref="P43:Q43"/>
    <mergeCell ref="R43:S43"/>
    <mergeCell ref="T43:U43"/>
    <mergeCell ref="V43:W43"/>
    <mergeCell ref="X43:Z43"/>
    <mergeCell ref="A43:B43"/>
    <mergeCell ref="D43:E43"/>
    <mergeCell ref="F43:G43"/>
    <mergeCell ref="H43:I43"/>
    <mergeCell ref="J43:K43"/>
    <mergeCell ref="L43:M43"/>
    <mergeCell ref="N44:O44"/>
    <mergeCell ref="P44:Q44"/>
    <mergeCell ref="R44:S44"/>
    <mergeCell ref="T44:U44"/>
    <mergeCell ref="V44:W44"/>
    <mergeCell ref="X44:Z44"/>
    <mergeCell ref="A44:B44"/>
    <mergeCell ref="D44:E44"/>
    <mergeCell ref="F44:G44"/>
    <mergeCell ref="H44:I44"/>
    <mergeCell ref="J44:K44"/>
    <mergeCell ref="L44:M44"/>
    <mergeCell ref="N45:O45"/>
    <mergeCell ref="P45:Q45"/>
    <mergeCell ref="R45:S45"/>
    <mergeCell ref="T45:U45"/>
    <mergeCell ref="V45:W45"/>
    <mergeCell ref="X45:Z45"/>
    <mergeCell ref="A45:B45"/>
    <mergeCell ref="D45:E45"/>
    <mergeCell ref="F45:G45"/>
    <mergeCell ref="H45:I45"/>
    <mergeCell ref="J45:K45"/>
    <mergeCell ref="L45:M45"/>
    <mergeCell ref="N46:O46"/>
    <mergeCell ref="P46:Q46"/>
    <mergeCell ref="R46:S46"/>
    <mergeCell ref="T46:U46"/>
    <mergeCell ref="V46:W46"/>
    <mergeCell ref="X46:Z46"/>
    <mergeCell ref="A46:B46"/>
    <mergeCell ref="D46:E46"/>
    <mergeCell ref="F46:G46"/>
    <mergeCell ref="H46:I46"/>
    <mergeCell ref="J46:K46"/>
    <mergeCell ref="L46:M46"/>
    <mergeCell ref="N47:O47"/>
    <mergeCell ref="P47:Q47"/>
    <mergeCell ref="R47:S47"/>
    <mergeCell ref="T47:U47"/>
    <mergeCell ref="V47:W47"/>
    <mergeCell ref="X47:Z47"/>
    <mergeCell ref="A47:B47"/>
    <mergeCell ref="D47:E47"/>
    <mergeCell ref="F47:G47"/>
    <mergeCell ref="H47:I47"/>
    <mergeCell ref="J47:K47"/>
    <mergeCell ref="L47:M47"/>
    <mergeCell ref="N48:O48"/>
    <mergeCell ref="P48:Q48"/>
    <mergeCell ref="R48:S48"/>
    <mergeCell ref="T48:U48"/>
    <mergeCell ref="V48:W48"/>
    <mergeCell ref="X48:Z48"/>
    <mergeCell ref="A48:B48"/>
    <mergeCell ref="D48:E48"/>
    <mergeCell ref="F48:G48"/>
    <mergeCell ref="H48:I48"/>
    <mergeCell ref="J48:K48"/>
    <mergeCell ref="L48:M48"/>
    <mergeCell ref="Y52:Z52"/>
    <mergeCell ref="A52:E52"/>
    <mergeCell ref="F52:H52"/>
    <mergeCell ref="I52:J52"/>
    <mergeCell ref="V49:W49"/>
    <mergeCell ref="X49:Z49"/>
    <mergeCell ref="A50:K50"/>
    <mergeCell ref="L50:M50"/>
    <mergeCell ref="N50:O50"/>
    <mergeCell ref="P50:Q50"/>
    <mergeCell ref="R50:S50"/>
    <mergeCell ref="T50:U50"/>
    <mergeCell ref="V50:W50"/>
    <mergeCell ref="X50:Z50"/>
    <mergeCell ref="A49:K49"/>
    <mergeCell ref="L49:M49"/>
    <mergeCell ref="N49:O49"/>
    <mergeCell ref="P49:Q49"/>
    <mergeCell ref="R49:S49"/>
    <mergeCell ref="T49:U49"/>
    <mergeCell ref="K52:L52"/>
    <mergeCell ref="M52:N52"/>
    <mergeCell ref="O52:P52"/>
    <mergeCell ref="Q52:R52"/>
    <mergeCell ref="AE50:AF50"/>
    <mergeCell ref="A51:B51"/>
    <mergeCell ref="C51:D51"/>
    <mergeCell ref="E51:F51"/>
    <mergeCell ref="G51:H51"/>
    <mergeCell ref="I51:J51"/>
    <mergeCell ref="K51:L51"/>
    <mergeCell ref="M51:N51"/>
    <mergeCell ref="O51:P51"/>
    <mergeCell ref="Q51:R51"/>
    <mergeCell ref="S51:T51"/>
    <mergeCell ref="U51:V51"/>
    <mergeCell ref="W51:X51"/>
    <mergeCell ref="Y51:Z51"/>
    <mergeCell ref="Q56:T56"/>
    <mergeCell ref="Y53:Z53"/>
    <mergeCell ref="Y54:Z54"/>
    <mergeCell ref="A55:C55"/>
    <mergeCell ref="D55:E55"/>
    <mergeCell ref="G55:H55"/>
    <mergeCell ref="J55:L55"/>
    <mergeCell ref="N55:P55"/>
    <mergeCell ref="Q55:T55"/>
    <mergeCell ref="A54:C54"/>
    <mergeCell ref="D54:E54"/>
    <mergeCell ref="G54:H54"/>
    <mergeCell ref="J54:L54"/>
    <mergeCell ref="N54:P54"/>
    <mergeCell ref="Q54:T54"/>
    <mergeCell ref="A53:C53"/>
    <mergeCell ref="D53:E53"/>
    <mergeCell ref="G53:H53"/>
    <mergeCell ref="J53:L53"/>
    <mergeCell ref="S52:T52"/>
    <mergeCell ref="U52:V52"/>
    <mergeCell ref="W52:X52"/>
    <mergeCell ref="A58:C58"/>
    <mergeCell ref="D58:E58"/>
    <mergeCell ref="G58:H58"/>
    <mergeCell ref="J58:L58"/>
    <mergeCell ref="N58:Z58"/>
    <mergeCell ref="A59:C59"/>
    <mergeCell ref="D59:E59"/>
    <mergeCell ref="G59:H59"/>
    <mergeCell ref="J59:L59"/>
    <mergeCell ref="N59:Z59"/>
    <mergeCell ref="A57:C57"/>
    <mergeCell ref="D57:E57"/>
    <mergeCell ref="G57:H57"/>
    <mergeCell ref="J57:L57"/>
    <mergeCell ref="N57:O57"/>
    <mergeCell ref="P57:W57"/>
    <mergeCell ref="A56:C56"/>
    <mergeCell ref="D56:E56"/>
    <mergeCell ref="G56:H56"/>
    <mergeCell ref="J56:L56"/>
    <mergeCell ref="N56:P56"/>
    <mergeCell ref="D62:I62"/>
    <mergeCell ref="J62:L62"/>
    <mergeCell ref="N62:Z62"/>
    <mergeCell ref="D63:I63"/>
    <mergeCell ref="J63:L63"/>
    <mergeCell ref="N63:Z63"/>
    <mergeCell ref="A60:C60"/>
    <mergeCell ref="D60:I60"/>
    <mergeCell ref="J60:L60"/>
    <mergeCell ref="N60:Z60"/>
    <mergeCell ref="A61:A64"/>
    <mergeCell ref="B61:C61"/>
    <mergeCell ref="D61:I61"/>
    <mergeCell ref="J61:L61"/>
    <mergeCell ref="N61:Z61"/>
    <mergeCell ref="B62:C64"/>
    <mergeCell ref="A66:I66"/>
    <mergeCell ref="J66:L66"/>
    <mergeCell ref="N66:Z66"/>
    <mergeCell ref="A67:C67"/>
    <mergeCell ref="D67:I67"/>
    <mergeCell ref="J67:L67"/>
    <mergeCell ref="N67:Z67"/>
    <mergeCell ref="D64:I64"/>
    <mergeCell ref="J64:L64"/>
    <mergeCell ref="N64:Z64"/>
    <mergeCell ref="A65:I65"/>
    <mergeCell ref="J65:L65"/>
    <mergeCell ref="N65:Z65"/>
    <mergeCell ref="A70:I70"/>
    <mergeCell ref="J70:L70"/>
    <mergeCell ref="N70:Z70"/>
    <mergeCell ref="A68:C69"/>
    <mergeCell ref="D68:I68"/>
    <mergeCell ref="J68:L68"/>
    <mergeCell ref="N68:Z68"/>
    <mergeCell ref="D69:I69"/>
    <mergeCell ref="J69:L69"/>
    <mergeCell ref="N69:Z69"/>
  </mergeCells>
  <phoneticPr fontId="3"/>
  <conditionalFormatting sqref="A17:AA47">
    <cfRule type="expression" dxfId="3137" priority="314" stopIfTrue="1">
      <formula>$X17="所休"</formula>
    </cfRule>
    <cfRule type="expression" dxfId="3136" priority="313">
      <formula>$X17="法休"</formula>
    </cfRule>
  </conditionalFormatting>
  <conditionalFormatting sqref="J17:K17">
    <cfRule type="cellIs" dxfId="3135" priority="312" stopIfTrue="1" operator="equal">
      <formula>0</formula>
    </cfRule>
  </conditionalFormatting>
  <conditionalFormatting sqref="L17:M17">
    <cfRule type="cellIs" dxfId="3134" priority="311" stopIfTrue="1" operator="equal">
      <formula>0</formula>
    </cfRule>
  </conditionalFormatting>
  <conditionalFormatting sqref="N17:O17">
    <cfRule type="cellIs" dxfId="3133" priority="310" stopIfTrue="1" operator="equal">
      <formula>0</formula>
    </cfRule>
  </conditionalFormatting>
  <conditionalFormatting sqref="P17:Q17">
    <cfRule type="cellIs" dxfId="3132" priority="309" stopIfTrue="1" operator="equal">
      <formula>0</formula>
    </cfRule>
  </conditionalFormatting>
  <conditionalFormatting sqref="R17:S17">
    <cfRule type="cellIs" dxfId="3131" priority="308" stopIfTrue="1" operator="equal">
      <formula>0</formula>
    </cfRule>
  </conditionalFormatting>
  <conditionalFormatting sqref="T17:U17">
    <cfRule type="cellIs" dxfId="3130" priority="307" stopIfTrue="1" operator="equal">
      <formula>0</formula>
    </cfRule>
  </conditionalFormatting>
  <conditionalFormatting sqref="V17:W17">
    <cfRule type="cellIs" dxfId="3129" priority="306" stopIfTrue="1" operator="equal">
      <formula>0</formula>
    </cfRule>
  </conditionalFormatting>
  <conditionalFormatting sqref="J18:K18">
    <cfRule type="cellIs" dxfId="3128" priority="305" stopIfTrue="1" operator="equal">
      <formula>0</formula>
    </cfRule>
  </conditionalFormatting>
  <conditionalFormatting sqref="L18:M18">
    <cfRule type="cellIs" dxfId="3127" priority="304" stopIfTrue="1" operator="equal">
      <formula>0</formula>
    </cfRule>
  </conditionalFormatting>
  <conditionalFormatting sqref="N18:O18">
    <cfRule type="cellIs" dxfId="3126" priority="303" stopIfTrue="1" operator="equal">
      <formula>0</formula>
    </cfRule>
  </conditionalFormatting>
  <conditionalFormatting sqref="P18:Q18">
    <cfRule type="cellIs" dxfId="3125" priority="302" stopIfTrue="1" operator="equal">
      <formula>0</formula>
    </cfRule>
  </conditionalFormatting>
  <conditionalFormatting sqref="R18:S18">
    <cfRule type="cellIs" dxfId="3124" priority="301" stopIfTrue="1" operator="equal">
      <formula>0</formula>
    </cfRule>
  </conditionalFormatting>
  <conditionalFormatting sqref="T18:U18">
    <cfRule type="cellIs" dxfId="3123" priority="300" stopIfTrue="1" operator="equal">
      <formula>0</formula>
    </cfRule>
  </conditionalFormatting>
  <conditionalFormatting sqref="V18:W18">
    <cfRule type="cellIs" dxfId="3122" priority="299" stopIfTrue="1" operator="equal">
      <formula>0</formula>
    </cfRule>
  </conditionalFormatting>
  <conditionalFormatting sqref="J19:K19">
    <cfRule type="cellIs" dxfId="3121" priority="298" stopIfTrue="1" operator="equal">
      <formula>0</formula>
    </cfRule>
  </conditionalFormatting>
  <conditionalFormatting sqref="L19:M19">
    <cfRule type="cellIs" dxfId="3120" priority="297" stopIfTrue="1" operator="equal">
      <formula>0</formula>
    </cfRule>
  </conditionalFormatting>
  <conditionalFormatting sqref="N19:O19">
    <cfRule type="cellIs" dxfId="3119" priority="296" stopIfTrue="1" operator="equal">
      <formula>0</formula>
    </cfRule>
  </conditionalFormatting>
  <conditionalFormatting sqref="P19:Q19">
    <cfRule type="cellIs" dxfId="3118" priority="295" stopIfTrue="1" operator="equal">
      <formula>0</formula>
    </cfRule>
  </conditionalFormatting>
  <conditionalFormatting sqref="R19:S19">
    <cfRule type="cellIs" dxfId="3117" priority="294" stopIfTrue="1" operator="equal">
      <formula>0</formula>
    </cfRule>
  </conditionalFormatting>
  <conditionalFormatting sqref="T19:U19">
    <cfRule type="cellIs" dxfId="3116" priority="293" stopIfTrue="1" operator="equal">
      <formula>0</formula>
    </cfRule>
  </conditionalFormatting>
  <conditionalFormatting sqref="V19:W19">
    <cfRule type="cellIs" dxfId="3115" priority="292" stopIfTrue="1" operator="equal">
      <formula>0</formula>
    </cfRule>
  </conditionalFormatting>
  <conditionalFormatting sqref="J20:K20">
    <cfRule type="cellIs" dxfId="3114" priority="291" stopIfTrue="1" operator="equal">
      <formula>0</formula>
    </cfRule>
  </conditionalFormatting>
  <conditionalFormatting sqref="L20:M20">
    <cfRule type="cellIs" dxfId="3113" priority="290" stopIfTrue="1" operator="equal">
      <formula>0</formula>
    </cfRule>
  </conditionalFormatting>
  <conditionalFormatting sqref="N20:O20">
    <cfRule type="cellIs" dxfId="3112" priority="289" stopIfTrue="1" operator="equal">
      <formula>0</formula>
    </cfRule>
  </conditionalFormatting>
  <conditionalFormatting sqref="P20:Q20">
    <cfRule type="cellIs" dxfId="3111" priority="288" stopIfTrue="1" operator="equal">
      <formula>0</formula>
    </cfRule>
  </conditionalFormatting>
  <conditionalFormatting sqref="R20:S20">
    <cfRule type="cellIs" dxfId="3110" priority="287" stopIfTrue="1" operator="equal">
      <formula>0</formula>
    </cfRule>
  </conditionalFormatting>
  <conditionalFormatting sqref="T20:U20">
    <cfRule type="cellIs" dxfId="3109" priority="286" stopIfTrue="1" operator="equal">
      <formula>0</formula>
    </cfRule>
  </conditionalFormatting>
  <conditionalFormatting sqref="V20:W20">
    <cfRule type="cellIs" dxfId="3108" priority="285" stopIfTrue="1" operator="equal">
      <formula>0</formula>
    </cfRule>
  </conditionalFormatting>
  <conditionalFormatting sqref="J21:K21">
    <cfRule type="cellIs" dxfId="3107" priority="284" stopIfTrue="1" operator="equal">
      <formula>0</formula>
    </cfRule>
  </conditionalFormatting>
  <conditionalFormatting sqref="L21:M21">
    <cfRule type="cellIs" dxfId="3106" priority="283" stopIfTrue="1" operator="equal">
      <formula>0</formula>
    </cfRule>
  </conditionalFormatting>
  <conditionalFormatting sqref="N21:O21">
    <cfRule type="cellIs" dxfId="3105" priority="282" stopIfTrue="1" operator="equal">
      <formula>0</formula>
    </cfRule>
  </conditionalFormatting>
  <conditionalFormatting sqref="P21:Q21">
    <cfRule type="cellIs" dxfId="3104" priority="281" stopIfTrue="1" operator="equal">
      <formula>0</formula>
    </cfRule>
  </conditionalFormatting>
  <conditionalFormatting sqref="R21:S21">
    <cfRule type="cellIs" dxfId="3103" priority="280" stopIfTrue="1" operator="equal">
      <formula>0</formula>
    </cfRule>
  </conditionalFormatting>
  <conditionalFormatting sqref="T21:U21">
    <cfRule type="cellIs" dxfId="3102" priority="279" stopIfTrue="1" operator="equal">
      <formula>0</formula>
    </cfRule>
  </conditionalFormatting>
  <conditionalFormatting sqref="V21:W21">
    <cfRule type="cellIs" dxfId="3101" priority="278" stopIfTrue="1" operator="equal">
      <formula>0</formula>
    </cfRule>
  </conditionalFormatting>
  <conditionalFormatting sqref="J22:K22">
    <cfRule type="cellIs" dxfId="3100" priority="277" stopIfTrue="1" operator="equal">
      <formula>0</formula>
    </cfRule>
  </conditionalFormatting>
  <conditionalFormatting sqref="L22:M22">
    <cfRule type="cellIs" dxfId="3099" priority="276" stopIfTrue="1" operator="equal">
      <formula>0</formula>
    </cfRule>
  </conditionalFormatting>
  <conditionalFormatting sqref="N22:O22">
    <cfRule type="cellIs" dxfId="3098" priority="275" stopIfTrue="1" operator="equal">
      <formula>0</formula>
    </cfRule>
  </conditionalFormatting>
  <conditionalFormatting sqref="P22:Q22">
    <cfRule type="cellIs" dxfId="3097" priority="274" stopIfTrue="1" operator="equal">
      <formula>0</formula>
    </cfRule>
  </conditionalFormatting>
  <conditionalFormatting sqref="R22:S22">
    <cfRule type="cellIs" dxfId="3096" priority="273" stopIfTrue="1" operator="equal">
      <formula>0</formula>
    </cfRule>
  </conditionalFormatting>
  <conditionalFormatting sqref="T22:U22">
    <cfRule type="cellIs" dxfId="3095" priority="272" stopIfTrue="1" operator="equal">
      <formula>0</formula>
    </cfRule>
  </conditionalFormatting>
  <conditionalFormatting sqref="V22:W22">
    <cfRule type="cellIs" dxfId="3094" priority="271" stopIfTrue="1" operator="equal">
      <formula>0</formula>
    </cfRule>
  </conditionalFormatting>
  <conditionalFormatting sqref="J23:K23">
    <cfRule type="cellIs" dxfId="3093" priority="270" stopIfTrue="1" operator="equal">
      <formula>0</formula>
    </cfRule>
  </conditionalFormatting>
  <conditionalFormatting sqref="L23:M23">
    <cfRule type="cellIs" dxfId="3092" priority="269" stopIfTrue="1" operator="equal">
      <formula>0</formula>
    </cfRule>
  </conditionalFormatting>
  <conditionalFormatting sqref="N23:O23">
    <cfRule type="cellIs" dxfId="3091" priority="268" stopIfTrue="1" operator="equal">
      <formula>0</formula>
    </cfRule>
  </conditionalFormatting>
  <conditionalFormatting sqref="P23:Q23">
    <cfRule type="cellIs" dxfId="3090" priority="267" stopIfTrue="1" operator="equal">
      <formula>0</formula>
    </cfRule>
  </conditionalFormatting>
  <conditionalFormatting sqref="R23:S23">
    <cfRule type="cellIs" dxfId="3089" priority="266" stopIfTrue="1" operator="equal">
      <formula>0</formula>
    </cfRule>
  </conditionalFormatting>
  <conditionalFormatting sqref="T23:U23">
    <cfRule type="cellIs" dxfId="3088" priority="265" stopIfTrue="1" operator="equal">
      <formula>0</formula>
    </cfRule>
  </conditionalFormatting>
  <conditionalFormatting sqref="V23:W23">
    <cfRule type="cellIs" dxfId="3087" priority="264" stopIfTrue="1" operator="equal">
      <formula>0</formula>
    </cfRule>
  </conditionalFormatting>
  <conditionalFormatting sqref="J24:K24">
    <cfRule type="cellIs" dxfId="3086" priority="263" stopIfTrue="1" operator="equal">
      <formula>0</formula>
    </cfRule>
  </conditionalFormatting>
  <conditionalFormatting sqref="L24:M24">
    <cfRule type="cellIs" dxfId="3085" priority="262" stopIfTrue="1" operator="equal">
      <formula>0</formula>
    </cfRule>
  </conditionalFormatting>
  <conditionalFormatting sqref="N24:O24">
    <cfRule type="cellIs" dxfId="3084" priority="261" stopIfTrue="1" operator="equal">
      <formula>0</formula>
    </cfRule>
  </conditionalFormatting>
  <conditionalFormatting sqref="P24:Q24">
    <cfRule type="cellIs" dxfId="3083" priority="260" stopIfTrue="1" operator="equal">
      <formula>0</formula>
    </cfRule>
  </conditionalFormatting>
  <conditionalFormatting sqref="R24:S24">
    <cfRule type="cellIs" dxfId="3082" priority="259" stopIfTrue="1" operator="equal">
      <formula>0</formula>
    </cfRule>
  </conditionalFormatting>
  <conditionalFormatting sqref="T24:U24">
    <cfRule type="cellIs" dxfId="3081" priority="258" stopIfTrue="1" operator="equal">
      <formula>0</formula>
    </cfRule>
  </conditionalFormatting>
  <conditionalFormatting sqref="V24:W24">
    <cfRule type="cellIs" dxfId="3080" priority="257" stopIfTrue="1" operator="equal">
      <formula>0</formula>
    </cfRule>
  </conditionalFormatting>
  <conditionalFormatting sqref="J25:K25">
    <cfRule type="cellIs" dxfId="3079" priority="256" stopIfTrue="1" operator="equal">
      <formula>0</formula>
    </cfRule>
  </conditionalFormatting>
  <conditionalFormatting sqref="L25:M25">
    <cfRule type="cellIs" dxfId="3078" priority="255" stopIfTrue="1" operator="equal">
      <formula>0</formula>
    </cfRule>
  </conditionalFormatting>
  <conditionalFormatting sqref="N25:O25">
    <cfRule type="cellIs" dxfId="3077" priority="254" stopIfTrue="1" operator="equal">
      <formula>0</formula>
    </cfRule>
  </conditionalFormatting>
  <conditionalFormatting sqref="P25:Q25">
    <cfRule type="cellIs" dxfId="3076" priority="253" stopIfTrue="1" operator="equal">
      <formula>0</formula>
    </cfRule>
  </conditionalFormatting>
  <conditionalFormatting sqref="R25:S25">
    <cfRule type="cellIs" dxfId="3075" priority="252" stopIfTrue="1" operator="equal">
      <formula>0</formula>
    </cfRule>
  </conditionalFormatting>
  <conditionalFormatting sqref="T25:U25">
    <cfRule type="cellIs" dxfId="3074" priority="251" stopIfTrue="1" operator="equal">
      <formula>0</formula>
    </cfRule>
  </conditionalFormatting>
  <conditionalFormatting sqref="V25:W25">
    <cfRule type="cellIs" dxfId="3073" priority="250" stopIfTrue="1" operator="equal">
      <formula>0</formula>
    </cfRule>
  </conditionalFormatting>
  <conditionalFormatting sqref="J26:K26">
    <cfRule type="cellIs" dxfId="3072" priority="249" stopIfTrue="1" operator="equal">
      <formula>0</formula>
    </cfRule>
  </conditionalFormatting>
  <conditionalFormatting sqref="L26:M26">
    <cfRule type="cellIs" dxfId="3071" priority="248" stopIfTrue="1" operator="equal">
      <formula>0</formula>
    </cfRule>
  </conditionalFormatting>
  <conditionalFormatting sqref="N26:O26">
    <cfRule type="cellIs" dxfId="3070" priority="247" stopIfTrue="1" operator="equal">
      <formula>0</formula>
    </cfRule>
  </conditionalFormatting>
  <conditionalFormatting sqref="P26:Q26">
    <cfRule type="cellIs" dxfId="3069" priority="246" stopIfTrue="1" operator="equal">
      <formula>0</formula>
    </cfRule>
  </conditionalFormatting>
  <conditionalFormatting sqref="R26:S26">
    <cfRule type="cellIs" dxfId="3068" priority="245" stopIfTrue="1" operator="equal">
      <formula>0</formula>
    </cfRule>
  </conditionalFormatting>
  <conditionalFormatting sqref="T26:U26">
    <cfRule type="cellIs" dxfId="3067" priority="244" stopIfTrue="1" operator="equal">
      <formula>0</formula>
    </cfRule>
  </conditionalFormatting>
  <conditionalFormatting sqref="V26:W26">
    <cfRule type="cellIs" dxfId="3066" priority="243" stopIfTrue="1" operator="equal">
      <formula>0</formula>
    </cfRule>
  </conditionalFormatting>
  <conditionalFormatting sqref="J27:K27">
    <cfRule type="cellIs" dxfId="3065" priority="242" stopIfTrue="1" operator="equal">
      <formula>0</formula>
    </cfRule>
  </conditionalFormatting>
  <conditionalFormatting sqref="L27:M27">
    <cfRule type="cellIs" dxfId="3064" priority="241" stopIfTrue="1" operator="equal">
      <formula>0</formula>
    </cfRule>
  </conditionalFormatting>
  <conditionalFormatting sqref="N27:O27">
    <cfRule type="cellIs" dxfId="3063" priority="240" stopIfTrue="1" operator="equal">
      <formula>0</formula>
    </cfRule>
  </conditionalFormatting>
  <conditionalFormatting sqref="P27:Q27">
    <cfRule type="cellIs" dxfId="3062" priority="239" stopIfTrue="1" operator="equal">
      <formula>0</formula>
    </cfRule>
  </conditionalFormatting>
  <conditionalFormatting sqref="R27:S27">
    <cfRule type="cellIs" dxfId="3061" priority="238" stopIfTrue="1" operator="equal">
      <formula>0</formula>
    </cfRule>
  </conditionalFormatting>
  <conditionalFormatting sqref="T27:U27">
    <cfRule type="cellIs" dxfId="3060" priority="237" stopIfTrue="1" operator="equal">
      <formula>0</formula>
    </cfRule>
  </conditionalFormatting>
  <conditionalFormatting sqref="V27:W27">
    <cfRule type="cellIs" dxfId="3059" priority="236" stopIfTrue="1" operator="equal">
      <formula>0</formula>
    </cfRule>
  </conditionalFormatting>
  <conditionalFormatting sqref="J28:K28">
    <cfRule type="cellIs" dxfId="3058" priority="235" stopIfTrue="1" operator="equal">
      <formula>0</formula>
    </cfRule>
  </conditionalFormatting>
  <conditionalFormatting sqref="L28:M28">
    <cfRule type="cellIs" dxfId="3057" priority="234" stopIfTrue="1" operator="equal">
      <formula>0</formula>
    </cfRule>
  </conditionalFormatting>
  <conditionalFormatting sqref="N28:O28">
    <cfRule type="cellIs" dxfId="3056" priority="233" stopIfTrue="1" operator="equal">
      <formula>0</formula>
    </cfRule>
  </conditionalFormatting>
  <conditionalFormatting sqref="P28:Q28">
    <cfRule type="cellIs" dxfId="3055" priority="232" stopIfTrue="1" operator="equal">
      <formula>0</formula>
    </cfRule>
  </conditionalFormatting>
  <conditionalFormatting sqref="R28:S28">
    <cfRule type="cellIs" dxfId="3054" priority="231" stopIfTrue="1" operator="equal">
      <formula>0</formula>
    </cfRule>
  </conditionalFormatting>
  <conditionalFormatting sqref="T28:U28">
    <cfRule type="cellIs" dxfId="3053" priority="230" stopIfTrue="1" operator="equal">
      <formula>0</formula>
    </cfRule>
  </conditionalFormatting>
  <conditionalFormatting sqref="V28:W28">
    <cfRule type="cellIs" dxfId="3052" priority="229" stopIfTrue="1" operator="equal">
      <formula>0</formula>
    </cfRule>
  </conditionalFormatting>
  <conditionalFormatting sqref="J29:K29">
    <cfRule type="cellIs" dxfId="3051" priority="228" stopIfTrue="1" operator="equal">
      <formula>0</formula>
    </cfRule>
  </conditionalFormatting>
  <conditionalFormatting sqref="L29:M29">
    <cfRule type="cellIs" dxfId="3050" priority="227" stopIfTrue="1" operator="equal">
      <formula>0</formula>
    </cfRule>
  </conditionalFormatting>
  <conditionalFormatting sqref="N29:O29">
    <cfRule type="cellIs" dxfId="3049" priority="226" stopIfTrue="1" operator="equal">
      <formula>0</formula>
    </cfRule>
  </conditionalFormatting>
  <conditionalFormatting sqref="P29:Q29">
    <cfRule type="cellIs" dxfId="3048" priority="225" stopIfTrue="1" operator="equal">
      <formula>0</formula>
    </cfRule>
  </conditionalFormatting>
  <conditionalFormatting sqref="R29:S29">
    <cfRule type="cellIs" dxfId="3047" priority="224" stopIfTrue="1" operator="equal">
      <formula>0</formula>
    </cfRule>
  </conditionalFormatting>
  <conditionalFormatting sqref="T29:U29">
    <cfRule type="cellIs" dxfId="3046" priority="223" stopIfTrue="1" operator="equal">
      <formula>0</formula>
    </cfRule>
  </conditionalFormatting>
  <conditionalFormatting sqref="V29:W29">
    <cfRule type="cellIs" dxfId="3045" priority="222" stopIfTrue="1" operator="equal">
      <formula>0</formula>
    </cfRule>
  </conditionalFormatting>
  <conditionalFormatting sqref="J30:K30">
    <cfRule type="cellIs" dxfId="3044" priority="221" stopIfTrue="1" operator="equal">
      <formula>0</formula>
    </cfRule>
  </conditionalFormatting>
  <conditionalFormatting sqref="L30:M30">
    <cfRule type="cellIs" dxfId="3043" priority="220" stopIfTrue="1" operator="equal">
      <formula>0</formula>
    </cfRule>
  </conditionalFormatting>
  <conditionalFormatting sqref="N30:O30">
    <cfRule type="cellIs" dxfId="3042" priority="219" stopIfTrue="1" operator="equal">
      <formula>0</formula>
    </cfRule>
  </conditionalFormatting>
  <conditionalFormatting sqref="P30:Q30">
    <cfRule type="cellIs" dxfId="3041" priority="218" stopIfTrue="1" operator="equal">
      <formula>0</formula>
    </cfRule>
  </conditionalFormatting>
  <conditionalFormatting sqref="R30:S30">
    <cfRule type="cellIs" dxfId="3040" priority="217" stopIfTrue="1" operator="equal">
      <formula>0</formula>
    </cfRule>
  </conditionalFormatting>
  <conditionalFormatting sqref="T30:U30">
    <cfRule type="cellIs" dxfId="3039" priority="216" stopIfTrue="1" operator="equal">
      <formula>0</formula>
    </cfRule>
  </conditionalFormatting>
  <conditionalFormatting sqref="V30:W30">
    <cfRule type="cellIs" dxfId="3038" priority="215" stopIfTrue="1" operator="equal">
      <formula>0</formula>
    </cfRule>
  </conditionalFormatting>
  <conditionalFormatting sqref="J31:K31">
    <cfRule type="cellIs" dxfId="3037" priority="214" stopIfTrue="1" operator="equal">
      <formula>0</formula>
    </cfRule>
  </conditionalFormatting>
  <conditionalFormatting sqref="L31:M31">
    <cfRule type="cellIs" dxfId="3036" priority="213" stopIfTrue="1" operator="equal">
      <formula>0</formula>
    </cfRule>
  </conditionalFormatting>
  <conditionalFormatting sqref="N31:O31">
    <cfRule type="cellIs" dxfId="3035" priority="212" stopIfTrue="1" operator="equal">
      <formula>0</formula>
    </cfRule>
  </conditionalFormatting>
  <conditionalFormatting sqref="P31:Q31">
    <cfRule type="cellIs" dxfId="3034" priority="211" stopIfTrue="1" operator="equal">
      <formula>0</formula>
    </cfRule>
  </conditionalFormatting>
  <conditionalFormatting sqref="R31:S31">
    <cfRule type="cellIs" dxfId="3033" priority="210" stopIfTrue="1" operator="equal">
      <formula>0</formula>
    </cfRule>
  </conditionalFormatting>
  <conditionalFormatting sqref="T31:U31">
    <cfRule type="cellIs" dxfId="3032" priority="209" stopIfTrue="1" operator="equal">
      <formula>0</formula>
    </cfRule>
  </conditionalFormatting>
  <conditionalFormatting sqref="V31:W31">
    <cfRule type="cellIs" dxfId="3031" priority="208" stopIfTrue="1" operator="equal">
      <formula>0</formula>
    </cfRule>
  </conditionalFormatting>
  <conditionalFormatting sqref="J32:K32">
    <cfRule type="cellIs" dxfId="3030" priority="207" stopIfTrue="1" operator="equal">
      <formula>0</formula>
    </cfRule>
  </conditionalFormatting>
  <conditionalFormatting sqref="L32:M32">
    <cfRule type="cellIs" dxfId="3029" priority="206" stopIfTrue="1" operator="equal">
      <formula>0</formula>
    </cfRule>
  </conditionalFormatting>
  <conditionalFormatting sqref="N32:O32">
    <cfRule type="cellIs" dxfId="3028" priority="205" stopIfTrue="1" operator="equal">
      <formula>0</formula>
    </cfRule>
  </conditionalFormatting>
  <conditionalFormatting sqref="P32:Q32">
    <cfRule type="cellIs" dxfId="3027" priority="204" stopIfTrue="1" operator="equal">
      <formula>0</formula>
    </cfRule>
  </conditionalFormatting>
  <conditionalFormatting sqref="R32:S32">
    <cfRule type="cellIs" dxfId="3026" priority="203" stopIfTrue="1" operator="equal">
      <formula>0</formula>
    </cfRule>
  </conditionalFormatting>
  <conditionalFormatting sqref="T32:U32">
    <cfRule type="cellIs" dxfId="3025" priority="202" stopIfTrue="1" operator="equal">
      <formula>0</formula>
    </cfRule>
  </conditionalFormatting>
  <conditionalFormatting sqref="V32:W32">
    <cfRule type="cellIs" dxfId="3024" priority="201" stopIfTrue="1" operator="equal">
      <formula>0</formula>
    </cfRule>
  </conditionalFormatting>
  <conditionalFormatting sqref="J33:K33">
    <cfRule type="cellIs" dxfId="3023" priority="200" stopIfTrue="1" operator="equal">
      <formula>0</formula>
    </cfRule>
  </conditionalFormatting>
  <conditionalFormatting sqref="L33:M33">
    <cfRule type="cellIs" dxfId="3022" priority="199" stopIfTrue="1" operator="equal">
      <formula>0</formula>
    </cfRule>
  </conditionalFormatting>
  <conditionalFormatting sqref="N33:O33">
    <cfRule type="cellIs" dxfId="3021" priority="198" stopIfTrue="1" operator="equal">
      <formula>0</formula>
    </cfRule>
  </conditionalFormatting>
  <conditionalFormatting sqref="P33:Q33">
    <cfRule type="cellIs" dxfId="3020" priority="197" stopIfTrue="1" operator="equal">
      <formula>0</formula>
    </cfRule>
  </conditionalFormatting>
  <conditionalFormatting sqref="R33:S33">
    <cfRule type="cellIs" dxfId="3019" priority="196" stopIfTrue="1" operator="equal">
      <formula>0</formula>
    </cfRule>
  </conditionalFormatting>
  <conditionalFormatting sqref="T33:U33">
    <cfRule type="cellIs" dxfId="3018" priority="195" stopIfTrue="1" operator="equal">
      <formula>0</formula>
    </cfRule>
  </conditionalFormatting>
  <conditionalFormatting sqref="V33:W33">
    <cfRule type="cellIs" dxfId="3017" priority="194" stopIfTrue="1" operator="equal">
      <formula>0</formula>
    </cfRule>
  </conditionalFormatting>
  <conditionalFormatting sqref="J34:K34">
    <cfRule type="cellIs" dxfId="3016" priority="193" stopIfTrue="1" operator="equal">
      <formula>0</formula>
    </cfRule>
  </conditionalFormatting>
  <conditionalFormatting sqref="L34:M34">
    <cfRule type="cellIs" dxfId="3015" priority="192" stopIfTrue="1" operator="equal">
      <formula>0</formula>
    </cfRule>
  </conditionalFormatting>
  <conditionalFormatting sqref="N34:O34">
    <cfRule type="cellIs" dxfId="3014" priority="191" stopIfTrue="1" operator="equal">
      <formula>0</formula>
    </cfRule>
  </conditionalFormatting>
  <conditionalFormatting sqref="P34:Q34">
    <cfRule type="cellIs" dxfId="3013" priority="190" stopIfTrue="1" operator="equal">
      <formula>0</formula>
    </cfRule>
  </conditionalFormatting>
  <conditionalFormatting sqref="R34:S34">
    <cfRule type="cellIs" dxfId="3012" priority="189" stopIfTrue="1" operator="equal">
      <formula>0</formula>
    </cfRule>
  </conditionalFormatting>
  <conditionalFormatting sqref="T34:U34">
    <cfRule type="cellIs" dxfId="3011" priority="188" stopIfTrue="1" operator="equal">
      <formula>0</formula>
    </cfRule>
  </conditionalFormatting>
  <conditionalFormatting sqref="V34:W34">
    <cfRule type="cellIs" dxfId="3010" priority="187" stopIfTrue="1" operator="equal">
      <formula>0</formula>
    </cfRule>
  </conditionalFormatting>
  <conditionalFormatting sqref="J35:K35">
    <cfRule type="cellIs" dxfId="3009" priority="186" stopIfTrue="1" operator="equal">
      <formula>0</formula>
    </cfRule>
  </conditionalFormatting>
  <conditionalFormatting sqref="L35:M35">
    <cfRule type="cellIs" dxfId="3008" priority="185" stopIfTrue="1" operator="equal">
      <formula>0</formula>
    </cfRule>
  </conditionalFormatting>
  <conditionalFormatting sqref="N35:O35">
    <cfRule type="cellIs" dxfId="3007" priority="184" stopIfTrue="1" operator="equal">
      <formula>0</formula>
    </cfRule>
  </conditionalFormatting>
  <conditionalFormatting sqref="P35:Q35">
    <cfRule type="cellIs" dxfId="3006" priority="183" stopIfTrue="1" operator="equal">
      <formula>0</formula>
    </cfRule>
  </conditionalFormatting>
  <conditionalFormatting sqref="R35:S35">
    <cfRule type="cellIs" dxfId="3005" priority="182" stopIfTrue="1" operator="equal">
      <formula>0</formula>
    </cfRule>
  </conditionalFormatting>
  <conditionalFormatting sqref="T35:U35">
    <cfRule type="cellIs" dxfId="3004" priority="181" stopIfTrue="1" operator="equal">
      <formula>0</formula>
    </cfRule>
  </conditionalFormatting>
  <conditionalFormatting sqref="V35:W35">
    <cfRule type="cellIs" dxfId="3003" priority="180" stopIfTrue="1" operator="equal">
      <formula>0</formula>
    </cfRule>
  </conditionalFormatting>
  <conditionalFormatting sqref="J36:K36">
    <cfRule type="cellIs" dxfId="3002" priority="179" stopIfTrue="1" operator="equal">
      <formula>0</formula>
    </cfRule>
  </conditionalFormatting>
  <conditionalFormatting sqref="L36:M36">
    <cfRule type="cellIs" dxfId="3001" priority="178" stopIfTrue="1" operator="equal">
      <formula>0</formula>
    </cfRule>
  </conditionalFormatting>
  <conditionalFormatting sqref="N36:O36">
    <cfRule type="cellIs" dxfId="3000" priority="177" stopIfTrue="1" operator="equal">
      <formula>0</formula>
    </cfRule>
  </conditionalFormatting>
  <conditionalFormatting sqref="P36:Q36">
    <cfRule type="cellIs" dxfId="2999" priority="176" stopIfTrue="1" operator="equal">
      <formula>0</formula>
    </cfRule>
  </conditionalFormatting>
  <conditionalFormatting sqref="R36:S36">
    <cfRule type="cellIs" dxfId="2998" priority="175" stopIfTrue="1" operator="equal">
      <formula>0</formula>
    </cfRule>
  </conditionalFormatting>
  <conditionalFormatting sqref="T36:U36">
    <cfRule type="cellIs" dxfId="2997" priority="174" stopIfTrue="1" operator="equal">
      <formula>0</formula>
    </cfRule>
  </conditionalFormatting>
  <conditionalFormatting sqref="V36:W36">
    <cfRule type="cellIs" dxfId="2996" priority="173" stopIfTrue="1" operator="equal">
      <formula>0</formula>
    </cfRule>
  </conditionalFormatting>
  <conditionalFormatting sqref="J37:K37">
    <cfRule type="cellIs" dxfId="2995" priority="172" stopIfTrue="1" operator="equal">
      <formula>0</formula>
    </cfRule>
  </conditionalFormatting>
  <conditionalFormatting sqref="L37:M37">
    <cfRule type="cellIs" dxfId="2994" priority="171" stopIfTrue="1" operator="equal">
      <formula>0</formula>
    </cfRule>
  </conditionalFormatting>
  <conditionalFormatting sqref="N37:O37">
    <cfRule type="cellIs" dxfId="2993" priority="170" stopIfTrue="1" operator="equal">
      <formula>0</formula>
    </cfRule>
  </conditionalFormatting>
  <conditionalFormatting sqref="P37:Q37">
    <cfRule type="cellIs" dxfId="2992" priority="169" stopIfTrue="1" operator="equal">
      <formula>0</formula>
    </cfRule>
  </conditionalFormatting>
  <conditionalFormatting sqref="R37:S37">
    <cfRule type="cellIs" dxfId="2991" priority="168" stopIfTrue="1" operator="equal">
      <formula>0</formula>
    </cfRule>
  </conditionalFormatting>
  <conditionalFormatting sqref="T37:U37">
    <cfRule type="cellIs" dxfId="2990" priority="167" stopIfTrue="1" operator="equal">
      <formula>0</formula>
    </cfRule>
  </conditionalFormatting>
  <conditionalFormatting sqref="V37:W37">
    <cfRule type="cellIs" dxfId="2989" priority="166" stopIfTrue="1" operator="equal">
      <formula>0</formula>
    </cfRule>
  </conditionalFormatting>
  <conditionalFormatting sqref="J38:K38">
    <cfRule type="cellIs" dxfId="2988" priority="165" stopIfTrue="1" operator="equal">
      <formula>0</formula>
    </cfRule>
  </conditionalFormatting>
  <conditionalFormatting sqref="L38:M38">
    <cfRule type="cellIs" dxfId="2987" priority="164" stopIfTrue="1" operator="equal">
      <formula>0</formula>
    </cfRule>
  </conditionalFormatting>
  <conditionalFormatting sqref="N38:O38">
    <cfRule type="cellIs" dxfId="2986" priority="163" stopIfTrue="1" operator="equal">
      <formula>0</formula>
    </cfRule>
  </conditionalFormatting>
  <conditionalFormatting sqref="P38:Q38">
    <cfRule type="cellIs" dxfId="2985" priority="162" stopIfTrue="1" operator="equal">
      <formula>0</formula>
    </cfRule>
  </conditionalFormatting>
  <conditionalFormatting sqref="R38:S38">
    <cfRule type="cellIs" dxfId="2984" priority="161" stopIfTrue="1" operator="equal">
      <formula>0</formula>
    </cfRule>
  </conditionalFormatting>
  <conditionalFormatting sqref="T38:U38">
    <cfRule type="cellIs" dxfId="2983" priority="160" stopIfTrue="1" operator="equal">
      <formula>0</formula>
    </cfRule>
  </conditionalFormatting>
  <conditionalFormatting sqref="V38:W38">
    <cfRule type="cellIs" dxfId="2982" priority="159" stopIfTrue="1" operator="equal">
      <formula>0</formula>
    </cfRule>
  </conditionalFormatting>
  <conditionalFormatting sqref="J39:K39">
    <cfRule type="cellIs" dxfId="2981" priority="158" stopIfTrue="1" operator="equal">
      <formula>0</formula>
    </cfRule>
  </conditionalFormatting>
  <conditionalFormatting sqref="L39:M39">
    <cfRule type="cellIs" dxfId="2980" priority="157" stopIfTrue="1" operator="equal">
      <formula>0</formula>
    </cfRule>
  </conditionalFormatting>
  <conditionalFormatting sqref="N39:O39">
    <cfRule type="cellIs" dxfId="2979" priority="156" stopIfTrue="1" operator="equal">
      <formula>0</formula>
    </cfRule>
  </conditionalFormatting>
  <conditionalFormatting sqref="P39:Q39">
    <cfRule type="cellIs" dxfId="2978" priority="155" stopIfTrue="1" operator="equal">
      <formula>0</formula>
    </cfRule>
  </conditionalFormatting>
  <conditionalFormatting sqref="R39:S39">
    <cfRule type="cellIs" dxfId="2977" priority="154" stopIfTrue="1" operator="equal">
      <formula>0</formula>
    </cfRule>
  </conditionalFormatting>
  <conditionalFormatting sqref="T39:U39">
    <cfRule type="cellIs" dxfId="2976" priority="153" stopIfTrue="1" operator="equal">
      <formula>0</formula>
    </cfRule>
  </conditionalFormatting>
  <conditionalFormatting sqref="V39:W39">
    <cfRule type="cellIs" dxfId="2975" priority="152" stopIfTrue="1" operator="equal">
      <formula>0</formula>
    </cfRule>
  </conditionalFormatting>
  <conditionalFormatting sqref="J40:K40">
    <cfRule type="cellIs" dxfId="2974" priority="151" stopIfTrue="1" operator="equal">
      <formula>0</formula>
    </cfRule>
  </conditionalFormatting>
  <conditionalFormatting sqref="L40:M40">
    <cfRule type="cellIs" dxfId="2973" priority="150" stopIfTrue="1" operator="equal">
      <formula>0</formula>
    </cfRule>
  </conditionalFormatting>
  <conditionalFormatting sqref="N40:O40">
    <cfRule type="cellIs" dxfId="2972" priority="149" stopIfTrue="1" operator="equal">
      <formula>0</formula>
    </cfRule>
  </conditionalFormatting>
  <conditionalFormatting sqref="P40:Q40">
    <cfRule type="cellIs" dxfId="2971" priority="148" stopIfTrue="1" operator="equal">
      <formula>0</formula>
    </cfRule>
  </conditionalFormatting>
  <conditionalFormatting sqref="R40:S40">
    <cfRule type="cellIs" dxfId="2970" priority="147" stopIfTrue="1" operator="equal">
      <formula>0</formula>
    </cfRule>
  </conditionalFormatting>
  <conditionalFormatting sqref="T40:U40">
    <cfRule type="cellIs" dxfId="2969" priority="146" stopIfTrue="1" operator="equal">
      <formula>0</formula>
    </cfRule>
  </conditionalFormatting>
  <conditionalFormatting sqref="V40:W40">
    <cfRule type="cellIs" dxfId="2968" priority="145" stopIfTrue="1" operator="equal">
      <formula>0</formula>
    </cfRule>
  </conditionalFormatting>
  <conditionalFormatting sqref="J41:K41">
    <cfRule type="cellIs" dxfId="2967" priority="144" stopIfTrue="1" operator="equal">
      <formula>0</formula>
    </cfRule>
  </conditionalFormatting>
  <conditionalFormatting sqref="L41:M41">
    <cfRule type="cellIs" dxfId="2966" priority="143" stopIfTrue="1" operator="equal">
      <formula>0</formula>
    </cfRule>
  </conditionalFormatting>
  <conditionalFormatting sqref="N41:O41">
    <cfRule type="cellIs" dxfId="2965" priority="142" stopIfTrue="1" operator="equal">
      <formula>0</formula>
    </cfRule>
  </conditionalFormatting>
  <conditionalFormatting sqref="P41:Q41">
    <cfRule type="cellIs" dxfId="2964" priority="141" stopIfTrue="1" operator="equal">
      <formula>0</formula>
    </cfRule>
  </conditionalFormatting>
  <conditionalFormatting sqref="R41:S41">
    <cfRule type="cellIs" dxfId="2963" priority="140" stopIfTrue="1" operator="equal">
      <formula>0</formula>
    </cfRule>
  </conditionalFormatting>
  <conditionalFormatting sqref="T41:U41">
    <cfRule type="cellIs" dxfId="2962" priority="139" stopIfTrue="1" operator="equal">
      <formula>0</formula>
    </cfRule>
  </conditionalFormatting>
  <conditionalFormatting sqref="V41:W41">
    <cfRule type="cellIs" dxfId="2961" priority="138" stopIfTrue="1" operator="equal">
      <formula>0</formula>
    </cfRule>
  </conditionalFormatting>
  <conditionalFormatting sqref="J42:K42">
    <cfRule type="cellIs" dxfId="2960" priority="137" stopIfTrue="1" operator="equal">
      <formula>0</formula>
    </cfRule>
  </conditionalFormatting>
  <conditionalFormatting sqref="L42:M42">
    <cfRule type="cellIs" dxfId="2959" priority="136" stopIfTrue="1" operator="equal">
      <formula>0</formula>
    </cfRule>
  </conditionalFormatting>
  <conditionalFormatting sqref="N42:O42">
    <cfRule type="cellIs" dxfId="2958" priority="135" stopIfTrue="1" operator="equal">
      <formula>0</formula>
    </cfRule>
  </conditionalFormatting>
  <conditionalFormatting sqref="P42:Q42">
    <cfRule type="cellIs" dxfId="2957" priority="134" stopIfTrue="1" operator="equal">
      <formula>0</formula>
    </cfRule>
  </conditionalFormatting>
  <conditionalFormatting sqref="R42:S42">
    <cfRule type="cellIs" dxfId="2956" priority="133" stopIfTrue="1" operator="equal">
      <formula>0</formula>
    </cfRule>
  </conditionalFormatting>
  <conditionalFormatting sqref="T42:U42">
    <cfRule type="cellIs" dxfId="2955" priority="132" stopIfTrue="1" operator="equal">
      <formula>0</formula>
    </cfRule>
  </conditionalFormatting>
  <conditionalFormatting sqref="V42:W42">
    <cfRule type="cellIs" dxfId="2954" priority="131" stopIfTrue="1" operator="equal">
      <formula>0</formula>
    </cfRule>
  </conditionalFormatting>
  <conditionalFormatting sqref="J43:K43">
    <cfRule type="cellIs" dxfId="2953" priority="130" stopIfTrue="1" operator="equal">
      <formula>0</formula>
    </cfRule>
  </conditionalFormatting>
  <conditionalFormatting sqref="L43:M43">
    <cfRule type="cellIs" dxfId="2952" priority="129" stopIfTrue="1" operator="equal">
      <formula>0</formula>
    </cfRule>
  </conditionalFormatting>
  <conditionalFormatting sqref="N43:O43">
    <cfRule type="cellIs" dxfId="2951" priority="128" stopIfTrue="1" operator="equal">
      <formula>0</formula>
    </cfRule>
  </conditionalFormatting>
  <conditionalFormatting sqref="P43:Q43">
    <cfRule type="cellIs" dxfId="2950" priority="127" stopIfTrue="1" operator="equal">
      <formula>0</formula>
    </cfRule>
  </conditionalFormatting>
  <conditionalFormatting sqref="R43:S43">
    <cfRule type="cellIs" dxfId="2949" priority="126" stopIfTrue="1" operator="equal">
      <formula>0</formula>
    </cfRule>
  </conditionalFormatting>
  <conditionalFormatting sqref="T43:U43">
    <cfRule type="cellIs" dxfId="2948" priority="125" stopIfTrue="1" operator="equal">
      <formula>0</formula>
    </cfRule>
  </conditionalFormatting>
  <conditionalFormatting sqref="V43:W43">
    <cfRule type="cellIs" dxfId="2947" priority="124" stopIfTrue="1" operator="equal">
      <formula>0</formula>
    </cfRule>
  </conditionalFormatting>
  <conditionalFormatting sqref="J44:K44">
    <cfRule type="cellIs" dxfId="2946" priority="123" stopIfTrue="1" operator="equal">
      <formula>0</formula>
    </cfRule>
  </conditionalFormatting>
  <conditionalFormatting sqref="L44:M44">
    <cfRule type="cellIs" dxfId="2945" priority="122" stopIfTrue="1" operator="equal">
      <formula>0</formula>
    </cfRule>
  </conditionalFormatting>
  <conditionalFormatting sqref="N44:O44">
    <cfRule type="cellIs" dxfId="2944" priority="121" stopIfTrue="1" operator="equal">
      <formula>0</formula>
    </cfRule>
  </conditionalFormatting>
  <conditionalFormatting sqref="P44:Q44">
    <cfRule type="cellIs" dxfId="2943" priority="120" stopIfTrue="1" operator="equal">
      <formula>0</formula>
    </cfRule>
  </conditionalFormatting>
  <conditionalFormatting sqref="R44:S44">
    <cfRule type="cellIs" dxfId="2942" priority="119" stopIfTrue="1" operator="equal">
      <formula>0</formula>
    </cfRule>
  </conditionalFormatting>
  <conditionalFormatting sqref="T44:U44">
    <cfRule type="cellIs" dxfId="2941" priority="118" stopIfTrue="1" operator="equal">
      <formula>0</formula>
    </cfRule>
  </conditionalFormatting>
  <conditionalFormatting sqref="V44:W44">
    <cfRule type="cellIs" dxfId="2940" priority="117" stopIfTrue="1" operator="equal">
      <formula>0</formula>
    </cfRule>
  </conditionalFormatting>
  <conditionalFormatting sqref="J45:K45">
    <cfRule type="cellIs" dxfId="2939" priority="116" stopIfTrue="1" operator="equal">
      <formula>0</formula>
    </cfRule>
  </conditionalFormatting>
  <conditionalFormatting sqref="L45:M45">
    <cfRule type="cellIs" dxfId="2938" priority="115" stopIfTrue="1" operator="equal">
      <formula>0</formula>
    </cfRule>
  </conditionalFormatting>
  <conditionalFormatting sqref="N45:O45">
    <cfRule type="cellIs" dxfId="2937" priority="114" stopIfTrue="1" operator="equal">
      <formula>0</formula>
    </cfRule>
  </conditionalFormatting>
  <conditionalFormatting sqref="P45:Q45">
    <cfRule type="cellIs" dxfId="2936" priority="113" stopIfTrue="1" operator="equal">
      <formula>0</formula>
    </cfRule>
  </conditionalFormatting>
  <conditionalFormatting sqref="R45:S45">
    <cfRule type="cellIs" dxfId="2935" priority="112" stopIfTrue="1" operator="equal">
      <formula>0</formula>
    </cfRule>
  </conditionalFormatting>
  <conditionalFormatting sqref="T45:U45">
    <cfRule type="cellIs" dxfId="2934" priority="111" stopIfTrue="1" operator="equal">
      <formula>0</formula>
    </cfRule>
  </conditionalFormatting>
  <conditionalFormatting sqref="V45:W45">
    <cfRule type="cellIs" dxfId="2933" priority="110" stopIfTrue="1" operator="equal">
      <formula>0</formula>
    </cfRule>
  </conditionalFormatting>
  <conditionalFormatting sqref="J46:K46">
    <cfRule type="cellIs" dxfId="2932" priority="109" stopIfTrue="1" operator="equal">
      <formula>0</formula>
    </cfRule>
  </conditionalFormatting>
  <conditionalFormatting sqref="L46:M46">
    <cfRule type="cellIs" dxfId="2931" priority="108" stopIfTrue="1" operator="equal">
      <formula>0</formula>
    </cfRule>
  </conditionalFormatting>
  <conditionalFormatting sqref="N46:O46">
    <cfRule type="cellIs" dxfId="2930" priority="107" stopIfTrue="1" operator="equal">
      <formula>0</formula>
    </cfRule>
  </conditionalFormatting>
  <conditionalFormatting sqref="P46:Q46">
    <cfRule type="cellIs" dxfId="2929" priority="106" stopIfTrue="1" operator="equal">
      <formula>0</formula>
    </cfRule>
  </conditionalFormatting>
  <conditionalFormatting sqref="R46:S46">
    <cfRule type="cellIs" dxfId="2928" priority="105" stopIfTrue="1" operator="equal">
      <formula>0</formula>
    </cfRule>
  </conditionalFormatting>
  <conditionalFormatting sqref="T46:U46">
    <cfRule type="cellIs" dxfId="2927" priority="104" stopIfTrue="1" operator="equal">
      <formula>0</formula>
    </cfRule>
  </conditionalFormatting>
  <conditionalFormatting sqref="V46:W46">
    <cfRule type="cellIs" dxfId="2926" priority="103" stopIfTrue="1" operator="equal">
      <formula>0</formula>
    </cfRule>
  </conditionalFormatting>
  <conditionalFormatting sqref="J47:K47">
    <cfRule type="cellIs" dxfId="2925" priority="102" stopIfTrue="1" operator="equal">
      <formula>0</formula>
    </cfRule>
  </conditionalFormatting>
  <conditionalFormatting sqref="L47:M47">
    <cfRule type="cellIs" dxfId="2924" priority="101" stopIfTrue="1" operator="equal">
      <formula>0</formula>
    </cfRule>
  </conditionalFormatting>
  <conditionalFormatting sqref="N47:O47">
    <cfRule type="cellIs" dxfId="2923" priority="100" stopIfTrue="1" operator="equal">
      <formula>0</formula>
    </cfRule>
  </conditionalFormatting>
  <conditionalFormatting sqref="P47:Q47">
    <cfRule type="cellIs" dxfId="2922" priority="99" stopIfTrue="1" operator="equal">
      <formula>0</formula>
    </cfRule>
  </conditionalFormatting>
  <conditionalFormatting sqref="R47:S47">
    <cfRule type="cellIs" dxfId="2921" priority="98" stopIfTrue="1" operator="equal">
      <formula>0</formula>
    </cfRule>
  </conditionalFormatting>
  <conditionalFormatting sqref="T47:U47">
    <cfRule type="cellIs" dxfId="2920" priority="97" stopIfTrue="1" operator="equal">
      <formula>0</formula>
    </cfRule>
  </conditionalFormatting>
  <conditionalFormatting sqref="V47:W47">
    <cfRule type="cellIs" dxfId="2919" priority="96" stopIfTrue="1" operator="equal">
      <formula>0</formula>
    </cfRule>
  </conditionalFormatting>
  <conditionalFormatting sqref="D54:L59">
    <cfRule type="expression" dxfId="2918" priority="95">
      <formula>$AB$8=0</formula>
    </cfRule>
  </conditionalFormatting>
  <conditionalFormatting sqref="D54:I56">
    <cfRule type="expression" dxfId="2917" priority="94">
      <formula>$AB$8=1</formula>
    </cfRule>
  </conditionalFormatting>
  <printOptions horizontalCentered="1"/>
  <pageMargins left="0.7" right="0.7" top="0.39370078740157477" bottom="0.39370078740157477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Button 1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5" name="Button 2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7" r:id="rId6" name="Button 3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8" r:id="rId7" name="Button 4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9" r:id="rId8" name="Button 5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0" r:id="rId9" name="Button 6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1" r:id="rId10" name="Button 7">
              <controlPr defaultSize="0" print="0" autoFill="0" autoPict="0" macro="[0]!休日初期化">
                <anchor moveWithCells="1" sizeWithCells="1">
                  <from>
                    <xdr:col>27</xdr:col>
                    <xdr:colOff>488950</xdr:colOff>
                    <xdr:row>25</xdr:row>
                    <xdr:rowOff>69850</xdr:rowOff>
                  </from>
                  <to>
                    <xdr:col>28</xdr:col>
                    <xdr:colOff>266700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2" r:id="rId11" name="Button 8">
              <controlPr defaultSize="0" print="0" autoFill="0" autoPict="0" macro="[0]!初期状態">
                <anchor moveWithCells="1" sizeWithCells="1">
                  <from>
                    <xdr:col>27</xdr:col>
                    <xdr:colOff>533400</xdr:colOff>
                    <xdr:row>32</xdr:row>
                    <xdr:rowOff>31750</xdr:rowOff>
                  </from>
                  <to>
                    <xdr:col>28</xdr:col>
                    <xdr:colOff>419100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3" r:id="rId12" name="Button 9">
              <controlPr defaultSize="0" print="0" autoFill="0" autoPict="0" macro="[0]!ws_add">
                <anchor moveWithCells="1" sizeWithCells="1">
                  <from>
                    <xdr:col>27</xdr:col>
                    <xdr:colOff>488950</xdr:colOff>
                    <xdr:row>35</xdr:row>
                    <xdr:rowOff>69850</xdr:rowOff>
                  </from>
                  <to>
                    <xdr:col>29</xdr:col>
                    <xdr:colOff>603250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4" r:id="rId13" name="Button 10">
              <controlPr defaultSize="0" print="0" autoFill="0" autoPict="0" macro="[0]!統合">
                <anchor moveWithCells="1" sizeWithCells="1">
                  <from>
                    <xdr:col>26</xdr:col>
                    <xdr:colOff>63500</xdr:colOff>
                    <xdr:row>59</xdr:row>
                    <xdr:rowOff>19050</xdr:rowOff>
                  </from>
                  <to>
                    <xdr:col>26</xdr:col>
                    <xdr:colOff>673100</xdr:colOff>
                    <xdr:row>60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5" r:id="rId14" name="Button 11">
              <controlPr defaultSize="0" print="0" autoFill="0" autoPict="0" macro="[0]!休暇処理">
                <anchor moveWithCells="1" sizeWithCells="1">
                  <from>
                    <xdr:col>26</xdr:col>
                    <xdr:colOff>63500</xdr:colOff>
                    <xdr:row>61</xdr:row>
                    <xdr:rowOff>19050</xdr:rowOff>
                  </from>
                  <to>
                    <xdr:col>26</xdr:col>
                    <xdr:colOff>673100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6" r:id="rId15" name="Button 12">
              <controlPr defaultSize="0" print="0" autoFill="0" autoPict="0" macro="[0]!化粧直し">
                <anchor moveWithCells="1" sizeWithCells="1">
                  <from>
                    <xdr:col>26</xdr:col>
                    <xdr:colOff>69850</xdr:colOff>
                    <xdr:row>63</xdr:row>
                    <xdr:rowOff>31750</xdr:rowOff>
                  </from>
                  <to>
                    <xdr:col>26</xdr:col>
                    <xdr:colOff>679450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7" r:id="rId16" name="Button 13">
              <controlPr defaultSize="0" print="0" autoFill="0" autoPict="0" macro="[0]!休日初期化">
                <anchor moveWithCells="1" sizeWithCells="1">
                  <from>
                    <xdr:col>26</xdr:col>
                    <xdr:colOff>146050</xdr:colOff>
                    <xdr:row>65</xdr:row>
                    <xdr:rowOff>69850</xdr:rowOff>
                  </from>
                  <to>
                    <xdr:col>26</xdr:col>
                    <xdr:colOff>641350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8" r:id="rId17" name="Button 14">
              <controlPr defaultSize="0" print="0" autoFill="0" autoPict="0" macro="[0]!初期状態">
                <anchor moveWithCells="1" sizeWithCells="1">
                  <from>
                    <xdr:col>26</xdr:col>
                    <xdr:colOff>57150</xdr:colOff>
                    <xdr:row>67</xdr:row>
                    <xdr:rowOff>88900</xdr:rowOff>
                  </from>
                  <to>
                    <xdr:col>26</xdr:col>
                    <xdr:colOff>666750</xdr:colOff>
                    <xdr:row>69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stopIfTrue="1" id="{3A5E8A82-AAD9-483B-9420-ECC533DE1987}">
            <xm:f xml:space="preserve"> OR($X$17=+テーブル!A2,$X$17=+テーブル!A3,$X$17=+テーブル!A9,$X$17=+テーブル!A10,$X$17=+テーブル!A12,$X$17=+テーブル!A13,$X$17=+テーブル!A16)</xm:f>
            <x14:dxf>
              <font>
                <color rgb="FFFF0000"/>
              </font>
            </x14:dxf>
          </x14:cfRule>
          <xm:sqref>D17:E17</xm:sqref>
        </x14:conditionalFormatting>
        <x14:conditionalFormatting xmlns:xm="http://schemas.microsoft.com/office/excel/2006/main">
          <x14:cfRule type="expression" priority="92" stopIfTrue="1" id="{D44B6E2A-298B-4303-AC6C-D9F538FDF8AE}">
            <xm:f xml:space="preserve"> OR($X$17=+テーブル!A2,$X$17=+テーブル!A4,$X$17=+テーブル!A9,$X$17=+テーブル!A11,$X$17=+テーブル!A12,$X$17=+テーブル!A14,$X$17=+テーブル!A16)</xm:f>
            <x14:dxf>
              <font>
                <color rgb="FFFF0000"/>
              </font>
            </x14:dxf>
          </x14:cfRule>
          <xm:sqref>F17:G17</xm:sqref>
        </x14:conditionalFormatting>
        <x14:conditionalFormatting xmlns:xm="http://schemas.microsoft.com/office/excel/2006/main">
          <x14:cfRule type="expression" priority="91" stopIfTrue="1" id="{FC7AAB95-C29C-4CAA-A325-845334852623}">
            <xm:f xml:space="preserve"> OR($X$17=+テーブル!A2,$X$17=+テーブル!A3,$X$17=+テーブル!A4,$X$17=+テーブル!A9,$X$17=+テーブル!A10,$X$17=+テーブル!A11,$X$17=+テーブル!A12,$X$17=+テーブル!A13,$X$17=+テーブル!A14,$X$17=+テーブル!A16)</xm:f>
            <x14:dxf>
              <font>
                <color rgb="FFFF0000"/>
              </font>
            </x14:dxf>
          </x14:cfRule>
          <xm:sqref>H17:I17</xm:sqref>
        </x14:conditionalFormatting>
        <x14:conditionalFormatting xmlns:xm="http://schemas.microsoft.com/office/excel/2006/main">
          <x14:cfRule type="expression" priority="90" stopIfTrue="1" id="{5E95E83D-2B20-419A-BD07-1C47A8B825C4}">
            <xm:f xml:space="preserve"> OR($X$18=+テーブル!A2,$X$18=+テーブル!A3,$X$18=+テーブル!A9,$X$18=+テーブル!A10,$X$18=+テーブル!A12,$X$18=+テーブル!A13,$X$18=+テーブル!A16)</xm:f>
            <x14:dxf>
              <font>
                <color rgb="FFFF0000"/>
              </font>
            </x14:dxf>
          </x14:cfRule>
          <xm:sqref>D18:E18</xm:sqref>
        </x14:conditionalFormatting>
        <x14:conditionalFormatting xmlns:xm="http://schemas.microsoft.com/office/excel/2006/main">
          <x14:cfRule type="expression" priority="89" stopIfTrue="1" id="{BD52F7E9-099F-4B99-888F-F09E228B5A68}">
            <xm:f xml:space="preserve"> OR($X$18=+テーブル!A2,$X$18=+テーブル!A4,$X$18=+テーブル!A9,$X$18=+テーブル!A11,$X$18=+テーブル!A12,$X$18=+テーブル!A14,$X$18=+テーブル!A16)</xm:f>
            <x14:dxf>
              <font>
                <color rgb="FFFF0000"/>
              </font>
            </x14:dxf>
          </x14:cfRule>
          <xm:sqref>F18:G18</xm:sqref>
        </x14:conditionalFormatting>
        <x14:conditionalFormatting xmlns:xm="http://schemas.microsoft.com/office/excel/2006/main">
          <x14:cfRule type="expression" priority="88" stopIfTrue="1" id="{B3FFB4DB-E7F4-4399-8441-E394E49CED60}">
            <xm:f xml:space="preserve"> OR($X$18=+テーブル!A2,$X$18=+テーブル!A3,$X$18=+テーブル!A4,$X$18=+テーブル!A9,$X$18=+テーブル!A10,$X$18=+テーブル!A11,$X$18=+テーブル!A12,$X$18=+テーブル!A13,$X$18=+テーブル!A14,$X$18=+テーブル!A16)</xm:f>
            <x14:dxf>
              <font>
                <color rgb="FFFF0000"/>
              </font>
            </x14:dxf>
          </x14:cfRule>
          <xm:sqref>H18:I18</xm:sqref>
        </x14:conditionalFormatting>
        <x14:conditionalFormatting xmlns:xm="http://schemas.microsoft.com/office/excel/2006/main">
          <x14:cfRule type="expression" priority="87" stopIfTrue="1" id="{186CCF7A-1D7C-4C33-9108-9BD07AA318AA}">
            <xm:f xml:space="preserve"> OR($X$19=+テーブル!A2,$X$19=+テーブル!A3,$X$19=+テーブル!A9,$X$19=+テーブル!A10,$X$19=+テーブル!A12,$X$19=+テーブル!A13,$X$19=+テーブル!A16)</xm:f>
            <x14:dxf>
              <font>
                <color rgb="FFFF0000"/>
              </font>
            </x14:dxf>
          </x14:cfRule>
          <xm:sqref>D19:E19</xm:sqref>
        </x14:conditionalFormatting>
        <x14:conditionalFormatting xmlns:xm="http://schemas.microsoft.com/office/excel/2006/main">
          <x14:cfRule type="expression" priority="86" stopIfTrue="1" id="{B9748221-9C0B-4192-9AFB-E2CE0A51F054}">
            <xm:f xml:space="preserve"> OR($X$19=+テーブル!A2,$X$19=+テーブル!A4,$X$19=+テーブル!A9,$X$19=+テーブル!A11,$X$19=+テーブル!A12,$X$19=+テーブル!A14,$X$19=+テーブル!A16)</xm:f>
            <x14:dxf>
              <font>
                <color rgb="FFFF0000"/>
              </font>
            </x14:dxf>
          </x14:cfRule>
          <xm:sqref>F19:G19</xm:sqref>
        </x14:conditionalFormatting>
        <x14:conditionalFormatting xmlns:xm="http://schemas.microsoft.com/office/excel/2006/main">
          <x14:cfRule type="expression" priority="85" stopIfTrue="1" id="{C613B2A9-3F47-48F5-A872-443CEC8B068D}">
            <xm:f xml:space="preserve"> OR($X$19=+テーブル!A2,$X$19=+テーブル!A3,$X$19=+テーブル!A4,$X$19=+テーブル!A9,$X$19=+テーブル!A10,$X$19=+テーブル!A11,$X$19=+テーブル!A12,$X$19=+テーブル!A13,$X$19=+テーブル!A14,$X$19=+テーブル!A16)</xm:f>
            <x14:dxf>
              <font>
                <color rgb="FFFF0000"/>
              </font>
            </x14:dxf>
          </x14:cfRule>
          <xm:sqref>H19:I19</xm:sqref>
        </x14:conditionalFormatting>
        <x14:conditionalFormatting xmlns:xm="http://schemas.microsoft.com/office/excel/2006/main">
          <x14:cfRule type="expression" priority="84" stopIfTrue="1" id="{328421F9-1AC2-4226-A07E-0EE6D80E0FE3}">
            <xm:f xml:space="preserve"> OR($X$20=+テーブル!A2,$X$20=+テーブル!A3,$X$20=+テーブル!A9,$X$20=+テーブル!A10,$X$20=+テーブル!A12,$X$20=+テーブル!A13,$X$20=+テーブル!A16)</xm:f>
            <x14:dxf>
              <font>
                <color rgb="FFFF000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83" stopIfTrue="1" id="{302C8037-46B5-4061-BF73-A03574BE7AF6}">
            <xm:f xml:space="preserve"> OR($X$20=+テーブル!A2,$X$20=+テーブル!A4,$X$20=+テーブル!A9,$X$20=+テーブル!A11,$X$20=+テーブル!A12,$X$20=+テーブル!A14,$X$20=+テーブル!A16)</xm:f>
            <x14:dxf>
              <font>
                <color rgb="FFFF0000"/>
              </font>
            </x14:dxf>
          </x14:cfRule>
          <xm:sqref>F20:G20</xm:sqref>
        </x14:conditionalFormatting>
        <x14:conditionalFormatting xmlns:xm="http://schemas.microsoft.com/office/excel/2006/main">
          <x14:cfRule type="expression" priority="82" stopIfTrue="1" id="{FCAA2F99-179B-45FB-8D22-C9E36989C463}">
            <xm:f xml:space="preserve"> OR($X$20=+テーブル!A2,$X$20=+テーブル!A3,$X$20=+テーブル!A4,$X$20=+テーブル!A9,$X$20=+テーブル!A10,$X$20=+テーブル!A11,$X$20=+テーブル!A12,$X$20=+テーブル!A13,$X$20=+テーブル!A14,$X$20=+テーブル!A16)</xm:f>
            <x14:dxf>
              <font>
                <color rgb="FFFF0000"/>
              </font>
            </x14:dxf>
          </x14:cfRule>
          <xm:sqref>H20:I20</xm:sqref>
        </x14:conditionalFormatting>
        <x14:conditionalFormatting xmlns:xm="http://schemas.microsoft.com/office/excel/2006/main">
          <x14:cfRule type="expression" priority="81" stopIfTrue="1" id="{AC46E723-91D8-4DAA-AECF-3B82A1C5A9C9}">
            <xm:f xml:space="preserve"> OR($X$21=+テーブル!A2,$X$21=+テーブル!A3,$X$21=+テーブル!A9,$X$21=+テーブル!A10,$X$21=+テーブル!A12,$X$21=+テーブル!A13,$X$21=+テーブル!A16)</xm:f>
            <x14:dxf>
              <font>
                <color rgb="FFFF0000"/>
              </font>
            </x14:dxf>
          </x14:cfRule>
          <xm:sqref>D21:E21</xm:sqref>
        </x14:conditionalFormatting>
        <x14:conditionalFormatting xmlns:xm="http://schemas.microsoft.com/office/excel/2006/main">
          <x14:cfRule type="expression" priority="80" stopIfTrue="1" id="{988110C0-3AF3-4125-97B5-8E425E1C3D19}">
            <xm:f xml:space="preserve"> OR($X$21=+テーブル!A2,$X$21=+テーブル!A4,$X$21=+テーブル!A9,$X$21=+テーブル!A11,$X$21=+テーブル!A12,$X$21=+テーブル!A14,$X$21=+テーブル!A16)</xm:f>
            <x14:dxf>
              <font>
                <color rgb="FFFF0000"/>
              </font>
            </x14:dxf>
          </x14:cfRule>
          <xm:sqref>F21:G21</xm:sqref>
        </x14:conditionalFormatting>
        <x14:conditionalFormatting xmlns:xm="http://schemas.microsoft.com/office/excel/2006/main">
          <x14:cfRule type="expression" priority="79" stopIfTrue="1" id="{DF56DC5E-FD9D-49FD-ACAA-69325A886FB9}">
            <xm:f xml:space="preserve"> OR($X$21=+テーブル!A2,$X$21=+テーブル!A3,$X$21=+テーブル!A4,$X$21=+テーブル!A9,$X$21=+テーブル!A10,$X$21=+テーブル!A11,$X$21=+テーブル!A12,$X$21=+テーブル!A13,$X$21=+テーブル!A14,$X$21=+テーブル!A16)</xm:f>
            <x14:dxf>
              <font>
                <color rgb="FFFF0000"/>
              </font>
            </x14:dxf>
          </x14:cfRule>
          <xm:sqref>H21:I21</xm:sqref>
        </x14:conditionalFormatting>
        <x14:conditionalFormatting xmlns:xm="http://schemas.microsoft.com/office/excel/2006/main">
          <x14:cfRule type="expression" priority="78" stopIfTrue="1" id="{878C97E8-22C4-4E24-8B44-8B4CDDD182AC}">
            <xm:f xml:space="preserve"> OR($X$22=+テーブル!A2,$X$22=+テーブル!A3,$X$22=+テーブル!A9,$X$22=+テーブル!A10,$X$22=+テーブル!A12,$X$22=+テーブル!A13,$X$22=+テーブル!A16)</xm:f>
            <x14:dxf>
              <font>
                <color rgb="FFFF0000"/>
              </font>
            </x14:dxf>
          </x14:cfRule>
          <xm:sqref>D22:E22</xm:sqref>
        </x14:conditionalFormatting>
        <x14:conditionalFormatting xmlns:xm="http://schemas.microsoft.com/office/excel/2006/main">
          <x14:cfRule type="expression" priority="77" stopIfTrue="1" id="{BBA21AC8-F70B-4F6B-AA17-0174FBA27161}">
            <xm:f xml:space="preserve"> OR($X$22=+テーブル!A2,$X$22=+テーブル!A4,$X$22=+テーブル!A9,$X$22=+テーブル!A11,$X$22=+テーブル!A12,$X$22=+テーブル!A14,$X$22=+テーブル!A16)</xm:f>
            <x14:dxf>
              <font>
                <color rgb="FFFF0000"/>
              </font>
            </x14:dxf>
          </x14:cfRule>
          <xm:sqref>F22:G22</xm:sqref>
        </x14:conditionalFormatting>
        <x14:conditionalFormatting xmlns:xm="http://schemas.microsoft.com/office/excel/2006/main">
          <x14:cfRule type="expression" priority="76" stopIfTrue="1" id="{B0D62E7A-07F6-47CB-9488-5CF9B0B02601}">
            <xm:f xml:space="preserve"> OR($X$22=+テーブル!A2,$X$22=+テーブル!A3,$X$22=+テーブル!A4,$X$22=+テーブル!A9,$X$22=+テーブル!A10,$X$22=+テーブル!A11,$X$22=+テーブル!A12,$X$22=+テーブル!A13,$X$22=+テーブル!A14,$X$22=+テーブル!A16)</xm:f>
            <x14:dxf>
              <font>
                <color rgb="FFFF0000"/>
              </font>
            </x14:dxf>
          </x14:cfRule>
          <xm:sqref>H22:I22</xm:sqref>
        </x14:conditionalFormatting>
        <x14:conditionalFormatting xmlns:xm="http://schemas.microsoft.com/office/excel/2006/main">
          <x14:cfRule type="expression" priority="75" stopIfTrue="1" id="{6D3D0CC5-63F1-4E70-BEE3-3B098BBEDF94}">
            <xm:f xml:space="preserve"> OR($X$23=+テーブル!A2,$X$23=+テーブル!A3,$X$23=+テーブル!A9,$X$23=+テーブル!A10,$X$23=+テーブル!A12,$X$23=+テーブル!A13,$X$23=+テーブル!A16)</xm:f>
            <x14:dxf>
              <font>
                <color rgb="FFFF0000"/>
              </font>
            </x14:dxf>
          </x14:cfRule>
          <xm:sqref>D23:E23</xm:sqref>
        </x14:conditionalFormatting>
        <x14:conditionalFormatting xmlns:xm="http://schemas.microsoft.com/office/excel/2006/main">
          <x14:cfRule type="expression" priority="74" stopIfTrue="1" id="{A6B0B43E-153B-4171-8E73-7FD8E56265A0}">
            <xm:f xml:space="preserve"> OR($X$23=+テーブル!A2,$X$23=+テーブル!A4,$X$23=+テーブル!A9,$X$23=+テーブル!A11,$X$23=+テーブル!A12,$X$23=+テーブル!A14,$X$23=+テーブル!A16)</xm:f>
            <x14:dxf>
              <font>
                <color rgb="FFFF0000"/>
              </font>
            </x14:dxf>
          </x14:cfRule>
          <xm:sqref>F23:G23</xm:sqref>
        </x14:conditionalFormatting>
        <x14:conditionalFormatting xmlns:xm="http://schemas.microsoft.com/office/excel/2006/main">
          <x14:cfRule type="expression" priority="73" stopIfTrue="1" id="{42B189F4-F6CC-4ABE-B464-B6B819B43A9B}">
            <xm:f xml:space="preserve"> OR($X$23=+テーブル!A2,$X$23=+テーブル!A3,$X$23=+テーブル!A4,$X$23=+テーブル!A9,$X$23=+テーブル!A10,$X$23=+テーブル!A11,$X$23=+テーブル!A12,$X$23=+テーブル!A13,$X$23=+テーブル!A14,$X$23=+テーブル!A16)</xm:f>
            <x14:dxf>
              <font>
                <color rgb="FFFF0000"/>
              </font>
            </x14:dxf>
          </x14:cfRule>
          <xm:sqref>H23:I23</xm:sqref>
        </x14:conditionalFormatting>
        <x14:conditionalFormatting xmlns:xm="http://schemas.microsoft.com/office/excel/2006/main">
          <x14:cfRule type="expression" priority="72" stopIfTrue="1" id="{2AC6FC33-3900-4F5E-8AB5-30C08C8020AB}">
            <xm:f xml:space="preserve"> OR($X$24=+テーブル!A2,$X$24=+テーブル!A3,$X$24=+テーブル!A9,$X$24=+テーブル!A10,$X$24=+テーブル!A12,$X$24=+テーブル!A13,$X$24=+テーブル!A16)</xm:f>
            <x14:dxf>
              <font>
                <color rgb="FFFF0000"/>
              </font>
            </x14:dxf>
          </x14:cfRule>
          <xm:sqref>D24:E24</xm:sqref>
        </x14:conditionalFormatting>
        <x14:conditionalFormatting xmlns:xm="http://schemas.microsoft.com/office/excel/2006/main">
          <x14:cfRule type="expression" priority="71" stopIfTrue="1" id="{D34E4645-45CC-417B-9A04-C922E7897193}">
            <xm:f xml:space="preserve"> OR($X$24=+テーブル!A2,$X$24=+テーブル!A4,$X$24=+テーブル!A9,$X$24=+テーブル!A11,$X$24=+テーブル!A12,$X$24=+テーブル!A14,$X$24=+テーブル!A16)</xm:f>
            <x14:dxf>
              <font>
                <color rgb="FFFF0000"/>
              </font>
            </x14:dxf>
          </x14:cfRule>
          <xm:sqref>F24:G24</xm:sqref>
        </x14:conditionalFormatting>
        <x14:conditionalFormatting xmlns:xm="http://schemas.microsoft.com/office/excel/2006/main">
          <x14:cfRule type="expression" priority="70" stopIfTrue="1" id="{E4F3D196-ABFF-4A1B-B6F2-E65CD16FF251}">
            <xm:f xml:space="preserve"> OR($X$24=+テーブル!A2,$X$24=+テーブル!A3,$X$24=+テーブル!A4,$X$24=+テーブル!A9,$X$24=+テーブル!A10,$X$24=+テーブル!A11,$X$24=+テーブル!A12,$X$24=+テーブル!A13,$X$24=+テーブル!A14,$X$24=+テーブル!A16)</xm:f>
            <x14:dxf>
              <font>
                <color rgb="FFFF0000"/>
              </font>
            </x14:dxf>
          </x14:cfRule>
          <xm:sqref>H24:I24</xm:sqref>
        </x14:conditionalFormatting>
        <x14:conditionalFormatting xmlns:xm="http://schemas.microsoft.com/office/excel/2006/main">
          <x14:cfRule type="expression" priority="69" stopIfTrue="1" id="{94B2E04C-1230-45FC-B030-6E29D22662CB}">
            <xm:f xml:space="preserve"> OR($X$25=+テーブル!A2,$X$25=+テーブル!A3,$X$25=+テーブル!A9,$X$25=+テーブル!A10,$X$25=+テーブル!A12,$X$25=+テーブル!A13,$X$25=+テーブル!A16)</xm:f>
            <x14:dxf>
              <font>
                <color rgb="FFFF0000"/>
              </font>
            </x14:dxf>
          </x14:cfRule>
          <xm:sqref>D25:E25</xm:sqref>
        </x14:conditionalFormatting>
        <x14:conditionalFormatting xmlns:xm="http://schemas.microsoft.com/office/excel/2006/main">
          <x14:cfRule type="expression" priority="68" stopIfTrue="1" id="{CD142078-F074-4C64-A4D6-61F1DA9A5F42}">
            <xm:f xml:space="preserve"> OR($X$25=+テーブル!A2,$X$25=+テーブル!A4,$X$25=+テーブル!A9,$X$25=+テーブル!A11,$X$25=+テーブル!A12,$X$25=+テーブル!A14,$X$25=+テーブル!A16)</xm:f>
            <x14:dxf>
              <font>
                <color rgb="FFFF0000"/>
              </font>
            </x14:dxf>
          </x14:cfRule>
          <xm:sqref>F25:G25</xm:sqref>
        </x14:conditionalFormatting>
        <x14:conditionalFormatting xmlns:xm="http://schemas.microsoft.com/office/excel/2006/main">
          <x14:cfRule type="expression" priority="67" stopIfTrue="1" id="{4CD6D943-DA88-4F43-8780-9C2215D92204}">
            <xm:f xml:space="preserve"> OR($X$25=+テーブル!A2,$X$25=+テーブル!A3,$X$25=+テーブル!A4,$X$25=+テーブル!A9,$X$25=+テーブル!A10,$X$25=+テーブル!A11,$X$25=+テーブル!A12,$X$25=+テーブル!A13,$X$25=+テーブル!A14,$X$25=+テーブル!A16)</xm:f>
            <x14:dxf>
              <font>
                <color rgb="FFFF0000"/>
              </font>
            </x14:dxf>
          </x14:cfRule>
          <xm:sqref>H25:I25</xm:sqref>
        </x14:conditionalFormatting>
        <x14:conditionalFormatting xmlns:xm="http://schemas.microsoft.com/office/excel/2006/main">
          <x14:cfRule type="expression" priority="66" stopIfTrue="1" id="{C113DFDC-3766-46E5-A1BF-C7B5B7ED2A9D}">
            <xm:f xml:space="preserve"> OR($X$26=+テーブル!A2,$X$26=+テーブル!A3,$X$26=+テーブル!A9,$X$26=+テーブル!A10,$X$26=+テーブル!A12,$X$26=+テーブル!A13,$X$26=+テーブル!A16)</xm:f>
            <x14:dxf>
              <font>
                <color rgb="FFFF0000"/>
              </font>
            </x14:dxf>
          </x14:cfRule>
          <xm:sqref>D26:E26</xm:sqref>
        </x14:conditionalFormatting>
        <x14:conditionalFormatting xmlns:xm="http://schemas.microsoft.com/office/excel/2006/main">
          <x14:cfRule type="expression" priority="65" stopIfTrue="1" id="{7A9A205E-DC6A-4A1D-8E6F-4904CA6409D3}">
            <xm:f xml:space="preserve"> OR($X$26=+テーブル!A2,$X$26=+テーブル!A4,$X$26=+テーブル!A9,$X$26=+テーブル!A11,$X$26=+テーブル!A12,$X$26=+テーブル!A14,$X$26=+テーブル!A16)</xm:f>
            <x14:dxf>
              <font>
                <color rgb="FFFF0000"/>
              </font>
            </x14:dxf>
          </x14:cfRule>
          <xm:sqref>F26:G26</xm:sqref>
        </x14:conditionalFormatting>
        <x14:conditionalFormatting xmlns:xm="http://schemas.microsoft.com/office/excel/2006/main">
          <x14:cfRule type="expression" priority="64" stopIfTrue="1" id="{010EBE0B-E58E-4384-9C84-1C74B7897E8A}">
            <xm:f xml:space="preserve"> OR($X$26=+テーブル!A2,$X$26=+テーブル!A3,$X$26=+テーブル!A4,$X$26=+テーブル!A9,$X$26=+テーブル!A10,$X$26=+テーブル!A11,$X$26=+テーブル!A12,$X$26=+テーブル!A13,$X$26=+テーブル!A14,$X$26=+テーブル!A16)</xm:f>
            <x14:dxf>
              <font>
                <color rgb="FFFF0000"/>
              </font>
            </x14:dxf>
          </x14:cfRule>
          <xm:sqref>H26:I26</xm:sqref>
        </x14:conditionalFormatting>
        <x14:conditionalFormatting xmlns:xm="http://schemas.microsoft.com/office/excel/2006/main">
          <x14:cfRule type="expression" priority="63" stopIfTrue="1" id="{51FB0C84-0B77-411C-9F11-FB87DC15EDDA}">
            <xm:f xml:space="preserve"> OR($X$27=+テーブル!A2,$X$27=+テーブル!A3,$X$27=+テーブル!A9,$X$27=+テーブル!A10,$X$27=+テーブル!A12,$X$27=+テーブル!A13,$X$27=+テーブル!A16)</xm:f>
            <x14:dxf>
              <font>
                <color rgb="FFFF0000"/>
              </font>
            </x14:dxf>
          </x14:cfRule>
          <xm:sqref>D27:E27</xm:sqref>
        </x14:conditionalFormatting>
        <x14:conditionalFormatting xmlns:xm="http://schemas.microsoft.com/office/excel/2006/main">
          <x14:cfRule type="expression" priority="62" stopIfTrue="1" id="{3981F243-6897-42C2-B83F-4EF4BD9C05F6}">
            <xm:f xml:space="preserve"> OR($X$27=+テーブル!A2,$X$27=+テーブル!A4,$X$27=+テーブル!A9,$X$27=+テーブル!A11,$X$27=+テーブル!A12,$X$27=+テーブル!A14,$X$27=+テーブル!A16)</xm:f>
            <x14:dxf>
              <font>
                <color rgb="FFFF0000"/>
              </font>
            </x14:dxf>
          </x14:cfRule>
          <xm:sqref>F27:G27</xm:sqref>
        </x14:conditionalFormatting>
        <x14:conditionalFormatting xmlns:xm="http://schemas.microsoft.com/office/excel/2006/main">
          <x14:cfRule type="expression" priority="61" stopIfTrue="1" id="{458066A6-04D1-4DA6-BE99-1B9A1C4D4520}">
            <xm:f xml:space="preserve"> OR($X$27=+テーブル!A2,$X$27=+テーブル!A3,$X$27=+テーブル!A4,$X$27=+テーブル!A9,$X$27=+テーブル!A10,$X$27=+テーブル!A11,$X$27=+テーブル!A12,$X$27=+テーブル!A13,$X$27=+テーブル!A14,$X$27=+テーブル!A16)</xm:f>
            <x14:dxf>
              <font>
                <color rgb="FFFF0000"/>
              </font>
            </x14:dxf>
          </x14:cfRule>
          <xm:sqref>H27:I27</xm:sqref>
        </x14:conditionalFormatting>
        <x14:conditionalFormatting xmlns:xm="http://schemas.microsoft.com/office/excel/2006/main">
          <x14:cfRule type="expression" priority="60" stopIfTrue="1" id="{5F11368D-C6FC-4A95-8F43-FBBD25034735}">
            <xm:f xml:space="preserve"> OR($X$28=+テーブル!A2,$X$28=+テーブル!A3,$X$28=+テーブル!A9,$X$28=+テーブル!A10,$X$28=+テーブル!A12,$X$28=+テーブル!A13,$X$28=+テーブル!A16)</xm:f>
            <x14:dxf>
              <font>
                <color rgb="FFFF0000"/>
              </font>
            </x14:dxf>
          </x14:cfRule>
          <xm:sqref>D28:E28</xm:sqref>
        </x14:conditionalFormatting>
        <x14:conditionalFormatting xmlns:xm="http://schemas.microsoft.com/office/excel/2006/main">
          <x14:cfRule type="expression" priority="59" stopIfTrue="1" id="{C7E4DCEB-48CC-46CC-901C-1EBA1B590573}">
            <xm:f xml:space="preserve"> OR($X$28=+テーブル!A2,$X$28=+テーブル!A4,$X$28=+テーブル!A9,$X$28=+テーブル!A11,$X$28=+テーブル!A12,$X$28=+テーブル!A14,$X$28=+テーブル!A16)</xm:f>
            <x14:dxf>
              <font>
                <color rgb="FFFF0000"/>
              </font>
            </x14:dxf>
          </x14:cfRule>
          <xm:sqref>F28:G28</xm:sqref>
        </x14:conditionalFormatting>
        <x14:conditionalFormatting xmlns:xm="http://schemas.microsoft.com/office/excel/2006/main">
          <x14:cfRule type="expression" priority="58" stopIfTrue="1" id="{431D0A51-F6A0-4720-A21C-0F5ADCF010A1}">
            <xm:f xml:space="preserve"> OR($X$28=+テーブル!A2,$X$28=+テーブル!A3,$X$28=+テーブル!A4,$X$28=+テーブル!A9,$X$28=+テーブル!A10,$X$28=+テーブル!A11,$X$28=+テーブル!A12,$X$28=+テーブル!A13,$X$28=+テーブル!A14,$X$28=+テーブル!A16)</xm:f>
            <x14:dxf>
              <font>
                <color rgb="FFFF0000"/>
              </font>
            </x14:dxf>
          </x14:cfRule>
          <xm:sqref>H28:I28</xm:sqref>
        </x14:conditionalFormatting>
        <x14:conditionalFormatting xmlns:xm="http://schemas.microsoft.com/office/excel/2006/main">
          <x14:cfRule type="expression" priority="57" stopIfTrue="1" id="{30E1FBDB-DE3D-4985-99A6-A812EF9CA477}">
            <xm:f xml:space="preserve"> OR($X$29=+テーブル!A2,$X$29=+テーブル!A3,$X$29=+テーブル!A9,$X$29=+テーブル!A10,$X$29=+テーブル!A12,$X$29=+テーブル!A13,$X$29=+テーブル!A16)</xm:f>
            <x14:dxf>
              <font>
                <color rgb="FFFF0000"/>
              </font>
            </x14:dxf>
          </x14:cfRule>
          <xm:sqref>D29:E29</xm:sqref>
        </x14:conditionalFormatting>
        <x14:conditionalFormatting xmlns:xm="http://schemas.microsoft.com/office/excel/2006/main">
          <x14:cfRule type="expression" priority="56" stopIfTrue="1" id="{CF92BA16-81F9-4018-AF0E-DE0EE05538BB}">
            <xm:f xml:space="preserve"> OR($X$29=+テーブル!A2,$X$29=+テーブル!A4,$X$29=+テーブル!A9,$X$29=+テーブル!A11,$X$29=+テーブル!A12,$X$29=+テーブル!A14,$X$29=+テーブル!A16)</xm:f>
            <x14:dxf>
              <font>
                <color rgb="FFFF0000"/>
              </font>
            </x14:dxf>
          </x14:cfRule>
          <xm:sqref>F29:G29</xm:sqref>
        </x14:conditionalFormatting>
        <x14:conditionalFormatting xmlns:xm="http://schemas.microsoft.com/office/excel/2006/main">
          <x14:cfRule type="expression" priority="55" stopIfTrue="1" id="{11CC0A7A-8BCE-4EEB-842C-82BD9562B95C}">
            <xm:f xml:space="preserve"> OR($X$29=+テーブル!A2,$X$29=+テーブル!A3,$X$29=+テーブル!A4,$X$29=+テーブル!A9,$X$29=+テーブル!A10,$X$29=+テーブル!A11,$X$29=+テーブル!A12,$X$29=+テーブル!A13,$X$29=+テーブル!A14,$X$29=+テーブル!A16)</xm:f>
            <x14:dxf>
              <font>
                <color rgb="FFFF0000"/>
              </font>
            </x14:dxf>
          </x14:cfRule>
          <xm:sqref>H29:I29</xm:sqref>
        </x14:conditionalFormatting>
        <x14:conditionalFormatting xmlns:xm="http://schemas.microsoft.com/office/excel/2006/main">
          <x14:cfRule type="expression" priority="54" stopIfTrue="1" id="{4C826E64-B09C-4FEC-9D53-D82C0675A082}">
            <xm:f xml:space="preserve"> OR($X$30=+テーブル!A2,$X$30=+テーブル!A3,$X$30=+テーブル!A9,$X$30=+テーブル!A10,$X$30=+テーブル!A12,$X$30=+テーブル!A13,$X$30=+テーブル!A16)</xm:f>
            <x14:dxf>
              <font>
                <color rgb="FFFF0000"/>
              </font>
            </x14:dxf>
          </x14:cfRule>
          <xm:sqref>D30:E30</xm:sqref>
        </x14:conditionalFormatting>
        <x14:conditionalFormatting xmlns:xm="http://schemas.microsoft.com/office/excel/2006/main">
          <x14:cfRule type="expression" priority="53" stopIfTrue="1" id="{CFB34EAA-4BD7-450F-856C-576E03B87507}">
            <xm:f xml:space="preserve"> OR($X$30=+テーブル!A2,$X$30=+テーブル!A4,$X$30=+テーブル!A9,$X$30=+テーブル!A11,$X$30=+テーブル!A12,$X$30=+テーブル!A14,$X$30=+テーブル!A16)</xm:f>
            <x14:dxf>
              <font>
                <color rgb="FFFF0000"/>
              </font>
            </x14:dxf>
          </x14:cfRule>
          <xm:sqref>F30:G30</xm:sqref>
        </x14:conditionalFormatting>
        <x14:conditionalFormatting xmlns:xm="http://schemas.microsoft.com/office/excel/2006/main">
          <x14:cfRule type="expression" priority="52" stopIfTrue="1" id="{F97EC3CF-A9DD-4EB6-B62B-88AAD9D0399F}">
            <xm:f xml:space="preserve"> OR($X$30=+テーブル!A2,$X$30=+テーブル!A3,$X$30=+テーブル!A4,$X$30=+テーブル!A9,$X$30=+テーブル!A10,$X$30=+テーブル!A11,$X$30=+テーブル!A12,$X$30=+テーブル!A13,$X$30=+テーブル!A14,$X$30=+テーブル!A16)</xm:f>
            <x14:dxf>
              <font>
                <color rgb="FFFF0000"/>
              </font>
            </x14:dxf>
          </x14:cfRule>
          <xm:sqref>H30:I30</xm:sqref>
        </x14:conditionalFormatting>
        <x14:conditionalFormatting xmlns:xm="http://schemas.microsoft.com/office/excel/2006/main">
          <x14:cfRule type="expression" priority="51" stopIfTrue="1" id="{299F57D0-6C3E-410A-9255-216B0F809457}">
            <xm:f xml:space="preserve"> OR($X$31=+テーブル!A2,$X$31=+テーブル!A3,$X$31=+テーブル!A9,$X$31=+テーブル!A10,$X$31=+テーブル!A12,$X$31=+テーブル!A13,$X$31=+テーブル!A16)</xm:f>
            <x14:dxf>
              <font>
                <color rgb="FFFF0000"/>
              </font>
            </x14:dxf>
          </x14:cfRule>
          <xm:sqref>D31:E31</xm:sqref>
        </x14:conditionalFormatting>
        <x14:conditionalFormatting xmlns:xm="http://schemas.microsoft.com/office/excel/2006/main">
          <x14:cfRule type="expression" priority="50" stopIfTrue="1" id="{A862A3E1-619B-4B30-8B5C-47FE90BDD0AF}">
            <xm:f xml:space="preserve"> OR($X$31=+テーブル!A2,$X$31=+テーブル!A4,$X$31=+テーブル!A9,$X$31=+テーブル!A11,$X$31=+テーブル!A12,$X$31=+テーブル!A14,$X$31=+テーブル!A16)</xm:f>
            <x14:dxf>
              <font>
                <color rgb="FFFF0000"/>
              </font>
            </x14:dxf>
          </x14:cfRule>
          <xm:sqref>F31:G31</xm:sqref>
        </x14:conditionalFormatting>
        <x14:conditionalFormatting xmlns:xm="http://schemas.microsoft.com/office/excel/2006/main">
          <x14:cfRule type="expression" priority="49" stopIfTrue="1" id="{6728C692-EF08-47F0-8EB7-A2F896F54484}">
            <xm:f xml:space="preserve"> OR($X$31=+テーブル!A2,$X$31=+テーブル!A3,$X$31=+テーブル!A4,$X$31=+テーブル!A9,$X$31=+テーブル!A10,$X$31=+テーブル!A11,$X$31=+テーブル!A12,$X$31=+テーブル!A13,$X$31=+テーブル!A14,$X$31=+テーブル!A16)</xm:f>
            <x14:dxf>
              <font>
                <color rgb="FFFF0000"/>
              </font>
            </x14:dxf>
          </x14:cfRule>
          <xm:sqref>H31:I31</xm:sqref>
        </x14:conditionalFormatting>
        <x14:conditionalFormatting xmlns:xm="http://schemas.microsoft.com/office/excel/2006/main">
          <x14:cfRule type="expression" priority="48" stopIfTrue="1" id="{56887BC7-033D-423D-B51B-B1B4F6F4DBF8}">
            <xm:f xml:space="preserve"> OR($X$32=+テーブル!A2,$X$32=+テーブル!A3,$X$32=+テーブル!A9,$X$32=+テーブル!A10,$X$32=+テーブル!A12,$X$32=+テーブル!A13,$X$32=+テーブル!A16)</xm:f>
            <x14:dxf>
              <font>
                <color rgb="FFFF0000"/>
              </font>
            </x14:dxf>
          </x14:cfRule>
          <xm:sqref>D32:E32</xm:sqref>
        </x14:conditionalFormatting>
        <x14:conditionalFormatting xmlns:xm="http://schemas.microsoft.com/office/excel/2006/main">
          <x14:cfRule type="expression" priority="47" stopIfTrue="1" id="{A520A61C-617C-4AD8-92FC-5718367B5866}">
            <xm:f xml:space="preserve"> OR($X$32=+テーブル!A2,$X$32=+テーブル!A4,$X$32=+テーブル!A9,$X$32=+テーブル!A11,$X$32=+テーブル!A12,$X$32=+テーブル!A14,$X$32=+テーブル!A16)</xm:f>
            <x14:dxf>
              <font>
                <color rgb="FFFF0000"/>
              </font>
            </x14:dxf>
          </x14:cfRule>
          <xm:sqref>F32:G32</xm:sqref>
        </x14:conditionalFormatting>
        <x14:conditionalFormatting xmlns:xm="http://schemas.microsoft.com/office/excel/2006/main">
          <x14:cfRule type="expression" priority="46" stopIfTrue="1" id="{420B87FD-289A-452E-94A4-ABEA4A198D16}">
            <xm:f xml:space="preserve"> OR($X$32=+テーブル!A2,$X$32=+テーブル!A3,$X$32=+テーブル!A4,$X$32=+テーブル!A9,$X$32=+テーブル!A10,$X$32=+テーブル!A11,$X$32=+テーブル!A12,$X$32=+テーブル!A13,$X$32=+テーブル!A14,$X$32=+テーブル!A16)</xm:f>
            <x14:dxf>
              <font>
                <color rgb="FFFF0000"/>
              </font>
            </x14:dxf>
          </x14:cfRule>
          <xm:sqref>H32:I32</xm:sqref>
        </x14:conditionalFormatting>
        <x14:conditionalFormatting xmlns:xm="http://schemas.microsoft.com/office/excel/2006/main">
          <x14:cfRule type="expression" priority="45" stopIfTrue="1" id="{CB533882-81A4-4FFB-AAC5-C022B27910BA}">
            <xm:f xml:space="preserve"> OR($X$33=+テーブル!A2,$X$33=+テーブル!A3,$X$33=+テーブル!A9,$X$33=+テーブル!A10,$X$33=+テーブル!A12,$X$33=+テーブル!A13,$X$33=+テーブル!A16)</xm:f>
            <x14:dxf>
              <font>
                <color rgb="FFFF0000"/>
              </font>
            </x14:dxf>
          </x14:cfRule>
          <xm:sqref>D33:E33</xm:sqref>
        </x14:conditionalFormatting>
        <x14:conditionalFormatting xmlns:xm="http://schemas.microsoft.com/office/excel/2006/main">
          <x14:cfRule type="expression" priority="44" stopIfTrue="1" id="{C6FECFF0-65E1-4EDE-99EE-58FB873F76B9}">
            <xm:f xml:space="preserve"> OR($X$33=+テーブル!A2,$X$33=+テーブル!A4,$X$33=+テーブル!A9,$X$33=+テーブル!A11,$X$33=+テーブル!A12,$X$33=+テーブル!A14,$X$33=+テーブル!A16)</xm:f>
            <x14:dxf>
              <font>
                <color rgb="FFFF0000"/>
              </font>
            </x14:dxf>
          </x14:cfRule>
          <xm:sqref>F33:G33</xm:sqref>
        </x14:conditionalFormatting>
        <x14:conditionalFormatting xmlns:xm="http://schemas.microsoft.com/office/excel/2006/main">
          <x14:cfRule type="expression" priority="43" stopIfTrue="1" id="{36B889F1-E8A1-483C-AE81-987A0019B83D}">
            <xm:f xml:space="preserve"> OR($X$33=+テーブル!A2,$X$33=+テーブル!A3,$X$33=+テーブル!A4,$X$33=+テーブル!A9,$X$33=+テーブル!A10,$X$33=+テーブル!A11,$X$33=+テーブル!A12,$X$33=+テーブル!A13,$X$33=+テーブル!A14,$X$33=+テーブル!A16)</xm:f>
            <x14:dxf>
              <font>
                <color rgb="FFFF0000"/>
              </font>
            </x14:dxf>
          </x14:cfRule>
          <xm:sqref>H33:I33</xm:sqref>
        </x14:conditionalFormatting>
        <x14:conditionalFormatting xmlns:xm="http://schemas.microsoft.com/office/excel/2006/main">
          <x14:cfRule type="expression" priority="42" stopIfTrue="1" id="{8E07F4F4-35D4-42FD-B21C-BD30ACF5B78D}">
            <xm:f xml:space="preserve"> OR($X$34=+テーブル!A2,$X$34=+テーブル!A3,$X$34=+テーブル!A9,$X$34=+テーブル!A10,$X$34=+テーブル!A12,$X$34=+テーブル!A13,$X$34=+テーブル!A16)</xm:f>
            <x14:dxf>
              <font>
                <color rgb="FFFF0000"/>
              </font>
            </x14:dxf>
          </x14:cfRule>
          <xm:sqref>D34:E34</xm:sqref>
        </x14:conditionalFormatting>
        <x14:conditionalFormatting xmlns:xm="http://schemas.microsoft.com/office/excel/2006/main">
          <x14:cfRule type="expression" priority="41" stopIfTrue="1" id="{DDF2D255-A060-4F09-9F09-B43010A1509D}">
            <xm:f xml:space="preserve"> OR($X$34=+テーブル!A2,$X$34=+テーブル!A4,$X$34=+テーブル!A9,$X$34=+テーブル!A11,$X$34=+テーブル!A12,$X$34=+テーブル!A14,$X$34=+テーブル!A16)</xm:f>
            <x14:dxf>
              <font>
                <color rgb="FFFF0000"/>
              </font>
            </x14:dxf>
          </x14:cfRule>
          <xm:sqref>F34:G34</xm:sqref>
        </x14:conditionalFormatting>
        <x14:conditionalFormatting xmlns:xm="http://schemas.microsoft.com/office/excel/2006/main">
          <x14:cfRule type="expression" priority="40" stopIfTrue="1" id="{D7A84AD5-4F71-4294-B80A-2F3CA4AB3B08}">
            <xm:f xml:space="preserve"> OR($X$34=+テーブル!A2,$X$34=+テーブル!A3,$X$34=+テーブル!A4,$X$34=+テーブル!A9,$X$34=+テーブル!A10,$X$34=+テーブル!A11,$X$34=+テーブル!A12,$X$34=+テーブル!A13,$X$34=+テーブル!A14,$X$34=+テーブル!A16)</xm:f>
            <x14:dxf>
              <font>
                <color rgb="FFFF0000"/>
              </font>
            </x14:dxf>
          </x14:cfRule>
          <xm:sqref>H34:I34</xm:sqref>
        </x14:conditionalFormatting>
        <x14:conditionalFormatting xmlns:xm="http://schemas.microsoft.com/office/excel/2006/main">
          <x14:cfRule type="expression" priority="39" stopIfTrue="1" id="{431DDCCE-F233-43C6-BB00-E3E33039923C}">
            <xm:f xml:space="preserve"> OR($X$35=+テーブル!A2,$X$35=+テーブル!A3,$X$35=+テーブル!A9,$X$35=+テーブル!A10,$X$35=+テーブル!A12,$X$35=+テーブル!A13,$X$35=+テーブル!A16)</xm:f>
            <x14:dxf>
              <font>
                <color rgb="FFFF0000"/>
              </font>
            </x14:dxf>
          </x14:cfRule>
          <xm:sqref>D35:E35</xm:sqref>
        </x14:conditionalFormatting>
        <x14:conditionalFormatting xmlns:xm="http://schemas.microsoft.com/office/excel/2006/main">
          <x14:cfRule type="expression" priority="38" stopIfTrue="1" id="{9251CF75-718C-4A64-9330-813B8161D0B5}">
            <xm:f xml:space="preserve"> OR($X$35=+テーブル!A2,$X$35=+テーブル!A4,$X$35=+テーブル!A9,$X$35=+テーブル!A11,$X$35=+テーブル!A12,$X$35=+テーブル!A14,$X$35=+テーブル!A16)</xm:f>
            <x14:dxf>
              <font>
                <color rgb="FFFF0000"/>
              </font>
            </x14:dxf>
          </x14:cfRule>
          <xm:sqref>F35:G35</xm:sqref>
        </x14:conditionalFormatting>
        <x14:conditionalFormatting xmlns:xm="http://schemas.microsoft.com/office/excel/2006/main">
          <x14:cfRule type="expression" priority="37" stopIfTrue="1" id="{5D340680-5531-43C7-9C93-69518C2680A3}">
            <xm:f xml:space="preserve"> OR($X$35=+テーブル!A2,$X$35=+テーブル!A3,$X$35=+テーブル!A4,$X$35=+テーブル!A9,$X$35=+テーブル!A10,$X$35=+テーブル!A11,$X$35=+テーブル!A12,$X$35=+テーブル!A13,$X$35=+テーブル!A14,$X$35=+テーブル!A16)</xm:f>
            <x14:dxf>
              <font>
                <color rgb="FFFF0000"/>
              </font>
            </x14:dxf>
          </x14:cfRule>
          <xm:sqref>H35:I35</xm:sqref>
        </x14:conditionalFormatting>
        <x14:conditionalFormatting xmlns:xm="http://schemas.microsoft.com/office/excel/2006/main">
          <x14:cfRule type="expression" priority="36" stopIfTrue="1" id="{4297CFB9-5396-4C11-8FA1-69BC63F4149E}">
            <xm:f xml:space="preserve"> OR($X$36=+テーブル!A2,$X$36=+テーブル!A3,$X$36=+テーブル!A9,$X$36=+テーブル!A10,$X$36=+テーブル!A12,$X$36=+テーブル!A13,$X$36=+テーブル!A16)</xm:f>
            <x14:dxf>
              <font>
                <color rgb="FFFF0000"/>
              </font>
            </x14:dxf>
          </x14:cfRule>
          <xm:sqref>D36:E36</xm:sqref>
        </x14:conditionalFormatting>
        <x14:conditionalFormatting xmlns:xm="http://schemas.microsoft.com/office/excel/2006/main">
          <x14:cfRule type="expression" priority="35" stopIfTrue="1" id="{7DC590D7-7A85-41D4-957E-6C1FBDCBB7EE}">
            <xm:f xml:space="preserve"> OR($X$36=+テーブル!A2,$X$36=+テーブル!A4,$X$36=+テーブル!A9,$X$36=+テーブル!A11,$X$36=+テーブル!A12,$X$36=+テーブル!A14,$X$36=+テーブル!A16)</xm:f>
            <x14:dxf>
              <font>
                <color rgb="FFFF0000"/>
              </font>
            </x14:dxf>
          </x14:cfRule>
          <xm:sqref>F36:G36</xm:sqref>
        </x14:conditionalFormatting>
        <x14:conditionalFormatting xmlns:xm="http://schemas.microsoft.com/office/excel/2006/main">
          <x14:cfRule type="expression" priority="34" stopIfTrue="1" id="{2E45BEAD-B410-4094-A9BA-2FC8B118160F}">
            <xm:f xml:space="preserve"> OR($X$36=+テーブル!A2,$X$36=+テーブル!A3,$X$36=+テーブル!A4,$X$36=+テーブル!A9,$X$36=+テーブル!A10,$X$36=+テーブル!A11,$X$36=+テーブル!A12,$X$36=+テーブル!A13,$X$36=+テーブル!A14,$X$36=+テーブル!A16)</xm:f>
            <x14:dxf>
              <font>
                <color rgb="FFFF0000"/>
              </font>
            </x14:dxf>
          </x14:cfRule>
          <xm:sqref>H36:I36</xm:sqref>
        </x14:conditionalFormatting>
        <x14:conditionalFormatting xmlns:xm="http://schemas.microsoft.com/office/excel/2006/main">
          <x14:cfRule type="expression" priority="33" stopIfTrue="1" id="{A7EC8CBD-76CB-4337-ADBE-D2D603CCADDB}">
            <xm:f xml:space="preserve"> OR($X$37=+テーブル!A2,$X$37=+テーブル!A3,$X$37=+テーブル!A9,$X$37=+テーブル!A10,$X$37=+テーブル!A12,$X$37=+テーブル!A13,$X$37=+テーブル!A16)</xm:f>
            <x14:dxf>
              <font>
                <color rgb="FFFF0000"/>
              </font>
            </x14:dxf>
          </x14:cfRule>
          <xm:sqref>D37:E37</xm:sqref>
        </x14:conditionalFormatting>
        <x14:conditionalFormatting xmlns:xm="http://schemas.microsoft.com/office/excel/2006/main">
          <x14:cfRule type="expression" priority="32" stopIfTrue="1" id="{9CB3B819-0D0C-4970-B43A-EC7E5AFE79F6}">
            <xm:f xml:space="preserve"> OR($X$37=+テーブル!A2,$X$37=+テーブル!A4,$X$37=+テーブル!A9,$X$37=+テーブル!A11,$X$37=+テーブル!A12,$X$37=+テーブル!A14,$X$37=+テーブル!A16)</xm:f>
            <x14:dxf>
              <font>
                <color rgb="FFFF0000"/>
              </font>
            </x14:dxf>
          </x14:cfRule>
          <xm:sqref>F37:G37</xm:sqref>
        </x14:conditionalFormatting>
        <x14:conditionalFormatting xmlns:xm="http://schemas.microsoft.com/office/excel/2006/main">
          <x14:cfRule type="expression" priority="31" stopIfTrue="1" id="{A3211722-AFDE-48BF-A050-9C951A49F36C}">
            <xm:f xml:space="preserve"> OR($X$37=+テーブル!A2,$X$37=+テーブル!A3,$X$37=+テーブル!A4,$X$37=+テーブル!A9,$X$37=+テーブル!A10,$X$37=+テーブル!A11,$X$37=+テーブル!A12,$X$37=+テーブル!A13,$X$37=+テーブル!A14,$X$37=+テーブル!A16)</xm:f>
            <x14:dxf>
              <font>
                <color rgb="FFFF0000"/>
              </font>
            </x14:dxf>
          </x14:cfRule>
          <xm:sqref>H37:I37</xm:sqref>
        </x14:conditionalFormatting>
        <x14:conditionalFormatting xmlns:xm="http://schemas.microsoft.com/office/excel/2006/main">
          <x14:cfRule type="expression" priority="30" stopIfTrue="1" id="{BF2C7C12-46F5-4AAF-AC1C-22B9BABB46B3}">
            <xm:f xml:space="preserve"> OR($X$38=+テーブル!A2,$X$38=+テーブル!A3,$X$38=+テーブル!A9,$X$38=+テーブル!A10,$X$38=+テーブル!A12,$X$38=+テーブル!A13,$X$38=+テーブル!A16)</xm:f>
            <x14:dxf>
              <font>
                <color rgb="FFFF0000"/>
              </font>
            </x14:dxf>
          </x14:cfRule>
          <xm:sqref>D38:E38</xm:sqref>
        </x14:conditionalFormatting>
        <x14:conditionalFormatting xmlns:xm="http://schemas.microsoft.com/office/excel/2006/main">
          <x14:cfRule type="expression" priority="29" stopIfTrue="1" id="{9F1E2161-1D20-4962-957D-E7F07FE07298}">
            <xm:f xml:space="preserve"> OR($X$38=+テーブル!A2,$X$38=+テーブル!A4,$X$38=+テーブル!A9,$X$38=+テーブル!A11,$X$38=+テーブル!A12,$X$38=+テーブル!A14,$X$38=+テーブル!A16)</xm:f>
            <x14:dxf>
              <font>
                <color rgb="FFFF0000"/>
              </font>
            </x14:dxf>
          </x14:cfRule>
          <xm:sqref>F38:G38</xm:sqref>
        </x14:conditionalFormatting>
        <x14:conditionalFormatting xmlns:xm="http://schemas.microsoft.com/office/excel/2006/main">
          <x14:cfRule type="expression" priority="28" stopIfTrue="1" id="{6360E02D-9F98-46C4-AE6C-B90E4DEC8505}">
            <xm:f xml:space="preserve"> OR($X$38=+テーブル!A2,$X$38=+テーブル!A3,$X$38=+テーブル!A4,$X$38=+テーブル!A9,$X$38=+テーブル!A10,$X$38=+テーブル!A11,$X$38=+テーブル!A12,$X$38=+テーブル!A13,$X$38=+テーブル!A14,$X$38=+テーブル!A16)</xm:f>
            <x14:dxf>
              <font>
                <color rgb="FFFF0000"/>
              </font>
            </x14:dxf>
          </x14:cfRule>
          <xm:sqref>H38:I38</xm:sqref>
        </x14:conditionalFormatting>
        <x14:conditionalFormatting xmlns:xm="http://schemas.microsoft.com/office/excel/2006/main">
          <x14:cfRule type="expression" priority="27" stopIfTrue="1" id="{E1232A46-0E32-4B56-8BF3-35B8FAC92A56}">
            <xm:f xml:space="preserve"> OR($X$39=+テーブル!A2,$X$39=+テーブル!A3,$X$39=+テーブル!A9,$X$39=+テーブル!A10,$X$39=+テーブル!A12,$X$39=+テーブル!A13,$X$39=+テーブル!A16)</xm:f>
            <x14:dxf>
              <font>
                <color rgb="FFFF0000"/>
              </font>
            </x14:dxf>
          </x14:cfRule>
          <xm:sqref>D39:E39</xm:sqref>
        </x14:conditionalFormatting>
        <x14:conditionalFormatting xmlns:xm="http://schemas.microsoft.com/office/excel/2006/main">
          <x14:cfRule type="expression" priority="26" stopIfTrue="1" id="{F6DF5432-2D5C-4232-800A-20750905C8D4}">
            <xm:f xml:space="preserve"> OR($X$39=+テーブル!A2,$X$39=+テーブル!A4,$X$39=+テーブル!A9,$X$39=+テーブル!A11,$X$39=+テーブル!A12,$X$39=+テーブル!A14,$X$39=+テーブル!A16)</xm:f>
            <x14:dxf>
              <font>
                <color rgb="FFFF0000"/>
              </font>
            </x14:dxf>
          </x14:cfRule>
          <xm:sqref>F39:G39</xm:sqref>
        </x14:conditionalFormatting>
        <x14:conditionalFormatting xmlns:xm="http://schemas.microsoft.com/office/excel/2006/main">
          <x14:cfRule type="expression" priority="25" stopIfTrue="1" id="{0D0A02B3-BD76-4EB4-832D-59C277BCA5D3}">
            <xm:f xml:space="preserve"> OR($X$39=+テーブル!A2,$X$39=+テーブル!A3,$X$39=+テーブル!A4,$X$39=+テーブル!A9,$X$39=+テーブル!A10,$X$39=+テーブル!A11,$X$39=+テーブル!A12,$X$39=+テーブル!A13,$X$39=+テーブル!A14,$X$39=+テーブル!A16)</xm:f>
            <x14:dxf>
              <font>
                <color rgb="FFFF0000"/>
              </font>
            </x14:dxf>
          </x14:cfRule>
          <xm:sqref>H39:I39</xm:sqref>
        </x14:conditionalFormatting>
        <x14:conditionalFormatting xmlns:xm="http://schemas.microsoft.com/office/excel/2006/main">
          <x14:cfRule type="expression" priority="24" stopIfTrue="1" id="{06A4B1DA-F38F-47EB-A29A-E1071C2579F7}">
            <xm:f xml:space="preserve"> OR($X$40=+テーブル!A2,$X$40=+テーブル!A3,$X$40=+テーブル!A9,$X$40=+テーブル!A10,$X$40=+テーブル!A12,$X$40=+テーブル!A13,$X$40=+テーブル!A16)</xm:f>
            <x14:dxf>
              <font>
                <color rgb="FFFF0000"/>
              </font>
            </x14:dxf>
          </x14:cfRule>
          <xm:sqref>D40:E40</xm:sqref>
        </x14:conditionalFormatting>
        <x14:conditionalFormatting xmlns:xm="http://schemas.microsoft.com/office/excel/2006/main">
          <x14:cfRule type="expression" priority="23" stopIfTrue="1" id="{4FC96E10-B1A9-435F-972C-1453FDC72BF8}">
            <xm:f xml:space="preserve"> OR($X$40=+テーブル!A2,$X$40=+テーブル!A4,$X$40=+テーブル!A9,$X$40=+テーブル!A11,$X$40=+テーブル!A12,$X$40=+テーブル!A14,$X$40=+テーブル!A16)</xm:f>
            <x14:dxf>
              <font>
                <color rgb="FFFF0000"/>
              </font>
            </x14:dxf>
          </x14:cfRule>
          <xm:sqref>F40:G40</xm:sqref>
        </x14:conditionalFormatting>
        <x14:conditionalFormatting xmlns:xm="http://schemas.microsoft.com/office/excel/2006/main">
          <x14:cfRule type="expression" priority="22" stopIfTrue="1" id="{1313C96F-967E-406A-8C0E-A6A61EF7C985}">
            <xm:f xml:space="preserve"> OR($X$40=+テーブル!A2,$X$40=+テーブル!A3,$X$40=+テーブル!A4,$X$40=+テーブル!A9,$X$40=+テーブル!A10,$X$40=+テーブル!A11,$X$40=+テーブル!A12,$X$40=+テーブル!A13,$X$40=+テーブル!A14,$X$40=+テーブル!A16)</xm:f>
            <x14:dxf>
              <font>
                <color rgb="FFFF0000"/>
              </font>
            </x14:dxf>
          </x14:cfRule>
          <xm:sqref>H40:I40</xm:sqref>
        </x14:conditionalFormatting>
        <x14:conditionalFormatting xmlns:xm="http://schemas.microsoft.com/office/excel/2006/main">
          <x14:cfRule type="expression" priority="21" stopIfTrue="1" id="{52741B62-6B87-47A5-B447-2CB2F22A747A}">
            <xm:f xml:space="preserve"> OR($X$41=+テーブル!A2,$X$41=+テーブル!A3,$X$41=+テーブル!A9,$X$41=+テーブル!A10,$X$41=+テーブル!A12,$X$41=+テーブル!A13,$X$41=+テーブル!A16)</xm:f>
            <x14:dxf>
              <font>
                <color rgb="FFFF0000"/>
              </font>
            </x14:dxf>
          </x14:cfRule>
          <xm:sqref>D41:E41</xm:sqref>
        </x14:conditionalFormatting>
        <x14:conditionalFormatting xmlns:xm="http://schemas.microsoft.com/office/excel/2006/main">
          <x14:cfRule type="expression" priority="20" stopIfTrue="1" id="{E100B0C3-2731-477E-9A3A-D6FF9C239324}">
            <xm:f xml:space="preserve"> OR($X$41=+テーブル!A2,$X$41=+テーブル!A4,$X$41=+テーブル!A9,$X$41=+テーブル!A11,$X$41=+テーブル!A12,$X$41=+テーブル!A14,$X$41=+テーブル!A16)</xm:f>
            <x14:dxf>
              <font>
                <color rgb="FFFF0000"/>
              </font>
            </x14:dxf>
          </x14:cfRule>
          <xm:sqref>F41:G41</xm:sqref>
        </x14:conditionalFormatting>
        <x14:conditionalFormatting xmlns:xm="http://schemas.microsoft.com/office/excel/2006/main">
          <x14:cfRule type="expression" priority="19" stopIfTrue="1" id="{54E72D45-4A15-4A17-BE9B-D2007A8DFA2A}">
            <xm:f xml:space="preserve"> OR($X$41=+テーブル!A2,$X$41=+テーブル!A3,$X$41=+テーブル!A4,$X$41=+テーブル!A9,$X$41=+テーブル!A10,$X$41=+テーブル!A11,$X$41=+テーブル!A12,$X$41=+テーブル!A13,$X$41=+テーブル!A14,$X$41=+テーブル!A16)</xm:f>
            <x14:dxf>
              <font>
                <color rgb="FFFF0000"/>
              </font>
            </x14:dxf>
          </x14:cfRule>
          <xm:sqref>H41:I41</xm:sqref>
        </x14:conditionalFormatting>
        <x14:conditionalFormatting xmlns:xm="http://schemas.microsoft.com/office/excel/2006/main">
          <x14:cfRule type="expression" priority="18" stopIfTrue="1" id="{18154A4C-9AC3-4B6C-964C-F342F7015A9A}">
            <xm:f xml:space="preserve"> OR($X$42=+テーブル!A2,$X$42=+テーブル!A3,$X$42=+テーブル!A9,$X$42=+テーブル!A10,$X$42=+テーブル!A12,$X$42=+テーブル!A13,$X$42=+テーブル!A16)</xm:f>
            <x14:dxf>
              <font>
                <color rgb="FFFF0000"/>
              </font>
            </x14:dxf>
          </x14:cfRule>
          <xm:sqref>D42:E42</xm:sqref>
        </x14:conditionalFormatting>
        <x14:conditionalFormatting xmlns:xm="http://schemas.microsoft.com/office/excel/2006/main">
          <x14:cfRule type="expression" priority="17" stopIfTrue="1" id="{3B611F21-E0EE-4D47-9009-87505460E1C5}">
            <xm:f xml:space="preserve"> OR($X$42=+テーブル!A2,$X$42=+テーブル!A4,$X$42=+テーブル!A9,$X$42=+テーブル!A11,$X$42=+テーブル!A12,$X$42=+テーブル!A14,$X$42=+テーブル!A16)</xm:f>
            <x14:dxf>
              <font>
                <color rgb="FFFF0000"/>
              </font>
            </x14:dxf>
          </x14:cfRule>
          <xm:sqref>F42:G42</xm:sqref>
        </x14:conditionalFormatting>
        <x14:conditionalFormatting xmlns:xm="http://schemas.microsoft.com/office/excel/2006/main">
          <x14:cfRule type="expression" priority="16" stopIfTrue="1" id="{296FC80D-CC47-4A2C-AD30-BD67EBCC02CE}">
            <xm:f xml:space="preserve"> OR($X$42=+テーブル!A2,$X$42=+テーブル!A3,$X$42=+テーブル!A4,$X$42=+テーブル!A9,$X$42=+テーブル!A10,$X$42=+テーブル!A11,$X$42=+テーブル!A12,$X$42=+テーブル!A13,$X$42=+テーブル!A14,$X$42=+テーブル!A16)</xm:f>
            <x14:dxf>
              <font>
                <color rgb="FFFF0000"/>
              </font>
            </x14:dxf>
          </x14:cfRule>
          <xm:sqref>H42:I42</xm:sqref>
        </x14:conditionalFormatting>
        <x14:conditionalFormatting xmlns:xm="http://schemas.microsoft.com/office/excel/2006/main">
          <x14:cfRule type="expression" priority="15" stopIfTrue="1" id="{3B2DDAD1-FE51-4DEC-BF60-E21197A8BED0}">
            <xm:f xml:space="preserve"> OR($X$43=+テーブル!A2,$X$43=+テーブル!A3,$X$43=+テーブル!A9,$X$43=+テーブル!A10,$X$43=+テーブル!A12,$X$43=+テーブル!A13,$X$43=+テーブル!A16)</xm:f>
            <x14:dxf>
              <font>
                <color rgb="FFFF0000"/>
              </font>
            </x14:dxf>
          </x14:cfRule>
          <xm:sqref>D43:E43</xm:sqref>
        </x14:conditionalFormatting>
        <x14:conditionalFormatting xmlns:xm="http://schemas.microsoft.com/office/excel/2006/main">
          <x14:cfRule type="expression" priority="14" stopIfTrue="1" id="{EBB4A1E9-81AB-46CE-B253-BBEFFB141EF5}">
            <xm:f xml:space="preserve"> OR($X$43=+テーブル!A2,$X$43=+テーブル!A4,$X$43=+テーブル!A9,$X$43=+テーブル!A11,$X$43=+テーブル!A12,$X$43=+テーブル!A14,$X$43=+テーブル!A16)</xm:f>
            <x14:dxf>
              <font>
                <color rgb="FFFF0000"/>
              </font>
            </x14:dxf>
          </x14:cfRule>
          <xm:sqref>F43:G43</xm:sqref>
        </x14:conditionalFormatting>
        <x14:conditionalFormatting xmlns:xm="http://schemas.microsoft.com/office/excel/2006/main">
          <x14:cfRule type="expression" priority="13" stopIfTrue="1" id="{AD5DF7FB-1FF3-4C46-9705-971FF531D6AC}">
            <xm:f xml:space="preserve"> OR($X$43=+テーブル!A2,$X$43=+テーブル!A3,$X$43=+テーブル!A4,$X$43=+テーブル!A9,$X$43=+テーブル!A10,$X$43=+テーブル!A11,$X$43=+テーブル!A12,$X$43=+テーブル!A13,$X$43=+テーブル!A14,$X$43=+テーブル!A16)</xm:f>
            <x14:dxf>
              <font>
                <color rgb="FFFF0000"/>
              </font>
            </x14:dxf>
          </x14:cfRule>
          <xm:sqref>H43:I43</xm:sqref>
        </x14:conditionalFormatting>
        <x14:conditionalFormatting xmlns:xm="http://schemas.microsoft.com/office/excel/2006/main">
          <x14:cfRule type="expression" priority="12" stopIfTrue="1" id="{F3B3C3F3-3211-4189-ACE8-ACD99DEFE813}">
            <xm:f xml:space="preserve"> OR($X$44=+テーブル!A2,$X$44=+テーブル!A3,$X$44=+テーブル!A9,$X$44=+テーブル!A10,$X$44=+テーブル!A12,$X$44=+テーブル!A13,$X$44=+テーブル!A16)</xm:f>
            <x14:dxf>
              <font>
                <color rgb="FFFF0000"/>
              </font>
            </x14:dxf>
          </x14:cfRule>
          <xm:sqref>D44:E44</xm:sqref>
        </x14:conditionalFormatting>
        <x14:conditionalFormatting xmlns:xm="http://schemas.microsoft.com/office/excel/2006/main">
          <x14:cfRule type="expression" priority="11" stopIfTrue="1" id="{6397AA46-5177-4076-A1D3-506BE1ED6B83}">
            <xm:f xml:space="preserve"> OR($X$44=+テーブル!A2,$X$44=+テーブル!A4,$X$44=+テーブル!A9,$X$44=+テーブル!A11,$X$44=+テーブル!A12,$X$44=+テーブル!A14,$X$44=+テーブル!A16)</xm:f>
            <x14:dxf>
              <font>
                <color rgb="FFFF0000"/>
              </font>
            </x14:dxf>
          </x14:cfRule>
          <xm:sqref>F44:G44</xm:sqref>
        </x14:conditionalFormatting>
        <x14:conditionalFormatting xmlns:xm="http://schemas.microsoft.com/office/excel/2006/main">
          <x14:cfRule type="expression" priority="10" stopIfTrue="1" id="{E4D34DA6-8DC6-4CD0-AD0D-6538B8D92663}">
            <xm:f xml:space="preserve"> OR($X$44=+テーブル!A2,$X$44=+テーブル!A3,$X$44=+テーブル!A4,$X$44=+テーブル!A9,$X$44=+テーブル!A10,$X$44=+テーブル!A11,$X$44=+テーブル!A12,$X$44=+テーブル!A13,$X$44=+テーブル!A14,$X$44=+テーブル!A16)</xm:f>
            <x14:dxf>
              <font>
                <color rgb="FFFF0000"/>
              </font>
            </x14:dxf>
          </x14:cfRule>
          <xm:sqref>H44:I44</xm:sqref>
        </x14:conditionalFormatting>
        <x14:conditionalFormatting xmlns:xm="http://schemas.microsoft.com/office/excel/2006/main">
          <x14:cfRule type="expression" priority="9" stopIfTrue="1" id="{FA9C48B5-98CF-4A2A-8496-9791AB2A4E58}">
            <xm:f xml:space="preserve"> OR($X$45=+テーブル!A2,$X$45=+テーブル!A3,$X$45=+テーブル!A9,$X$45=+テーブル!A10,$X$45=+テーブル!A12,$X$45=+テーブル!A13,$X$45=+テーブル!A16)</xm:f>
            <x14:dxf>
              <font>
                <color rgb="FFFF0000"/>
              </font>
            </x14:dxf>
          </x14:cfRule>
          <xm:sqref>D45:E45</xm:sqref>
        </x14:conditionalFormatting>
        <x14:conditionalFormatting xmlns:xm="http://schemas.microsoft.com/office/excel/2006/main">
          <x14:cfRule type="expression" priority="8" stopIfTrue="1" id="{3976373D-6CEE-4AE0-BDBB-B8D7B3E1612E}">
            <xm:f xml:space="preserve"> OR($X$45=+テーブル!A2,$X$45=+テーブル!A4,$X$45=+テーブル!A9,$X$45=+テーブル!A11,$X$45=+テーブル!A12,$X$45=+テーブル!A14,$X$45=+テーブル!A16)</xm:f>
            <x14:dxf>
              <font>
                <color rgb="FFFF0000"/>
              </font>
            </x14:dxf>
          </x14:cfRule>
          <xm:sqref>F45:G45</xm:sqref>
        </x14:conditionalFormatting>
        <x14:conditionalFormatting xmlns:xm="http://schemas.microsoft.com/office/excel/2006/main">
          <x14:cfRule type="expression" priority="7" stopIfTrue="1" id="{99DA3C5F-E87F-4582-AAD1-71CAD665227F}">
            <xm:f xml:space="preserve"> OR($X$45=+テーブル!A2,$X$45=+テーブル!A3,$X$45=+テーブル!A4,$X$45=+テーブル!A9,$X$45=+テーブル!A10,$X$45=+テーブル!A11,$X$45=+テーブル!A12,$X$45=+テーブル!A13,$X$45=+テーブル!A14,$X$45=+テーブル!A16)</xm:f>
            <x14:dxf>
              <font>
                <color rgb="FFFF0000"/>
              </font>
            </x14:dxf>
          </x14:cfRule>
          <xm:sqref>H45:I45</xm:sqref>
        </x14:conditionalFormatting>
        <x14:conditionalFormatting xmlns:xm="http://schemas.microsoft.com/office/excel/2006/main">
          <x14:cfRule type="expression" priority="6" stopIfTrue="1" id="{7B4A9166-8D18-48F1-BAD5-CBEE39A4F27C}">
            <xm:f xml:space="preserve"> OR($X$46=+テーブル!A2,$X$46=+テーブル!A3,$X$46=+テーブル!A9,$X$46=+テーブル!A10,$X$46=+テーブル!A12,$X$46=+テーブル!A13,$X$46=+テーブル!A16)</xm:f>
            <x14:dxf>
              <font>
                <color rgb="FFFF0000"/>
              </font>
            </x14:dxf>
          </x14:cfRule>
          <xm:sqref>D46:E46</xm:sqref>
        </x14:conditionalFormatting>
        <x14:conditionalFormatting xmlns:xm="http://schemas.microsoft.com/office/excel/2006/main">
          <x14:cfRule type="expression" priority="5" stopIfTrue="1" id="{C5A3FB8D-6276-45CF-8FB9-4C4A68B31872}">
            <xm:f xml:space="preserve"> OR($X$46=+テーブル!A2,$X$46=+テーブル!A4,$X$46=+テーブル!A9,$X$46=+テーブル!A11,$X$46=+テーブル!A12,$X$46=+テーブル!A14,$X$46=+テーブル!A16)</xm:f>
            <x14:dxf>
              <font>
                <color rgb="FFFF0000"/>
              </font>
            </x14:dxf>
          </x14:cfRule>
          <xm:sqref>F46:G46</xm:sqref>
        </x14:conditionalFormatting>
        <x14:conditionalFormatting xmlns:xm="http://schemas.microsoft.com/office/excel/2006/main">
          <x14:cfRule type="expression" priority="4" stopIfTrue="1" id="{D844D1A0-3BC8-41AD-96E7-917C09F581B9}">
            <xm:f xml:space="preserve"> OR($X$46=+テーブル!A2,$X$46=+テーブル!A3,$X$46=+テーブル!A4,$X$46=+テーブル!A9,$X$46=+テーブル!A10,$X$46=+テーブル!A11,$X$46=+テーブル!A12,$X$46=+テーブル!A13,$X$46=+テーブル!A14,$X$46=+テーブル!A16)</xm:f>
            <x14:dxf>
              <font>
                <color rgb="FFFF0000"/>
              </font>
            </x14:dxf>
          </x14:cfRule>
          <xm:sqref>H46:I46</xm:sqref>
        </x14:conditionalFormatting>
        <x14:conditionalFormatting xmlns:xm="http://schemas.microsoft.com/office/excel/2006/main">
          <x14:cfRule type="expression" priority="3" stopIfTrue="1" id="{13DFCEDC-C59C-4AAA-9788-7E6F73CA9E8B}">
            <xm:f xml:space="preserve"> OR($X$47=+テーブル!A2,$X$47=+テーブル!A3,$X$47=+テーブル!A9,$X$47=+テーブル!A10,$X$47=+テーブル!A12,$X$47=+テーブル!A13,$X$47=+テーブル!A16)</xm:f>
            <x14:dxf>
              <font>
                <color rgb="FFFF0000"/>
              </font>
            </x14:dxf>
          </x14:cfRule>
          <xm:sqref>D47:E47</xm:sqref>
        </x14:conditionalFormatting>
        <x14:conditionalFormatting xmlns:xm="http://schemas.microsoft.com/office/excel/2006/main">
          <x14:cfRule type="expression" priority="2" stopIfTrue="1" id="{F98C409A-7AAB-408F-A41B-7F3A30D7BA5B}">
            <xm:f xml:space="preserve"> OR($X$47=+テーブル!A2,$X$47=+テーブル!A4,$X$47=+テーブル!A9,$X$47=+テーブル!A11,$X$47=+テーブル!A12,$X$47=+テーブル!A14,$X$47=+テーブル!A16)</xm:f>
            <x14:dxf>
              <font>
                <color rgb="FFFF0000"/>
              </font>
            </x14:dxf>
          </x14:cfRule>
          <xm:sqref>F47:G47</xm:sqref>
        </x14:conditionalFormatting>
        <x14:conditionalFormatting xmlns:xm="http://schemas.microsoft.com/office/excel/2006/main">
          <x14:cfRule type="expression" priority="1" stopIfTrue="1" id="{7EE1BF91-8F60-4136-B9A8-26CE0D4314A6}">
            <xm:f xml:space="preserve"> OR($X$47=+テーブル!A2,$X$47=+テーブル!A3,$X$47=+テーブル!A4,$X$47=+テーブル!A9,$X$47=+テーブル!A10,$X$47=+テーブル!A11,$X$47=+テーブル!A12,$X$47=+テーブル!A13,$X$47=+テーブル!A14,$X$47=+テーブル!A16)</xm:f>
            <x14:dxf>
              <font>
                <color rgb="FFFF0000"/>
              </font>
            </x14:dxf>
          </x14:cfRule>
          <xm:sqref>H47:I47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A41912A-8915-423B-A4A1-3596835F6B64}">
          <x14:formula1>
            <xm:f>テーブル!$Q:$Q</xm:f>
          </x14:formula1>
          <xm:sqref>D62:I64</xm:sqref>
        </x14:dataValidation>
        <x14:dataValidation type="list" allowBlank="1" showInputMessage="1" showErrorMessage="1" xr:uid="{640D3514-349C-438A-A356-B6D9964AE71B}">
          <x14:formula1>
            <xm:f>テーブル!$P:$P</xm:f>
          </x14:formula1>
          <xm:sqref>D61:I61</xm:sqref>
        </x14:dataValidation>
        <x14:dataValidation type="list" allowBlank="1" showInputMessage="1" showErrorMessage="1" xr:uid="{01A0C57E-F901-4AB4-A02D-C158891E55CF}">
          <x14:formula1>
            <xm:f>テーブル!$B:$B</xm:f>
          </x14:formula1>
          <xm:sqref>P57:W57</xm:sqref>
        </x14:dataValidation>
        <x14:dataValidation type="list" allowBlank="1" showInputMessage="1" showErrorMessage="1" xr:uid="{7C87CAFF-9B1D-405D-B46B-0F214E25ECBB}">
          <x14:formula1>
            <xm:f>テーブル!$A:$A</xm:f>
          </x14:formula1>
          <xm:sqref>X17:Z47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BC032-1BDB-4E20-AB4B-D4E866D2C9EC}">
  <sheetPr codeName="Sheet35">
    <pageSetUpPr fitToPage="1"/>
  </sheetPr>
  <dimension ref="A1:AH83"/>
  <sheetViews>
    <sheetView view="pageBreakPreview" zoomScaleNormal="130" zoomScaleSheetLayoutView="100" workbookViewId="0">
      <pane ySplit="16" topLeftCell="A17" activePane="bottomLeft" state="frozen"/>
      <selection activeCell="AC46" sqref="AC46"/>
      <selection pane="bottomLeft" activeCell="AC46" sqref="AC46"/>
    </sheetView>
  </sheetViews>
  <sheetFormatPr defaultRowHeight="13" x14ac:dyDescent="0.2"/>
  <cols>
    <col min="1" max="1" width="5.36328125" customWidth="1"/>
    <col min="2" max="7" width="3.6328125" customWidth="1"/>
    <col min="8" max="8" width="4.36328125" customWidth="1"/>
    <col min="9" max="12" width="3.6328125" customWidth="1"/>
    <col min="13" max="15" width="3.90625" customWidth="1"/>
    <col min="16" max="26" width="3.6328125" customWidth="1"/>
    <col min="27" max="28" width="10.453125" bestFit="1" customWidth="1"/>
    <col min="257" max="282" width="3.6328125" customWidth="1"/>
    <col min="513" max="538" width="3.6328125" customWidth="1"/>
    <col min="769" max="794" width="3.6328125" customWidth="1"/>
    <col min="1025" max="1050" width="3.6328125" customWidth="1"/>
    <col min="1281" max="1306" width="3.6328125" customWidth="1"/>
    <col min="1537" max="1562" width="3.6328125" customWidth="1"/>
    <col min="1793" max="1818" width="3.6328125" customWidth="1"/>
    <col min="2049" max="2074" width="3.6328125" customWidth="1"/>
    <col min="2305" max="2330" width="3.6328125" customWidth="1"/>
    <col min="2561" max="2586" width="3.6328125" customWidth="1"/>
    <col min="2817" max="2842" width="3.6328125" customWidth="1"/>
    <col min="3073" max="3098" width="3.6328125" customWidth="1"/>
    <col min="3329" max="3354" width="3.6328125" customWidth="1"/>
    <col min="3585" max="3610" width="3.6328125" customWidth="1"/>
    <col min="3841" max="3866" width="3.6328125" customWidth="1"/>
    <col min="4097" max="4122" width="3.6328125" customWidth="1"/>
    <col min="4353" max="4378" width="3.6328125" customWidth="1"/>
    <col min="4609" max="4634" width="3.6328125" customWidth="1"/>
    <col min="4865" max="4890" width="3.6328125" customWidth="1"/>
    <col min="5121" max="5146" width="3.6328125" customWidth="1"/>
    <col min="5377" max="5402" width="3.6328125" customWidth="1"/>
    <col min="5633" max="5658" width="3.6328125" customWidth="1"/>
    <col min="5889" max="5914" width="3.6328125" customWidth="1"/>
    <col min="6145" max="6170" width="3.6328125" customWidth="1"/>
    <col min="6401" max="6426" width="3.6328125" customWidth="1"/>
    <col min="6657" max="6682" width="3.6328125" customWidth="1"/>
    <col min="6913" max="6938" width="3.6328125" customWidth="1"/>
    <col min="7169" max="7194" width="3.6328125" customWidth="1"/>
    <col min="7425" max="7450" width="3.6328125" customWidth="1"/>
    <col min="7681" max="7706" width="3.6328125" customWidth="1"/>
    <col min="7937" max="7962" width="3.6328125" customWidth="1"/>
    <col min="8193" max="8218" width="3.6328125" customWidth="1"/>
    <col min="8449" max="8474" width="3.6328125" customWidth="1"/>
    <col min="8705" max="8730" width="3.6328125" customWidth="1"/>
    <col min="8961" max="8986" width="3.6328125" customWidth="1"/>
    <col min="9217" max="9242" width="3.6328125" customWidth="1"/>
    <col min="9473" max="9498" width="3.6328125" customWidth="1"/>
    <col min="9729" max="9754" width="3.6328125" customWidth="1"/>
    <col min="9985" max="10010" width="3.6328125" customWidth="1"/>
    <col min="10241" max="10266" width="3.6328125" customWidth="1"/>
    <col min="10497" max="10522" width="3.6328125" customWidth="1"/>
    <col min="10753" max="10778" width="3.6328125" customWidth="1"/>
    <col min="11009" max="11034" width="3.6328125" customWidth="1"/>
    <col min="11265" max="11290" width="3.6328125" customWidth="1"/>
    <col min="11521" max="11546" width="3.6328125" customWidth="1"/>
    <col min="11777" max="11802" width="3.6328125" customWidth="1"/>
    <col min="12033" max="12058" width="3.6328125" customWidth="1"/>
    <col min="12289" max="12314" width="3.6328125" customWidth="1"/>
    <col min="12545" max="12570" width="3.6328125" customWidth="1"/>
    <col min="12801" max="12826" width="3.6328125" customWidth="1"/>
    <col min="13057" max="13082" width="3.6328125" customWidth="1"/>
    <col min="13313" max="13338" width="3.6328125" customWidth="1"/>
    <col min="13569" max="13594" width="3.6328125" customWidth="1"/>
    <col min="13825" max="13850" width="3.6328125" customWidth="1"/>
    <col min="14081" max="14106" width="3.6328125" customWidth="1"/>
    <col min="14337" max="14362" width="3.6328125" customWidth="1"/>
    <col min="14593" max="14618" width="3.6328125" customWidth="1"/>
    <col min="14849" max="14874" width="3.6328125" customWidth="1"/>
    <col min="15105" max="15130" width="3.6328125" customWidth="1"/>
    <col min="15361" max="15386" width="3.6328125" customWidth="1"/>
    <col min="15617" max="15642" width="3.6328125" customWidth="1"/>
    <col min="15873" max="15898" width="3.6328125" customWidth="1"/>
    <col min="16129" max="16154" width="3.6328125" customWidth="1"/>
  </cols>
  <sheetData>
    <row r="1" spans="1:32" ht="8" customHeight="1" x14ac:dyDescent="0.2">
      <c r="A1" s="55">
        <v>45413</v>
      </c>
      <c r="B1" s="85">
        <v>45413</v>
      </c>
      <c r="AB1" s="55"/>
      <c r="AC1" s="57"/>
    </row>
    <row r="2" spans="1:32" ht="8" customHeight="1" x14ac:dyDescent="0.2">
      <c r="A2" s="3"/>
      <c r="B2" s="3"/>
      <c r="C2" s="3"/>
      <c r="D2" s="3"/>
      <c r="E2" s="3"/>
      <c r="F2" s="3"/>
      <c r="G2" s="3"/>
      <c r="H2" s="3"/>
      <c r="I2" s="3"/>
      <c r="J2" s="4"/>
      <c r="K2" s="4"/>
      <c r="L2" s="5"/>
      <c r="M2" s="6"/>
      <c r="N2" s="6"/>
      <c r="O2" s="6"/>
      <c r="P2" s="4"/>
      <c r="X2" t="s">
        <v>66</v>
      </c>
      <c r="Y2" s="361">
        <f>LOOKUP(10^10,Ver管理!C3:C33)</f>
        <v>6</v>
      </c>
      <c r="Z2" s="361"/>
    </row>
    <row r="3" spans="1:32" ht="10" customHeight="1" thickBot="1" x14ac:dyDescent="0.25">
      <c r="A3" s="362">
        <f ca="1">+VLOOKUP(AB5,テーブル!L:M,2,0)</f>
        <v>46357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2"/>
      <c r="R3" s="362"/>
      <c r="S3" s="362"/>
      <c r="T3" s="362"/>
      <c r="U3" s="362"/>
      <c r="V3" s="362"/>
      <c r="W3" s="362"/>
      <c r="X3" s="362"/>
      <c r="Y3" s="362"/>
      <c r="Z3" s="362"/>
    </row>
    <row r="4" spans="1:32" ht="10" customHeight="1" x14ac:dyDescent="0.2">
      <c r="A4" s="362"/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B4" s="68"/>
      <c r="AC4" s="69"/>
      <c r="AD4" s="70"/>
    </row>
    <row r="5" spans="1:32" ht="14.15" customHeight="1" x14ac:dyDescent="0.2">
      <c r="A5" s="363" t="s">
        <v>202</v>
      </c>
      <c r="B5" s="363"/>
      <c r="C5" s="363"/>
      <c r="D5" s="363"/>
      <c r="E5" s="364" t="str">
        <f>+'11月'!$E$5</f>
        <v>NMHT　社員</v>
      </c>
      <c r="F5" s="364"/>
      <c r="G5" s="364"/>
      <c r="H5" s="364"/>
      <c r="I5" s="364"/>
      <c r="J5" s="7"/>
      <c r="K5" s="7"/>
      <c r="L5" s="7"/>
      <c r="M5" s="7"/>
      <c r="N5" s="7"/>
      <c r="O5" s="7"/>
      <c r="P5" s="7" t="str">
        <f ca="1">IF(_xlfn.XLOOKUP(当月,テーブル!U:U,テーブル!V:V,0,FALSE)+_xlfn.XLOOKUP(当月,テーブル!U:U,テーブル!W:W,0,FALSE)&lt;&gt;_xlfn.XLOOKUP(AB6,テーブル!U:U,テーブル!V:V,0,FALSE)+_xlfn.XLOOKUP(AB6,テーブル!U:U,テーブル!W:W,0,FALSE),"基給+手当1に前月と差異があります。","")</f>
        <v/>
      </c>
      <c r="Q5" s="7"/>
      <c r="R5" s="8"/>
      <c r="S5" s="8"/>
      <c r="T5" s="8"/>
      <c r="U5" s="8"/>
      <c r="AB5" s="71" t="str" cm="1">
        <f t="array" aca="1" ref="AB5" ca="1">RIGHT(CELL("filename",A1),LEN(CELL("filename",A1))-FIND("]",CELL("filename",A1)))</f>
        <v>12月</v>
      </c>
      <c r="AC5" t="s">
        <v>158</v>
      </c>
      <c r="AD5" s="72"/>
    </row>
    <row r="6" spans="1:32" ht="14.15" customHeight="1" x14ac:dyDescent="0.25">
      <c r="A6" s="366">
        <f>+'11月'!$A$6</f>
        <v>2000002</v>
      </c>
      <c r="B6" s="366"/>
      <c r="C6" s="366"/>
      <c r="D6" s="366"/>
      <c r="E6" s="365"/>
      <c r="F6" s="365"/>
      <c r="G6" s="365"/>
      <c r="H6" s="365"/>
      <c r="I6" s="365"/>
      <c r="J6" s="9" t="s">
        <v>98</v>
      </c>
      <c r="K6" s="108" t="str">
        <f ca="1">HYPERLINK(LEFT(TEXT(CELL("filename",B2),0),SEARCH("\[",TEXT(CELL("filename",B2),0),1)-1)&amp;"\")</f>
        <v>Z:\マクロ保管場所谷津用\2月控除分\</v>
      </c>
      <c r="L6" s="5"/>
      <c r="M6" s="6"/>
      <c r="N6" s="6"/>
      <c r="O6" s="6"/>
      <c r="P6" s="4"/>
      <c r="AB6" s="71" t="str">
        <f ca="1">+IF(SUBSTITUTE(当月,"月","")-1=0,12,SUBSTITUTE(当月,"月","")-1) &amp; "月"</f>
        <v>11月</v>
      </c>
      <c r="AC6" s="74" t="s">
        <v>170</v>
      </c>
      <c r="AD6" s="72"/>
    </row>
    <row r="7" spans="1:32" ht="14.15" customHeight="1" x14ac:dyDescent="0.2">
      <c r="I7" s="3"/>
      <c r="K7" s="11"/>
      <c r="N7" s="368"/>
      <c r="O7" s="368"/>
      <c r="P7" s="367" t="s">
        <v>272</v>
      </c>
      <c r="Q7" s="358"/>
      <c r="R7" s="358"/>
      <c r="S7" s="358"/>
      <c r="T7" s="358"/>
      <c r="U7" s="358"/>
      <c r="V7" s="358"/>
      <c r="W7" s="358"/>
      <c r="X7" s="358"/>
      <c r="Y7" s="358"/>
      <c r="Z7" s="358"/>
      <c r="AB7" s="73"/>
      <c r="AC7" s="56">
        <v>0.91666666666666663</v>
      </c>
      <c r="AD7" s="72"/>
    </row>
    <row r="8" spans="1:32" ht="14.15" hidden="1" customHeight="1" thickBot="1" x14ac:dyDescent="0.25">
      <c r="A8" s="163" t="s">
        <v>99</v>
      </c>
      <c r="B8" s="120"/>
      <c r="C8" s="350" t="str">
        <f>+'11月'!C8</f>
        <v>株式会社エヌエム・ヒューマテック</v>
      </c>
      <c r="D8" s="351"/>
      <c r="E8" s="351"/>
      <c r="F8" s="351"/>
      <c r="G8" s="351"/>
      <c r="H8" s="351"/>
      <c r="I8" s="352"/>
      <c r="J8" s="353"/>
      <c r="K8" s="11"/>
      <c r="L8" s="1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B8" s="75">
        <f ca="1">+IF(給与体系="管理監督者",0,IF(給与体系="月給制",1,2))</f>
        <v>2</v>
      </c>
      <c r="AC8" s="76">
        <v>0.20833333333333334</v>
      </c>
      <c r="AD8" s="77"/>
    </row>
    <row r="9" spans="1:32" ht="14.15" hidden="1" customHeight="1" x14ac:dyDescent="0.2">
      <c r="A9" s="166"/>
      <c r="B9" s="123"/>
      <c r="C9" s="354"/>
      <c r="D9" s="355"/>
      <c r="E9" s="355"/>
      <c r="F9" s="355"/>
      <c r="G9" s="355"/>
      <c r="H9" s="355"/>
      <c r="I9" s="356"/>
      <c r="J9" s="357"/>
      <c r="K9" s="13"/>
      <c r="P9" s="53"/>
      <c r="Q9" s="54" t="s">
        <v>269</v>
      </c>
      <c r="R9" s="52"/>
      <c r="S9" s="52"/>
      <c r="T9" s="358" t="s">
        <v>270</v>
      </c>
      <c r="U9" s="358"/>
      <c r="V9" s="358"/>
      <c r="W9" s="358"/>
      <c r="X9" s="358"/>
      <c r="Y9" s="358"/>
      <c r="Z9" s="358"/>
    </row>
    <row r="10" spans="1:32" ht="14.15" hidden="1" customHeight="1" x14ac:dyDescent="0.2">
      <c r="A10" s="163" t="s">
        <v>100</v>
      </c>
      <c r="B10" s="120"/>
      <c r="C10" s="359" t="str">
        <f>+'11月'!C10</f>
        <v>管理部</v>
      </c>
      <c r="D10" s="332"/>
      <c r="E10" s="332"/>
      <c r="F10" s="332"/>
      <c r="G10" s="332"/>
      <c r="H10" s="332"/>
      <c r="I10" s="333"/>
      <c r="J10" s="334"/>
      <c r="K10" s="13"/>
      <c r="P10" s="53"/>
      <c r="Q10" s="52"/>
      <c r="R10" s="52"/>
      <c r="S10" s="52"/>
      <c r="T10" s="360" t="s">
        <v>271</v>
      </c>
      <c r="U10" s="360"/>
      <c r="V10" s="360"/>
      <c r="W10" s="360"/>
      <c r="X10" s="360"/>
      <c r="Y10" s="360"/>
      <c r="Z10" s="360"/>
    </row>
    <row r="11" spans="1:32" ht="14.15" hidden="1" customHeight="1" x14ac:dyDescent="0.2">
      <c r="A11" s="166"/>
      <c r="B11" s="123"/>
      <c r="C11" s="335"/>
      <c r="D11" s="336"/>
      <c r="E11" s="336"/>
      <c r="F11" s="336"/>
      <c r="G11" s="336"/>
      <c r="H11" s="336"/>
      <c r="I11" s="337"/>
      <c r="J11" s="338"/>
      <c r="K11" s="4"/>
      <c r="L11" s="4"/>
      <c r="P11" s="52"/>
      <c r="Q11" s="54" t="s">
        <v>96</v>
      </c>
      <c r="R11" s="54"/>
      <c r="S11" s="53"/>
      <c r="T11" s="54"/>
      <c r="U11" s="53"/>
      <c r="V11" s="54" t="s">
        <v>97</v>
      </c>
      <c r="W11" s="54"/>
      <c r="X11" s="52"/>
      <c r="Y11" s="52"/>
      <c r="Z11" s="52"/>
      <c r="AE11" t="s">
        <v>178</v>
      </c>
    </row>
    <row r="12" spans="1:32" ht="14.15" hidden="1" customHeight="1" x14ac:dyDescent="0.2">
      <c r="A12" s="163" t="s">
        <v>101</v>
      </c>
      <c r="B12" s="120"/>
      <c r="C12" s="331"/>
      <c r="D12" s="332"/>
      <c r="E12" s="332"/>
      <c r="F12" s="332"/>
      <c r="G12" s="332"/>
      <c r="H12" s="332"/>
      <c r="I12" s="333"/>
      <c r="J12" s="334"/>
      <c r="K12" s="13"/>
      <c r="M12" s="15"/>
      <c r="N12" s="15"/>
      <c r="O12" s="14"/>
      <c r="P12" s="14"/>
      <c r="Q12" s="14"/>
      <c r="R12" s="14"/>
      <c r="S12" s="14"/>
      <c r="T12" s="14"/>
      <c r="U12" s="14"/>
      <c r="V12" s="8"/>
      <c r="W12" s="8"/>
      <c r="AF12">
        <f ca="1">+IFERROR(((MAX(0,超過勤務時間計+深夜残業時間計-60)*1.5+MIN(60,超過勤務時間計+深夜残業時間計)*1.25))/(超過勤務時間計),0)</f>
        <v>0</v>
      </c>
    </row>
    <row r="13" spans="1:32" ht="14.15" hidden="1" customHeight="1" x14ac:dyDescent="0.2">
      <c r="A13" s="166"/>
      <c r="B13" s="123"/>
      <c r="C13" s="335"/>
      <c r="D13" s="336"/>
      <c r="E13" s="336"/>
      <c r="F13" s="336"/>
      <c r="G13" s="336"/>
      <c r="H13" s="336"/>
      <c r="I13" s="337"/>
      <c r="J13" s="338"/>
      <c r="K13" s="13"/>
      <c r="M13" s="16"/>
      <c r="N13" s="15"/>
      <c r="O13" s="14"/>
      <c r="P13" s="14"/>
      <c r="Q13" s="14"/>
      <c r="R13" s="14"/>
      <c r="S13" s="14">
        <f>+'11月'!S13</f>
        <v>0</v>
      </c>
    </row>
    <row r="14" spans="1:32" ht="14.15" hidden="1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4"/>
      <c r="K14" s="4"/>
      <c r="L14" s="4"/>
      <c r="M14" s="4"/>
      <c r="N14" s="17"/>
      <c r="O14" s="4"/>
      <c r="P14" s="4"/>
      <c r="U14" s="18"/>
    </row>
    <row r="15" spans="1:32" ht="14.15" customHeight="1" x14ac:dyDescent="0.2">
      <c r="A15" s="339" t="s">
        <v>5</v>
      </c>
      <c r="B15" s="340"/>
      <c r="C15" s="339" t="s">
        <v>6</v>
      </c>
      <c r="D15" s="312" t="s">
        <v>36</v>
      </c>
      <c r="E15" s="343"/>
      <c r="F15" s="343"/>
      <c r="G15" s="313"/>
      <c r="H15" s="344" t="s">
        <v>37</v>
      </c>
      <c r="I15" s="345"/>
      <c r="J15" s="345" t="s">
        <v>7</v>
      </c>
      <c r="K15" s="348"/>
      <c r="L15" s="314" t="s">
        <v>8</v>
      </c>
      <c r="M15" s="325"/>
      <c r="N15" s="328" t="s">
        <v>9</v>
      </c>
      <c r="O15" s="315"/>
      <c r="P15" s="314" t="s">
        <v>10</v>
      </c>
      <c r="Q15" s="315"/>
      <c r="R15" s="314" t="s">
        <v>11</v>
      </c>
      <c r="S15" s="315"/>
      <c r="T15" s="314" t="s">
        <v>12</v>
      </c>
      <c r="U15" s="315"/>
      <c r="V15" s="314" t="s">
        <v>43</v>
      </c>
      <c r="W15" s="315"/>
      <c r="X15" s="304" t="s">
        <v>122</v>
      </c>
      <c r="Y15" s="305"/>
      <c r="Z15" s="306"/>
      <c r="AA15" s="310" t="s">
        <v>107</v>
      </c>
      <c r="AB15" t="s">
        <v>32</v>
      </c>
    </row>
    <row r="16" spans="1:32" ht="14.15" customHeight="1" x14ac:dyDescent="0.2">
      <c r="A16" s="341"/>
      <c r="B16" s="342"/>
      <c r="C16" s="341"/>
      <c r="D16" s="312" t="s">
        <v>14</v>
      </c>
      <c r="E16" s="313"/>
      <c r="F16" s="312" t="s">
        <v>15</v>
      </c>
      <c r="G16" s="313"/>
      <c r="H16" s="346"/>
      <c r="I16" s="347"/>
      <c r="J16" s="347"/>
      <c r="K16" s="349"/>
      <c r="L16" s="326"/>
      <c r="M16" s="327"/>
      <c r="N16" s="329"/>
      <c r="O16" s="317"/>
      <c r="P16" s="316"/>
      <c r="Q16" s="317"/>
      <c r="R16" s="316"/>
      <c r="S16" s="317"/>
      <c r="T16" s="316"/>
      <c r="U16" s="317"/>
      <c r="V16" s="316"/>
      <c r="W16" s="317"/>
      <c r="X16" s="307"/>
      <c r="Y16" s="308"/>
      <c r="Z16" s="309"/>
      <c r="AA16" s="311"/>
      <c r="AB16" t="s">
        <v>210</v>
      </c>
      <c r="AC16" s="59"/>
    </row>
    <row r="17" spans="1:30" s="59" customFormat="1" ht="14.15" customHeight="1" x14ac:dyDescent="0.2">
      <c r="A17" s="318">
        <f ca="1">A3</f>
        <v>46357</v>
      </c>
      <c r="B17" s="319"/>
      <c r="C17" s="78">
        <f ca="1">IF(A17="","",IF(WEEKDAY(A17,1)=1,1,IF(COUNTIF(祝日管理!B:B,A17)=1,"祝",WEEKDAY(A17,1))))</f>
        <v>3</v>
      </c>
      <c r="D17" s="320"/>
      <c r="E17" s="320"/>
      <c r="F17" s="320"/>
      <c r="G17" s="320"/>
      <c r="H17" s="320"/>
      <c r="I17" s="321"/>
      <c r="J17" s="322">
        <f>IF(OR(D17="",F17="",H17=""),0,IF(F17&gt;D17,F17,F17+24)-D17-H17)</f>
        <v>0</v>
      </c>
      <c r="K17" s="323"/>
      <c r="L17" s="299">
        <f>IF(J17="",0,(HOUR(J17))+(ROUNDDOWN(MINUTE(J17)/60,2)*1))</f>
        <v>0</v>
      </c>
      <c r="M17" s="324"/>
      <c r="N17" s="330">
        <f ca="1">+IF(ISERROR(IF(A17="",0,IF(OR(X17="法休",X17="所休")=1,0,IF(L17=0,0,MIN(8,L17-R17))))),"",IF(A17="","",IF(OR(X17="法休",X17="所休"),0,IF(L17=0,0,MIN(8,L17-R17)))))</f>
        <v>0</v>
      </c>
      <c r="O17" s="300"/>
      <c r="P17" s="299">
        <f ca="1">+IF(ISERROR(IF(A17="","",IF(X17="法休",0,MAX(0,L17-N17-R17)))),0,IF(A17="","",IF(X17="法休",0,MAX(0,L17-N17-R17))))</f>
        <v>0</v>
      </c>
      <c r="Q17" s="300"/>
      <c r="R17" s="299">
        <f ca="1">+IF(A17="",0,IF(X17="法休",0,NOT(OR(D17="",F17=""))*MIN(7,(MAX(0,MIN(F17,$AC$8)-D17)+MAX(0,F17-$AC$7+(D17&gt;F17)))*24)))</f>
        <v>0</v>
      </c>
      <c r="S17" s="300"/>
      <c r="T17" s="299">
        <f t="shared" ref="T17" ca="1" si="0">+IF(A17="",0,IF(X17="法休",L17-V17,0))</f>
        <v>0</v>
      </c>
      <c r="U17" s="300"/>
      <c r="V17" s="299">
        <f t="shared" ref="V17" ca="1" si="1">+IF(A17="",0,IF(X17&lt;&gt;"法休",0,NOT(OR(D17="",F17=""))*MIN(7,(MAX(0,MIN(F17,$AC$8)-D17)+MAX(0,F17-$AC$7+(D17&gt;F17)))*24)))</f>
        <v>0</v>
      </c>
      <c r="W17" s="300"/>
      <c r="X17" s="301"/>
      <c r="Y17" s="302"/>
      <c r="Z17" s="303"/>
      <c r="AA17" s="79"/>
      <c r="AB17" s="93">
        <f t="shared" ref="AB17:AB46" ca="1" si="2">IF(ISERROR((X17="")*(7.5-N17)),0,(X17="")*(7.5-N17))</f>
        <v>7.5</v>
      </c>
      <c r="AD17" s="67"/>
    </row>
    <row r="18" spans="1:30" ht="14.15" customHeight="1" x14ac:dyDescent="0.2">
      <c r="A18" s="290">
        <f t="shared" ref="A18:A44" ca="1" si="3">A17+1</f>
        <v>46358</v>
      </c>
      <c r="B18" s="291"/>
      <c r="C18" s="80">
        <f ca="1">IF(A18="","",IF(WEEKDAY(A18,1)=1,1,IF(COUNTIF(祝日管理!B:B,A18)=1,"祝",WEEKDAY(A18,1))))</f>
        <v>4</v>
      </c>
      <c r="D18" s="292"/>
      <c r="E18" s="292"/>
      <c r="F18" s="292"/>
      <c r="G18" s="292"/>
      <c r="H18" s="292"/>
      <c r="I18" s="293"/>
      <c r="J18" s="298">
        <f t="shared" ref="J18:J47" si="4">IF(OR(D18="",F18="",H18=""),0,IF(F18&gt;D18,F18,F18+24)-D18-H18)</f>
        <v>0</v>
      </c>
      <c r="K18" s="294"/>
      <c r="L18" s="285">
        <f t="shared" ref="L18:L47" si="5">IF(J18="",0,(HOUR(J18))+(ROUNDDOWN(MINUTE(J18)/60,2)*1))</f>
        <v>0</v>
      </c>
      <c r="M18" s="296"/>
      <c r="N18" s="297">
        <f t="shared" ref="N18:N47" ca="1" si="6">+IF(ISERROR(IF(A18="",0,IF(OR(X18="法休",X18="所休")=1,0,IF(L18=0,0,MIN(8,L18-R18))))),"",IF(A18="","",IF(OR(X18="法休",X18="所休"),0,IF(L18=0,0,MIN(8,L18-R18)))))</f>
        <v>0</v>
      </c>
      <c r="O18" s="286"/>
      <c r="P18" s="285">
        <f t="shared" ref="P18:P47" ca="1" si="7">+IF(ISERROR(IF(A18="","",IF(X18="法休",0,MAX(0,L18-N18-R18)))),0,IF(A18="","",IF(X18="法休",0,MAX(0,L18-N18-R18))))</f>
        <v>0</v>
      </c>
      <c r="Q18" s="286"/>
      <c r="R18" s="285">
        <f t="shared" ref="R18:R47" ca="1" si="8">+IF(A18="",0,IF(X18="法休",0,NOT(OR(D18="",F18=""))*MIN(7,(MAX(0,MIN(F18,$AC$8)-D18)+MAX(0,F18-$AC$7+(D18&gt;F18)))*24)))</f>
        <v>0</v>
      </c>
      <c r="S18" s="286"/>
      <c r="T18" s="285">
        <f t="shared" ref="T18:T47" ca="1" si="9">+IF(A18="",0,IF(X18="法休",L18-V18,0))</f>
        <v>0</v>
      </c>
      <c r="U18" s="286"/>
      <c r="V18" s="285">
        <f t="shared" ref="V18:V47" ca="1" si="10">+IF(A18="",0,IF(X18&lt;&gt;"法休",0,NOT(OR(D18="",F18=""))*MIN(7,(MAX(0,MIN(F18,$AC$8)-D18)+MAX(0,F18-$AC$7+(D18&gt;F18)))*24)))</f>
        <v>0</v>
      </c>
      <c r="W18" s="286"/>
      <c r="X18" s="287"/>
      <c r="Y18" s="288"/>
      <c r="Z18" s="289"/>
      <c r="AA18" s="81"/>
      <c r="AB18" s="93">
        <f t="shared" ca="1" si="2"/>
        <v>7.5</v>
      </c>
      <c r="AC18" s="59"/>
      <c r="AD18" t="s">
        <v>175</v>
      </c>
    </row>
    <row r="19" spans="1:30" ht="14.15" customHeight="1" x14ac:dyDescent="0.2">
      <c r="A19" s="290">
        <f t="shared" ca="1" si="3"/>
        <v>46359</v>
      </c>
      <c r="B19" s="291"/>
      <c r="C19" s="80">
        <f ca="1">IF(A19="","",IF(WEEKDAY(A19,1)=1,1,IF(COUNTIF(祝日管理!B:B,A19)=1,"祝",WEEKDAY(A19,1))))</f>
        <v>5</v>
      </c>
      <c r="D19" s="292"/>
      <c r="E19" s="292"/>
      <c r="F19" s="292"/>
      <c r="G19" s="292"/>
      <c r="H19" s="292"/>
      <c r="I19" s="293"/>
      <c r="J19" s="298">
        <f t="shared" si="4"/>
        <v>0</v>
      </c>
      <c r="K19" s="294"/>
      <c r="L19" s="285">
        <f t="shared" si="5"/>
        <v>0</v>
      </c>
      <c r="M19" s="296"/>
      <c r="N19" s="297">
        <f t="shared" ca="1" si="6"/>
        <v>0</v>
      </c>
      <c r="O19" s="286"/>
      <c r="P19" s="285">
        <f t="shared" ca="1" si="7"/>
        <v>0</v>
      </c>
      <c r="Q19" s="286"/>
      <c r="R19" s="285">
        <f t="shared" ca="1" si="8"/>
        <v>0</v>
      </c>
      <c r="S19" s="286"/>
      <c r="T19" s="285">
        <f t="shared" ca="1" si="9"/>
        <v>0</v>
      </c>
      <c r="U19" s="286"/>
      <c r="V19" s="285">
        <f t="shared" ca="1" si="10"/>
        <v>0</v>
      </c>
      <c r="W19" s="286"/>
      <c r="X19" s="287"/>
      <c r="Y19" s="288"/>
      <c r="Z19" s="289"/>
      <c r="AA19" s="81"/>
      <c r="AB19" s="93">
        <f t="shared" ca="1" si="2"/>
        <v>7.5</v>
      </c>
      <c r="AC19" s="59"/>
    </row>
    <row r="20" spans="1:30" ht="14.15" customHeight="1" x14ac:dyDescent="0.2">
      <c r="A20" s="290">
        <f t="shared" ca="1" si="3"/>
        <v>46360</v>
      </c>
      <c r="B20" s="291"/>
      <c r="C20" s="80">
        <f ca="1">IF(A20="","",IF(WEEKDAY(A20,1)=1,1,IF(COUNTIF(祝日管理!B:B,A20)=1,"祝",WEEKDAY(A20,1))))</f>
        <v>6</v>
      </c>
      <c r="D20" s="292"/>
      <c r="E20" s="292"/>
      <c r="F20" s="292"/>
      <c r="G20" s="292"/>
      <c r="H20" s="292"/>
      <c r="I20" s="293"/>
      <c r="J20" s="298">
        <f t="shared" si="4"/>
        <v>0</v>
      </c>
      <c r="K20" s="294"/>
      <c r="L20" s="285">
        <f t="shared" si="5"/>
        <v>0</v>
      </c>
      <c r="M20" s="296"/>
      <c r="N20" s="297">
        <f t="shared" ca="1" si="6"/>
        <v>0</v>
      </c>
      <c r="O20" s="286"/>
      <c r="P20" s="285">
        <f t="shared" ca="1" si="7"/>
        <v>0</v>
      </c>
      <c r="Q20" s="286"/>
      <c r="R20" s="285">
        <f t="shared" ca="1" si="8"/>
        <v>0</v>
      </c>
      <c r="S20" s="286"/>
      <c r="T20" s="285">
        <f t="shared" ca="1" si="9"/>
        <v>0</v>
      </c>
      <c r="U20" s="286"/>
      <c r="V20" s="285">
        <f t="shared" ca="1" si="10"/>
        <v>0</v>
      </c>
      <c r="W20" s="286"/>
      <c r="X20" s="287"/>
      <c r="Y20" s="288"/>
      <c r="Z20" s="289"/>
      <c r="AA20" s="81"/>
      <c r="AB20" s="93">
        <f t="shared" ca="1" si="2"/>
        <v>7.5</v>
      </c>
      <c r="AC20" s="59"/>
    </row>
    <row r="21" spans="1:30" ht="14.15" customHeight="1" x14ac:dyDescent="0.2">
      <c r="A21" s="290">
        <f t="shared" ca="1" si="3"/>
        <v>46361</v>
      </c>
      <c r="B21" s="291"/>
      <c r="C21" s="80">
        <f ca="1">IF(A21="","",IF(WEEKDAY(A21,1)=1,1,IF(COUNTIF(祝日管理!B:B,A21)=1,"祝",WEEKDAY(A21,1))))</f>
        <v>7</v>
      </c>
      <c r="D21" s="292"/>
      <c r="E21" s="292"/>
      <c r="F21" s="292"/>
      <c r="G21" s="292"/>
      <c r="H21" s="292"/>
      <c r="I21" s="293"/>
      <c r="J21" s="298">
        <f t="shared" si="4"/>
        <v>0</v>
      </c>
      <c r="K21" s="294"/>
      <c r="L21" s="285">
        <f t="shared" si="5"/>
        <v>0</v>
      </c>
      <c r="M21" s="296"/>
      <c r="N21" s="297">
        <f t="shared" ca="1" si="6"/>
        <v>0</v>
      </c>
      <c r="O21" s="286"/>
      <c r="P21" s="285">
        <f t="shared" ca="1" si="7"/>
        <v>0</v>
      </c>
      <c r="Q21" s="286"/>
      <c r="R21" s="285">
        <f t="shared" ca="1" si="8"/>
        <v>0</v>
      </c>
      <c r="S21" s="286"/>
      <c r="T21" s="285">
        <f t="shared" ca="1" si="9"/>
        <v>0</v>
      </c>
      <c r="U21" s="286"/>
      <c r="V21" s="285">
        <f t="shared" ca="1" si="10"/>
        <v>0</v>
      </c>
      <c r="W21" s="286"/>
      <c r="X21" s="287"/>
      <c r="Y21" s="288"/>
      <c r="Z21" s="289"/>
      <c r="AA21" s="81"/>
      <c r="AB21" s="93">
        <f t="shared" ca="1" si="2"/>
        <v>7.5</v>
      </c>
      <c r="AC21" s="59"/>
      <c r="AD21" t="s">
        <v>176</v>
      </c>
    </row>
    <row r="22" spans="1:30" s="59" customFormat="1" ht="14.15" customHeight="1" x14ac:dyDescent="0.2">
      <c r="A22" s="290">
        <f t="shared" ca="1" si="3"/>
        <v>46362</v>
      </c>
      <c r="B22" s="291"/>
      <c r="C22" s="80">
        <f ca="1">IF(A22="","",IF(WEEKDAY(A22,1)=1,1,IF(COUNTIF(祝日管理!B:B,A22)=1,"祝",WEEKDAY(A22,1))))</f>
        <v>1</v>
      </c>
      <c r="D22" s="292"/>
      <c r="E22" s="292"/>
      <c r="F22" s="292"/>
      <c r="G22" s="292"/>
      <c r="H22" s="292"/>
      <c r="I22" s="293"/>
      <c r="J22" s="298">
        <f t="shared" si="4"/>
        <v>0</v>
      </c>
      <c r="K22" s="294"/>
      <c r="L22" s="285">
        <f t="shared" si="5"/>
        <v>0</v>
      </c>
      <c r="M22" s="296"/>
      <c r="N22" s="297">
        <f t="shared" ca="1" si="6"/>
        <v>0</v>
      </c>
      <c r="O22" s="286"/>
      <c r="P22" s="285">
        <f t="shared" ca="1" si="7"/>
        <v>0</v>
      </c>
      <c r="Q22" s="286"/>
      <c r="R22" s="285">
        <f t="shared" ca="1" si="8"/>
        <v>0</v>
      </c>
      <c r="S22" s="286"/>
      <c r="T22" s="285">
        <f t="shared" ca="1" si="9"/>
        <v>0</v>
      </c>
      <c r="U22" s="286"/>
      <c r="V22" s="285">
        <f t="shared" ca="1" si="10"/>
        <v>0</v>
      </c>
      <c r="W22" s="286"/>
      <c r="X22" s="287" t="s">
        <v>187</v>
      </c>
      <c r="Y22" s="288"/>
      <c r="Z22" s="289"/>
      <c r="AA22" s="81"/>
      <c r="AB22" s="93">
        <f t="shared" ca="1" si="2"/>
        <v>0</v>
      </c>
    </row>
    <row r="23" spans="1:30" ht="14.15" customHeight="1" x14ac:dyDescent="0.2">
      <c r="A23" s="290">
        <f t="shared" ca="1" si="3"/>
        <v>46363</v>
      </c>
      <c r="B23" s="291"/>
      <c r="C23" s="80">
        <f ca="1">IF(A23="","",IF(WEEKDAY(A23,1)=1,1,IF(COUNTIF(祝日管理!B:B,A23)=1,"祝",WEEKDAY(A23,1))))</f>
        <v>2</v>
      </c>
      <c r="D23" s="292"/>
      <c r="E23" s="292"/>
      <c r="F23" s="292"/>
      <c r="G23" s="292"/>
      <c r="H23" s="292"/>
      <c r="I23" s="293"/>
      <c r="J23" s="298">
        <f t="shared" si="4"/>
        <v>0</v>
      </c>
      <c r="K23" s="294"/>
      <c r="L23" s="285">
        <f t="shared" si="5"/>
        <v>0</v>
      </c>
      <c r="M23" s="296"/>
      <c r="N23" s="297">
        <f t="shared" ca="1" si="6"/>
        <v>0</v>
      </c>
      <c r="O23" s="286"/>
      <c r="P23" s="285">
        <f t="shared" ca="1" si="7"/>
        <v>0</v>
      </c>
      <c r="Q23" s="286"/>
      <c r="R23" s="285">
        <f t="shared" ca="1" si="8"/>
        <v>0</v>
      </c>
      <c r="S23" s="286"/>
      <c r="T23" s="285">
        <f t="shared" ca="1" si="9"/>
        <v>0</v>
      </c>
      <c r="U23" s="286"/>
      <c r="V23" s="285">
        <f t="shared" ca="1" si="10"/>
        <v>0</v>
      </c>
      <c r="W23" s="286"/>
      <c r="X23" s="287" t="s">
        <v>185</v>
      </c>
      <c r="Y23" s="288"/>
      <c r="Z23" s="289"/>
      <c r="AA23" s="81"/>
      <c r="AB23" s="93">
        <f t="shared" ca="1" si="2"/>
        <v>0</v>
      </c>
    </row>
    <row r="24" spans="1:30" ht="14.15" customHeight="1" x14ac:dyDescent="0.2">
      <c r="A24" s="290">
        <f t="shared" ca="1" si="3"/>
        <v>46364</v>
      </c>
      <c r="B24" s="291"/>
      <c r="C24" s="80">
        <f ca="1">IF(A24="","",IF(WEEKDAY(A24,1)=1,1,IF(COUNTIF(祝日管理!B:B,A24)=1,"祝",WEEKDAY(A24,1))))</f>
        <v>3</v>
      </c>
      <c r="D24" s="292"/>
      <c r="E24" s="292"/>
      <c r="F24" s="292"/>
      <c r="G24" s="292"/>
      <c r="H24" s="292"/>
      <c r="I24" s="293"/>
      <c r="J24" s="298">
        <f t="shared" si="4"/>
        <v>0</v>
      </c>
      <c r="K24" s="294"/>
      <c r="L24" s="285">
        <f t="shared" si="5"/>
        <v>0</v>
      </c>
      <c r="M24" s="296"/>
      <c r="N24" s="297">
        <f t="shared" ca="1" si="6"/>
        <v>0</v>
      </c>
      <c r="O24" s="286"/>
      <c r="P24" s="285">
        <f t="shared" ca="1" si="7"/>
        <v>0</v>
      </c>
      <c r="Q24" s="286"/>
      <c r="R24" s="285">
        <f t="shared" ca="1" si="8"/>
        <v>0</v>
      </c>
      <c r="S24" s="286"/>
      <c r="T24" s="285">
        <f t="shared" ca="1" si="9"/>
        <v>0</v>
      </c>
      <c r="U24" s="286"/>
      <c r="V24" s="285">
        <f t="shared" ca="1" si="10"/>
        <v>0</v>
      </c>
      <c r="W24" s="286"/>
      <c r="X24" s="287"/>
      <c r="Y24" s="288"/>
      <c r="Z24" s="289"/>
      <c r="AA24" s="81"/>
      <c r="AB24" s="93">
        <f t="shared" ca="1" si="2"/>
        <v>7.5</v>
      </c>
      <c r="AD24" t="s">
        <v>177</v>
      </c>
    </row>
    <row r="25" spans="1:30" ht="14.15" customHeight="1" x14ac:dyDescent="0.2">
      <c r="A25" s="290">
        <f t="shared" ca="1" si="3"/>
        <v>46365</v>
      </c>
      <c r="B25" s="291"/>
      <c r="C25" s="80">
        <f ca="1">IF(A25="","",IF(WEEKDAY(A25,1)=1,1,IF(COUNTIF(祝日管理!B:B,A25)=1,"祝",WEEKDAY(A25,1))))</f>
        <v>4</v>
      </c>
      <c r="D25" s="292"/>
      <c r="E25" s="292"/>
      <c r="F25" s="292"/>
      <c r="G25" s="292"/>
      <c r="H25" s="292"/>
      <c r="I25" s="293"/>
      <c r="J25" s="298">
        <f t="shared" si="4"/>
        <v>0</v>
      </c>
      <c r="K25" s="294"/>
      <c r="L25" s="285">
        <f t="shared" si="5"/>
        <v>0</v>
      </c>
      <c r="M25" s="296"/>
      <c r="N25" s="297">
        <f t="shared" ca="1" si="6"/>
        <v>0</v>
      </c>
      <c r="O25" s="286"/>
      <c r="P25" s="285">
        <f t="shared" ca="1" si="7"/>
        <v>0</v>
      </c>
      <c r="Q25" s="286"/>
      <c r="R25" s="285">
        <f t="shared" ca="1" si="8"/>
        <v>0</v>
      </c>
      <c r="S25" s="286"/>
      <c r="T25" s="285">
        <f t="shared" ca="1" si="9"/>
        <v>0</v>
      </c>
      <c r="U25" s="286"/>
      <c r="V25" s="285">
        <f t="shared" ca="1" si="10"/>
        <v>0</v>
      </c>
      <c r="W25" s="286"/>
      <c r="X25" s="287"/>
      <c r="Y25" s="288"/>
      <c r="Z25" s="289"/>
      <c r="AA25" s="81"/>
      <c r="AB25" s="93">
        <f t="shared" ca="1" si="2"/>
        <v>7.5</v>
      </c>
    </row>
    <row r="26" spans="1:30" ht="14.15" customHeight="1" x14ac:dyDescent="0.2">
      <c r="A26" s="290">
        <f t="shared" ca="1" si="3"/>
        <v>46366</v>
      </c>
      <c r="B26" s="291"/>
      <c r="C26" s="80">
        <f ca="1">IF(A26="","",IF(WEEKDAY(A26,1)=1,1,IF(COUNTIF(祝日管理!B:B,A26)=1,"祝",WEEKDAY(A26,1))))</f>
        <v>5</v>
      </c>
      <c r="D26" s="292"/>
      <c r="E26" s="292"/>
      <c r="F26" s="292"/>
      <c r="G26" s="292"/>
      <c r="H26" s="292"/>
      <c r="I26" s="293"/>
      <c r="J26" s="298">
        <f t="shared" si="4"/>
        <v>0</v>
      </c>
      <c r="K26" s="294"/>
      <c r="L26" s="285">
        <f t="shared" si="5"/>
        <v>0</v>
      </c>
      <c r="M26" s="296"/>
      <c r="N26" s="297">
        <f t="shared" ca="1" si="6"/>
        <v>0</v>
      </c>
      <c r="O26" s="286"/>
      <c r="P26" s="285">
        <f t="shared" ca="1" si="7"/>
        <v>0</v>
      </c>
      <c r="Q26" s="286"/>
      <c r="R26" s="285">
        <f t="shared" ca="1" si="8"/>
        <v>0</v>
      </c>
      <c r="S26" s="286"/>
      <c r="T26" s="285">
        <f t="shared" ca="1" si="9"/>
        <v>0</v>
      </c>
      <c r="U26" s="286"/>
      <c r="V26" s="285">
        <f t="shared" ca="1" si="10"/>
        <v>0</v>
      </c>
      <c r="W26" s="286"/>
      <c r="X26" s="287"/>
      <c r="Y26" s="288"/>
      <c r="Z26" s="289"/>
      <c r="AA26" s="81"/>
      <c r="AB26" s="93">
        <f t="shared" ca="1" si="2"/>
        <v>7.5</v>
      </c>
      <c r="AD26" t="s">
        <v>213</v>
      </c>
    </row>
    <row r="27" spans="1:30" ht="14.15" customHeight="1" x14ac:dyDescent="0.2">
      <c r="A27" s="290">
        <f t="shared" ca="1" si="3"/>
        <v>46367</v>
      </c>
      <c r="B27" s="291"/>
      <c r="C27" s="80">
        <f ca="1">IF(A27="","",IF(WEEKDAY(A27,1)=1,1,IF(COUNTIF(祝日管理!B:B,A27)=1,"祝",WEEKDAY(A27,1))))</f>
        <v>6</v>
      </c>
      <c r="D27" s="292"/>
      <c r="E27" s="292"/>
      <c r="F27" s="292"/>
      <c r="G27" s="292"/>
      <c r="H27" s="292"/>
      <c r="I27" s="293"/>
      <c r="J27" s="298">
        <f t="shared" si="4"/>
        <v>0</v>
      </c>
      <c r="K27" s="294"/>
      <c r="L27" s="285">
        <f t="shared" si="5"/>
        <v>0</v>
      </c>
      <c r="M27" s="296"/>
      <c r="N27" s="297">
        <f t="shared" ca="1" si="6"/>
        <v>0</v>
      </c>
      <c r="O27" s="286"/>
      <c r="P27" s="285">
        <f t="shared" ca="1" si="7"/>
        <v>0</v>
      </c>
      <c r="Q27" s="286"/>
      <c r="R27" s="285">
        <f t="shared" ca="1" si="8"/>
        <v>0</v>
      </c>
      <c r="S27" s="286"/>
      <c r="T27" s="285">
        <f t="shared" ca="1" si="9"/>
        <v>0</v>
      </c>
      <c r="U27" s="286"/>
      <c r="V27" s="285">
        <f t="shared" ca="1" si="10"/>
        <v>0</v>
      </c>
      <c r="W27" s="286"/>
      <c r="X27" s="287"/>
      <c r="Y27" s="288"/>
      <c r="Z27" s="289"/>
      <c r="AA27" s="81"/>
      <c r="AB27" s="93">
        <f t="shared" ca="1" si="2"/>
        <v>7.5</v>
      </c>
    </row>
    <row r="28" spans="1:30" ht="14.15" customHeight="1" x14ac:dyDescent="0.2">
      <c r="A28" s="290">
        <f t="shared" ca="1" si="3"/>
        <v>46368</v>
      </c>
      <c r="B28" s="291"/>
      <c r="C28" s="80">
        <f ca="1">IF(A28="","",IF(WEEKDAY(A28,1)=1,1,IF(COUNTIF(祝日管理!B:B,A28)=1,"祝",WEEKDAY(A28,1))))</f>
        <v>7</v>
      </c>
      <c r="D28" s="292"/>
      <c r="E28" s="292"/>
      <c r="F28" s="292"/>
      <c r="G28" s="292"/>
      <c r="H28" s="292"/>
      <c r="I28" s="293"/>
      <c r="J28" s="298">
        <f t="shared" si="4"/>
        <v>0</v>
      </c>
      <c r="K28" s="294"/>
      <c r="L28" s="285">
        <f t="shared" si="5"/>
        <v>0</v>
      </c>
      <c r="M28" s="296"/>
      <c r="N28" s="297">
        <f t="shared" ca="1" si="6"/>
        <v>0</v>
      </c>
      <c r="O28" s="286"/>
      <c r="P28" s="285">
        <f t="shared" ca="1" si="7"/>
        <v>0</v>
      </c>
      <c r="Q28" s="286"/>
      <c r="R28" s="285">
        <f t="shared" ca="1" si="8"/>
        <v>0</v>
      </c>
      <c r="S28" s="286"/>
      <c r="T28" s="285">
        <f t="shared" ca="1" si="9"/>
        <v>0</v>
      </c>
      <c r="U28" s="286"/>
      <c r="V28" s="285">
        <f t="shared" ca="1" si="10"/>
        <v>0</v>
      </c>
      <c r="W28" s="286"/>
      <c r="X28" s="287"/>
      <c r="Y28" s="288"/>
      <c r="Z28" s="289"/>
      <c r="AA28" s="81"/>
      <c r="AB28" s="93">
        <f t="shared" ca="1" si="2"/>
        <v>7.5</v>
      </c>
    </row>
    <row r="29" spans="1:30" s="59" customFormat="1" ht="14.15" customHeight="1" x14ac:dyDescent="0.2">
      <c r="A29" s="290">
        <f t="shared" ca="1" si="3"/>
        <v>46369</v>
      </c>
      <c r="B29" s="291"/>
      <c r="C29" s="80">
        <f ca="1">IF(A29="","",IF(WEEKDAY(A29,1)=1,1,IF(COUNTIF(祝日管理!B:B,A29)=1,"祝",WEEKDAY(A29,1))))</f>
        <v>1</v>
      </c>
      <c r="D29" s="292"/>
      <c r="E29" s="292"/>
      <c r="F29" s="292"/>
      <c r="G29" s="292"/>
      <c r="H29" s="292"/>
      <c r="I29" s="293"/>
      <c r="J29" s="298">
        <f t="shared" si="4"/>
        <v>0</v>
      </c>
      <c r="K29" s="294"/>
      <c r="L29" s="285">
        <f t="shared" si="5"/>
        <v>0</v>
      </c>
      <c r="M29" s="296"/>
      <c r="N29" s="297">
        <f t="shared" ca="1" si="6"/>
        <v>0</v>
      </c>
      <c r="O29" s="286"/>
      <c r="P29" s="285">
        <f t="shared" ca="1" si="7"/>
        <v>0</v>
      </c>
      <c r="Q29" s="286"/>
      <c r="R29" s="285">
        <f t="shared" ca="1" si="8"/>
        <v>0</v>
      </c>
      <c r="S29" s="286"/>
      <c r="T29" s="285">
        <f t="shared" ca="1" si="9"/>
        <v>0</v>
      </c>
      <c r="U29" s="286"/>
      <c r="V29" s="285">
        <f t="shared" ca="1" si="10"/>
        <v>0</v>
      </c>
      <c r="W29" s="286"/>
      <c r="X29" s="287" t="s">
        <v>187</v>
      </c>
      <c r="Y29" s="288"/>
      <c r="Z29" s="289"/>
      <c r="AA29" s="81"/>
      <c r="AB29" s="93">
        <f t="shared" ca="1" si="2"/>
        <v>0</v>
      </c>
      <c r="AC29" s="59" t="s">
        <v>207</v>
      </c>
    </row>
    <row r="30" spans="1:30" ht="14.15" customHeight="1" x14ac:dyDescent="0.2">
      <c r="A30" s="290">
        <f t="shared" ca="1" si="3"/>
        <v>46370</v>
      </c>
      <c r="B30" s="291"/>
      <c r="C30" s="80">
        <f ca="1">IF(A30="","",IF(WEEKDAY(A30,1)=1,1,IF(COUNTIF(祝日管理!B:B,A30)=1,"祝",WEEKDAY(A30,1))))</f>
        <v>2</v>
      </c>
      <c r="D30" s="292"/>
      <c r="E30" s="292"/>
      <c r="F30" s="292"/>
      <c r="G30" s="292"/>
      <c r="H30" s="292"/>
      <c r="I30" s="293"/>
      <c r="J30" s="298">
        <f t="shared" si="4"/>
        <v>0</v>
      </c>
      <c r="K30" s="294"/>
      <c r="L30" s="285">
        <f t="shared" si="5"/>
        <v>0</v>
      </c>
      <c r="M30" s="296"/>
      <c r="N30" s="297">
        <f t="shared" ca="1" si="6"/>
        <v>0</v>
      </c>
      <c r="O30" s="286"/>
      <c r="P30" s="285">
        <f t="shared" ca="1" si="7"/>
        <v>0</v>
      </c>
      <c r="Q30" s="286"/>
      <c r="R30" s="285">
        <f t="shared" ca="1" si="8"/>
        <v>0</v>
      </c>
      <c r="S30" s="286"/>
      <c r="T30" s="285">
        <f t="shared" ca="1" si="9"/>
        <v>0</v>
      </c>
      <c r="U30" s="286"/>
      <c r="V30" s="285">
        <f t="shared" ca="1" si="10"/>
        <v>0</v>
      </c>
      <c r="W30" s="286"/>
      <c r="X30" s="287" t="s">
        <v>185</v>
      </c>
      <c r="Y30" s="288"/>
      <c r="Z30" s="289"/>
      <c r="AA30" s="81"/>
      <c r="AB30" s="93">
        <f t="shared" ca="1" si="2"/>
        <v>0</v>
      </c>
      <c r="AC30" t="s">
        <v>208</v>
      </c>
    </row>
    <row r="31" spans="1:30" ht="14.15" customHeight="1" x14ac:dyDescent="0.2">
      <c r="A31" s="290">
        <f t="shared" ca="1" si="3"/>
        <v>46371</v>
      </c>
      <c r="B31" s="291"/>
      <c r="C31" s="80">
        <f ca="1">IF(A31="","",IF(WEEKDAY(A31,1)=1,1,IF(COUNTIF(祝日管理!B:B,A31)=1,"祝",WEEKDAY(A31,1))))</f>
        <v>3</v>
      </c>
      <c r="D31" s="292"/>
      <c r="E31" s="292"/>
      <c r="F31" s="292"/>
      <c r="G31" s="292"/>
      <c r="H31" s="292"/>
      <c r="I31" s="293"/>
      <c r="J31" s="298">
        <f t="shared" si="4"/>
        <v>0</v>
      </c>
      <c r="K31" s="294"/>
      <c r="L31" s="285">
        <f t="shared" si="5"/>
        <v>0</v>
      </c>
      <c r="M31" s="296"/>
      <c r="N31" s="297">
        <f t="shared" ca="1" si="6"/>
        <v>0</v>
      </c>
      <c r="O31" s="286"/>
      <c r="P31" s="285">
        <f t="shared" ca="1" si="7"/>
        <v>0</v>
      </c>
      <c r="Q31" s="286"/>
      <c r="R31" s="285">
        <f t="shared" ca="1" si="8"/>
        <v>0</v>
      </c>
      <c r="S31" s="286"/>
      <c r="T31" s="285">
        <f t="shared" ca="1" si="9"/>
        <v>0</v>
      </c>
      <c r="U31" s="286"/>
      <c r="V31" s="285">
        <f t="shared" ca="1" si="10"/>
        <v>0</v>
      </c>
      <c r="W31" s="286"/>
      <c r="X31" s="287"/>
      <c r="Y31" s="288"/>
      <c r="Z31" s="289"/>
      <c r="AA31" s="81"/>
      <c r="AB31" s="93">
        <f t="shared" ca="1" si="2"/>
        <v>7.5</v>
      </c>
      <c r="AC31" t="s">
        <v>209</v>
      </c>
    </row>
    <row r="32" spans="1:30" ht="14.15" customHeight="1" x14ac:dyDescent="0.2">
      <c r="A32" s="290">
        <f t="shared" ca="1" si="3"/>
        <v>46372</v>
      </c>
      <c r="B32" s="291"/>
      <c r="C32" s="80">
        <f ca="1">IF(A32="","",IF(WEEKDAY(A32,1)=1,1,IF(COUNTIF(祝日管理!B:B,A32)=1,"祝",WEEKDAY(A32,1))))</f>
        <v>4</v>
      </c>
      <c r="D32" s="292"/>
      <c r="E32" s="292"/>
      <c r="F32" s="292"/>
      <c r="G32" s="292"/>
      <c r="H32" s="292"/>
      <c r="I32" s="293"/>
      <c r="J32" s="298">
        <f t="shared" si="4"/>
        <v>0</v>
      </c>
      <c r="K32" s="294"/>
      <c r="L32" s="285">
        <f t="shared" si="5"/>
        <v>0</v>
      </c>
      <c r="M32" s="296"/>
      <c r="N32" s="297">
        <f t="shared" ca="1" si="6"/>
        <v>0</v>
      </c>
      <c r="O32" s="286"/>
      <c r="P32" s="285">
        <f t="shared" ca="1" si="7"/>
        <v>0</v>
      </c>
      <c r="Q32" s="286"/>
      <c r="R32" s="285">
        <f t="shared" ca="1" si="8"/>
        <v>0</v>
      </c>
      <c r="S32" s="286"/>
      <c r="T32" s="285">
        <f t="shared" ca="1" si="9"/>
        <v>0</v>
      </c>
      <c r="U32" s="286"/>
      <c r="V32" s="285">
        <f t="shared" ca="1" si="10"/>
        <v>0</v>
      </c>
      <c r="W32" s="286"/>
      <c r="X32" s="287"/>
      <c r="Y32" s="288"/>
      <c r="Z32" s="289"/>
      <c r="AA32" s="81"/>
      <c r="AB32" s="93">
        <f t="shared" ca="1" si="2"/>
        <v>7.5</v>
      </c>
    </row>
    <row r="33" spans="1:32" ht="14.15" customHeight="1" x14ac:dyDescent="0.2">
      <c r="A33" s="290">
        <f t="shared" ca="1" si="3"/>
        <v>46373</v>
      </c>
      <c r="B33" s="291"/>
      <c r="C33" s="80">
        <f ca="1">IF(A33="","",IF(WEEKDAY(A33,1)=1,1,IF(COUNTIF(祝日管理!B:B,A33)=1,"祝",WEEKDAY(A33,1))))</f>
        <v>5</v>
      </c>
      <c r="D33" s="292"/>
      <c r="E33" s="292"/>
      <c r="F33" s="292"/>
      <c r="G33" s="292"/>
      <c r="H33" s="292"/>
      <c r="I33" s="293"/>
      <c r="J33" s="298">
        <f t="shared" si="4"/>
        <v>0</v>
      </c>
      <c r="K33" s="294"/>
      <c r="L33" s="285">
        <f t="shared" si="5"/>
        <v>0</v>
      </c>
      <c r="M33" s="296"/>
      <c r="N33" s="297">
        <f t="shared" ca="1" si="6"/>
        <v>0</v>
      </c>
      <c r="O33" s="286"/>
      <c r="P33" s="285">
        <f t="shared" ca="1" si="7"/>
        <v>0</v>
      </c>
      <c r="Q33" s="286"/>
      <c r="R33" s="285">
        <f t="shared" ca="1" si="8"/>
        <v>0</v>
      </c>
      <c r="S33" s="286"/>
      <c r="T33" s="285">
        <f t="shared" ca="1" si="9"/>
        <v>0</v>
      </c>
      <c r="U33" s="286"/>
      <c r="V33" s="285">
        <f t="shared" ca="1" si="10"/>
        <v>0</v>
      </c>
      <c r="W33" s="286"/>
      <c r="X33" s="287"/>
      <c r="Y33" s="288"/>
      <c r="Z33" s="289"/>
      <c r="AA33" s="81"/>
      <c r="AB33" s="93">
        <f t="shared" ca="1" si="2"/>
        <v>7.5</v>
      </c>
      <c r="AD33" t="s">
        <v>214</v>
      </c>
    </row>
    <row r="34" spans="1:32" ht="14.15" customHeight="1" x14ac:dyDescent="0.2">
      <c r="A34" s="290">
        <f t="shared" ca="1" si="3"/>
        <v>46374</v>
      </c>
      <c r="B34" s="291"/>
      <c r="C34" s="80">
        <f ca="1">IF(A34="","",IF(WEEKDAY(A34,1)=1,1,IF(COUNTIF(祝日管理!B:B,A34)=1,"祝",WEEKDAY(A34,1))))</f>
        <v>6</v>
      </c>
      <c r="D34" s="292"/>
      <c r="E34" s="292"/>
      <c r="F34" s="292"/>
      <c r="G34" s="292"/>
      <c r="H34" s="292"/>
      <c r="I34" s="293"/>
      <c r="J34" s="298">
        <f t="shared" si="4"/>
        <v>0</v>
      </c>
      <c r="K34" s="294"/>
      <c r="L34" s="285">
        <f t="shared" si="5"/>
        <v>0</v>
      </c>
      <c r="M34" s="296"/>
      <c r="N34" s="297">
        <f t="shared" ca="1" si="6"/>
        <v>0</v>
      </c>
      <c r="O34" s="286"/>
      <c r="P34" s="285">
        <f t="shared" ca="1" si="7"/>
        <v>0</v>
      </c>
      <c r="Q34" s="286"/>
      <c r="R34" s="285">
        <f t="shared" ca="1" si="8"/>
        <v>0</v>
      </c>
      <c r="S34" s="286"/>
      <c r="T34" s="285">
        <f t="shared" ca="1" si="9"/>
        <v>0</v>
      </c>
      <c r="U34" s="286"/>
      <c r="V34" s="285">
        <f t="shared" ca="1" si="10"/>
        <v>0</v>
      </c>
      <c r="W34" s="286"/>
      <c r="X34" s="287"/>
      <c r="Y34" s="288"/>
      <c r="Z34" s="289"/>
      <c r="AA34" s="81"/>
      <c r="AB34" s="93">
        <f ca="1">IF(ISERROR((X34="")*(7.5-N34)),0,(X34="")*(7.5-N34))</f>
        <v>7.5</v>
      </c>
      <c r="AD34" t="s">
        <v>215</v>
      </c>
    </row>
    <row r="35" spans="1:32" ht="14.15" customHeight="1" x14ac:dyDescent="0.2">
      <c r="A35" s="290">
        <f t="shared" ca="1" si="3"/>
        <v>46375</v>
      </c>
      <c r="B35" s="291"/>
      <c r="C35" s="80">
        <f ca="1">IF(A35="","",IF(WEEKDAY(A35,1)=1,1,IF(COUNTIF(祝日管理!B:B,A35)=1,"祝",WEEKDAY(A35,1))))</f>
        <v>7</v>
      </c>
      <c r="D35" s="292"/>
      <c r="E35" s="292"/>
      <c r="F35" s="292"/>
      <c r="G35" s="292"/>
      <c r="H35" s="292"/>
      <c r="I35" s="293"/>
      <c r="J35" s="298">
        <f t="shared" si="4"/>
        <v>0</v>
      </c>
      <c r="K35" s="294"/>
      <c r="L35" s="285">
        <f t="shared" si="5"/>
        <v>0</v>
      </c>
      <c r="M35" s="296"/>
      <c r="N35" s="297">
        <f t="shared" ca="1" si="6"/>
        <v>0</v>
      </c>
      <c r="O35" s="286"/>
      <c r="P35" s="285">
        <f t="shared" ca="1" si="7"/>
        <v>0</v>
      </c>
      <c r="Q35" s="286"/>
      <c r="R35" s="285">
        <f t="shared" ca="1" si="8"/>
        <v>0</v>
      </c>
      <c r="S35" s="286"/>
      <c r="T35" s="285">
        <f t="shared" ca="1" si="9"/>
        <v>0</v>
      </c>
      <c r="U35" s="286"/>
      <c r="V35" s="285">
        <f t="shared" ca="1" si="10"/>
        <v>0</v>
      </c>
      <c r="W35" s="286"/>
      <c r="X35" s="287"/>
      <c r="Y35" s="288"/>
      <c r="Z35" s="289"/>
      <c r="AA35" s="81"/>
      <c r="AB35" s="93">
        <f ca="1">IF(ISERROR((X35="")*(7.5-N35)),0,(X35="")*(7.5-N35))</f>
        <v>7.5</v>
      </c>
    </row>
    <row r="36" spans="1:32" ht="14.15" customHeight="1" x14ac:dyDescent="0.2">
      <c r="A36" s="290">
        <f t="shared" ca="1" si="3"/>
        <v>46376</v>
      </c>
      <c r="B36" s="291"/>
      <c r="C36" s="80">
        <f ca="1">IF(A36="","",IF(WEEKDAY(A36,1)=1,1,IF(COUNTIF(祝日管理!B:B,A36)=1,"祝",WEEKDAY(A36,1))))</f>
        <v>1</v>
      </c>
      <c r="D36" s="292"/>
      <c r="E36" s="292"/>
      <c r="F36" s="292"/>
      <c r="G36" s="292"/>
      <c r="H36" s="292"/>
      <c r="I36" s="293"/>
      <c r="J36" s="298">
        <f t="shared" si="4"/>
        <v>0</v>
      </c>
      <c r="K36" s="294"/>
      <c r="L36" s="285">
        <f t="shared" si="5"/>
        <v>0</v>
      </c>
      <c r="M36" s="296"/>
      <c r="N36" s="297">
        <f t="shared" ca="1" si="6"/>
        <v>0</v>
      </c>
      <c r="O36" s="286"/>
      <c r="P36" s="285">
        <f t="shared" ca="1" si="7"/>
        <v>0</v>
      </c>
      <c r="Q36" s="286"/>
      <c r="R36" s="285">
        <f t="shared" ca="1" si="8"/>
        <v>0</v>
      </c>
      <c r="S36" s="286"/>
      <c r="T36" s="285">
        <f t="shared" ca="1" si="9"/>
        <v>0</v>
      </c>
      <c r="U36" s="286"/>
      <c r="V36" s="285">
        <f t="shared" ca="1" si="10"/>
        <v>0</v>
      </c>
      <c r="W36" s="286"/>
      <c r="X36" s="287" t="s">
        <v>187</v>
      </c>
      <c r="Y36" s="288"/>
      <c r="Z36" s="289"/>
      <c r="AA36" s="81"/>
      <c r="AB36" s="93">
        <f t="shared" ca="1" si="2"/>
        <v>0</v>
      </c>
    </row>
    <row r="37" spans="1:32" ht="14.15" customHeight="1" x14ac:dyDescent="0.2">
      <c r="A37" s="290">
        <f t="shared" ca="1" si="3"/>
        <v>46377</v>
      </c>
      <c r="B37" s="291"/>
      <c r="C37" s="80">
        <f ca="1">IF(A37="","",IF(WEEKDAY(A37,1)=1,1,IF(COUNTIF(祝日管理!B:B,A37)=1,"祝",WEEKDAY(A37,1))))</f>
        <v>2</v>
      </c>
      <c r="D37" s="292"/>
      <c r="E37" s="292"/>
      <c r="F37" s="292"/>
      <c r="G37" s="292"/>
      <c r="H37" s="292"/>
      <c r="I37" s="293"/>
      <c r="J37" s="298">
        <f t="shared" si="4"/>
        <v>0</v>
      </c>
      <c r="K37" s="294"/>
      <c r="L37" s="285">
        <f t="shared" si="5"/>
        <v>0</v>
      </c>
      <c r="M37" s="296"/>
      <c r="N37" s="297">
        <f t="shared" ca="1" si="6"/>
        <v>0</v>
      </c>
      <c r="O37" s="286"/>
      <c r="P37" s="285">
        <f t="shared" ca="1" si="7"/>
        <v>0</v>
      </c>
      <c r="Q37" s="286"/>
      <c r="R37" s="285">
        <f t="shared" ca="1" si="8"/>
        <v>0</v>
      </c>
      <c r="S37" s="286"/>
      <c r="T37" s="285">
        <f t="shared" ca="1" si="9"/>
        <v>0</v>
      </c>
      <c r="U37" s="286"/>
      <c r="V37" s="285">
        <f t="shared" ca="1" si="10"/>
        <v>0</v>
      </c>
      <c r="W37" s="286"/>
      <c r="X37" s="287" t="s">
        <v>185</v>
      </c>
      <c r="Y37" s="288"/>
      <c r="Z37" s="289"/>
      <c r="AA37" s="81"/>
      <c r="AB37" s="93">
        <f t="shared" ca="1" si="2"/>
        <v>0</v>
      </c>
    </row>
    <row r="38" spans="1:32" ht="14.15" customHeight="1" x14ac:dyDescent="0.2">
      <c r="A38" s="290">
        <f t="shared" ca="1" si="3"/>
        <v>46378</v>
      </c>
      <c r="B38" s="291"/>
      <c r="C38" s="80">
        <f ca="1">IF(A38="","",IF(WEEKDAY(A38,1)=1,1,IF(COUNTIF(祝日管理!B:B,A38)=1,"祝",WEEKDAY(A38,1))))</f>
        <v>3</v>
      </c>
      <c r="D38" s="292"/>
      <c r="E38" s="292"/>
      <c r="F38" s="292"/>
      <c r="G38" s="292"/>
      <c r="H38" s="292"/>
      <c r="I38" s="293"/>
      <c r="J38" s="298">
        <f t="shared" si="4"/>
        <v>0</v>
      </c>
      <c r="K38" s="294"/>
      <c r="L38" s="285">
        <f t="shared" si="5"/>
        <v>0</v>
      </c>
      <c r="M38" s="296"/>
      <c r="N38" s="297">
        <f t="shared" ca="1" si="6"/>
        <v>0</v>
      </c>
      <c r="O38" s="286"/>
      <c r="P38" s="285">
        <f t="shared" ca="1" si="7"/>
        <v>0</v>
      </c>
      <c r="Q38" s="286"/>
      <c r="R38" s="285">
        <f t="shared" ca="1" si="8"/>
        <v>0</v>
      </c>
      <c r="S38" s="286"/>
      <c r="T38" s="285">
        <f t="shared" ca="1" si="9"/>
        <v>0</v>
      </c>
      <c r="U38" s="286"/>
      <c r="V38" s="285">
        <f t="shared" ca="1" si="10"/>
        <v>0</v>
      </c>
      <c r="W38" s="286"/>
      <c r="X38" s="287"/>
      <c r="Y38" s="288"/>
      <c r="Z38" s="289"/>
      <c r="AA38" s="81"/>
      <c r="AB38" s="93">
        <f t="shared" ca="1" si="2"/>
        <v>7.5</v>
      </c>
    </row>
    <row r="39" spans="1:32" ht="14.15" customHeight="1" x14ac:dyDescent="0.2">
      <c r="A39" s="290">
        <f t="shared" ca="1" si="3"/>
        <v>46379</v>
      </c>
      <c r="B39" s="291"/>
      <c r="C39" s="80">
        <f ca="1">IF(A39="","",IF(WEEKDAY(A39,1)=1,1,IF(COUNTIF(祝日管理!B:B,A39)=1,"祝",WEEKDAY(A39,1))))</f>
        <v>4</v>
      </c>
      <c r="D39" s="292"/>
      <c r="E39" s="292"/>
      <c r="F39" s="292"/>
      <c r="G39" s="292"/>
      <c r="H39" s="292"/>
      <c r="I39" s="293"/>
      <c r="J39" s="298">
        <f t="shared" si="4"/>
        <v>0</v>
      </c>
      <c r="K39" s="294"/>
      <c r="L39" s="285">
        <f t="shared" si="5"/>
        <v>0</v>
      </c>
      <c r="M39" s="296"/>
      <c r="N39" s="297">
        <f t="shared" ca="1" si="6"/>
        <v>0</v>
      </c>
      <c r="O39" s="286"/>
      <c r="P39" s="285">
        <f t="shared" ca="1" si="7"/>
        <v>0</v>
      </c>
      <c r="Q39" s="286"/>
      <c r="R39" s="285">
        <f t="shared" ca="1" si="8"/>
        <v>0</v>
      </c>
      <c r="S39" s="286"/>
      <c r="T39" s="285">
        <f t="shared" ca="1" si="9"/>
        <v>0</v>
      </c>
      <c r="U39" s="286"/>
      <c r="V39" s="285">
        <f t="shared" ca="1" si="10"/>
        <v>0</v>
      </c>
      <c r="W39" s="286"/>
      <c r="X39" s="287"/>
      <c r="Y39" s="288"/>
      <c r="Z39" s="289"/>
      <c r="AA39" s="81"/>
      <c r="AB39" s="93">
        <f t="shared" ca="1" si="2"/>
        <v>7.5</v>
      </c>
    </row>
    <row r="40" spans="1:32" ht="14.15" customHeight="1" x14ac:dyDescent="0.2">
      <c r="A40" s="290">
        <f t="shared" ca="1" si="3"/>
        <v>46380</v>
      </c>
      <c r="B40" s="291"/>
      <c r="C40" s="80">
        <f ca="1">IF(A40="","",IF(WEEKDAY(A40,1)=1,1,IF(COUNTIF(祝日管理!B:B,A40)=1,"祝",WEEKDAY(A40,1))))</f>
        <v>5</v>
      </c>
      <c r="D40" s="292"/>
      <c r="E40" s="292"/>
      <c r="F40" s="292"/>
      <c r="G40" s="292"/>
      <c r="H40" s="292"/>
      <c r="I40" s="293"/>
      <c r="J40" s="298">
        <f t="shared" si="4"/>
        <v>0</v>
      </c>
      <c r="K40" s="294"/>
      <c r="L40" s="285">
        <f t="shared" si="5"/>
        <v>0</v>
      </c>
      <c r="M40" s="296"/>
      <c r="N40" s="297">
        <f t="shared" ca="1" si="6"/>
        <v>0</v>
      </c>
      <c r="O40" s="286"/>
      <c r="P40" s="285">
        <f t="shared" ca="1" si="7"/>
        <v>0</v>
      </c>
      <c r="Q40" s="286"/>
      <c r="R40" s="285">
        <f t="shared" ca="1" si="8"/>
        <v>0</v>
      </c>
      <c r="S40" s="286"/>
      <c r="T40" s="285">
        <f t="shared" ca="1" si="9"/>
        <v>0</v>
      </c>
      <c r="U40" s="286"/>
      <c r="V40" s="285">
        <f t="shared" ca="1" si="10"/>
        <v>0</v>
      </c>
      <c r="W40" s="286"/>
      <c r="X40" s="287"/>
      <c r="Y40" s="288"/>
      <c r="Z40" s="289"/>
      <c r="AA40" s="81"/>
      <c r="AB40" s="93">
        <f t="shared" ca="1" si="2"/>
        <v>7.5</v>
      </c>
    </row>
    <row r="41" spans="1:32" ht="14.15" customHeight="1" x14ac:dyDescent="0.2">
      <c r="A41" s="290">
        <f t="shared" ca="1" si="3"/>
        <v>46381</v>
      </c>
      <c r="B41" s="291"/>
      <c r="C41" s="80">
        <f ca="1">IF(A41="","",IF(WEEKDAY(A41,1)=1,1,IF(COUNTIF(祝日管理!B:B,A41)=1,"祝",WEEKDAY(A41,1))))</f>
        <v>6</v>
      </c>
      <c r="D41" s="292"/>
      <c r="E41" s="292"/>
      <c r="F41" s="292"/>
      <c r="G41" s="292"/>
      <c r="H41" s="292"/>
      <c r="I41" s="293"/>
      <c r="J41" s="298">
        <f t="shared" si="4"/>
        <v>0</v>
      </c>
      <c r="K41" s="294"/>
      <c r="L41" s="285">
        <f t="shared" si="5"/>
        <v>0</v>
      </c>
      <c r="M41" s="296"/>
      <c r="N41" s="297">
        <f t="shared" ca="1" si="6"/>
        <v>0</v>
      </c>
      <c r="O41" s="286"/>
      <c r="P41" s="285">
        <f t="shared" ca="1" si="7"/>
        <v>0</v>
      </c>
      <c r="Q41" s="286"/>
      <c r="R41" s="285">
        <f t="shared" ca="1" si="8"/>
        <v>0</v>
      </c>
      <c r="S41" s="286"/>
      <c r="T41" s="285">
        <f t="shared" ca="1" si="9"/>
        <v>0</v>
      </c>
      <c r="U41" s="286"/>
      <c r="V41" s="285">
        <f t="shared" ca="1" si="10"/>
        <v>0</v>
      </c>
      <c r="W41" s="286"/>
      <c r="X41" s="287"/>
      <c r="Y41" s="288"/>
      <c r="Z41" s="289"/>
      <c r="AA41" s="81"/>
      <c r="AB41" s="93">
        <f t="shared" ca="1" si="2"/>
        <v>7.5</v>
      </c>
    </row>
    <row r="42" spans="1:32" ht="14.15" customHeight="1" x14ac:dyDescent="0.2">
      <c r="A42" s="290">
        <f t="shared" ca="1" si="3"/>
        <v>46382</v>
      </c>
      <c r="B42" s="291"/>
      <c r="C42" s="80">
        <f ca="1">IF(A42="","",IF(WEEKDAY(A42,1)=1,1,IF(COUNTIF(祝日管理!B:B,A42)=1,"祝",WEEKDAY(A42,1))))</f>
        <v>7</v>
      </c>
      <c r="D42" s="292"/>
      <c r="E42" s="292"/>
      <c r="F42" s="292"/>
      <c r="G42" s="292"/>
      <c r="H42" s="292"/>
      <c r="I42" s="293"/>
      <c r="J42" s="298">
        <f t="shared" si="4"/>
        <v>0</v>
      </c>
      <c r="K42" s="294"/>
      <c r="L42" s="285">
        <f t="shared" si="5"/>
        <v>0</v>
      </c>
      <c r="M42" s="296"/>
      <c r="N42" s="297">
        <f t="shared" ca="1" si="6"/>
        <v>0</v>
      </c>
      <c r="O42" s="286"/>
      <c r="P42" s="285">
        <f t="shared" ca="1" si="7"/>
        <v>0</v>
      </c>
      <c r="Q42" s="286"/>
      <c r="R42" s="285">
        <f t="shared" ca="1" si="8"/>
        <v>0</v>
      </c>
      <c r="S42" s="286"/>
      <c r="T42" s="285">
        <f t="shared" ca="1" si="9"/>
        <v>0</v>
      </c>
      <c r="U42" s="286"/>
      <c r="V42" s="285">
        <f t="shared" ca="1" si="10"/>
        <v>0</v>
      </c>
      <c r="W42" s="286"/>
      <c r="X42" s="287"/>
      <c r="Y42" s="288"/>
      <c r="Z42" s="289"/>
      <c r="AA42" s="81"/>
      <c r="AB42" s="93">
        <f t="shared" ca="1" si="2"/>
        <v>7.5</v>
      </c>
    </row>
    <row r="43" spans="1:32" ht="14.15" customHeight="1" x14ac:dyDescent="0.2">
      <c r="A43" s="290">
        <f t="shared" ca="1" si="3"/>
        <v>46383</v>
      </c>
      <c r="B43" s="291"/>
      <c r="C43" s="80">
        <f ca="1">IF(A43="","",IF(WEEKDAY(A43,1)=1,1,IF(COUNTIF(祝日管理!B:B,A43)=1,"祝",WEEKDAY(A43,1))))</f>
        <v>1</v>
      </c>
      <c r="D43" s="292"/>
      <c r="E43" s="292"/>
      <c r="F43" s="292"/>
      <c r="G43" s="292"/>
      <c r="H43" s="292"/>
      <c r="I43" s="293"/>
      <c r="J43" s="298">
        <f t="shared" si="4"/>
        <v>0</v>
      </c>
      <c r="K43" s="294"/>
      <c r="L43" s="285">
        <f t="shared" si="5"/>
        <v>0</v>
      </c>
      <c r="M43" s="296"/>
      <c r="N43" s="297">
        <f t="shared" ca="1" si="6"/>
        <v>0</v>
      </c>
      <c r="O43" s="286"/>
      <c r="P43" s="285">
        <f t="shared" ca="1" si="7"/>
        <v>0</v>
      </c>
      <c r="Q43" s="286"/>
      <c r="R43" s="285">
        <f t="shared" ca="1" si="8"/>
        <v>0</v>
      </c>
      <c r="S43" s="286"/>
      <c r="T43" s="285">
        <f t="shared" ca="1" si="9"/>
        <v>0</v>
      </c>
      <c r="U43" s="286"/>
      <c r="V43" s="285">
        <f t="shared" ca="1" si="10"/>
        <v>0</v>
      </c>
      <c r="W43" s="286"/>
      <c r="X43" s="287" t="s">
        <v>187</v>
      </c>
      <c r="Y43" s="288"/>
      <c r="Z43" s="289"/>
      <c r="AA43" s="81"/>
      <c r="AB43" s="93">
        <f t="shared" ca="1" si="2"/>
        <v>0</v>
      </c>
    </row>
    <row r="44" spans="1:32" ht="14.15" customHeight="1" x14ac:dyDescent="0.2">
      <c r="A44" s="290">
        <f t="shared" ca="1" si="3"/>
        <v>46384</v>
      </c>
      <c r="B44" s="291"/>
      <c r="C44" s="80">
        <f ca="1">IF(A44="","",IF(WEEKDAY(A44,1)=1,1,IF(COUNTIF(祝日管理!B:B,A44)=1,"祝",WEEKDAY(A44,1))))</f>
        <v>2</v>
      </c>
      <c r="D44" s="292"/>
      <c r="E44" s="292"/>
      <c r="F44" s="292"/>
      <c r="G44" s="292"/>
      <c r="H44" s="292"/>
      <c r="I44" s="293"/>
      <c r="J44" s="298">
        <f t="shared" si="4"/>
        <v>0</v>
      </c>
      <c r="K44" s="294"/>
      <c r="L44" s="285">
        <f t="shared" si="5"/>
        <v>0</v>
      </c>
      <c r="M44" s="296"/>
      <c r="N44" s="297">
        <f t="shared" ca="1" si="6"/>
        <v>0</v>
      </c>
      <c r="O44" s="286"/>
      <c r="P44" s="285">
        <f t="shared" ca="1" si="7"/>
        <v>0</v>
      </c>
      <c r="Q44" s="286"/>
      <c r="R44" s="285">
        <f t="shared" ca="1" si="8"/>
        <v>0</v>
      </c>
      <c r="S44" s="286"/>
      <c r="T44" s="285">
        <f t="shared" ca="1" si="9"/>
        <v>0</v>
      </c>
      <c r="U44" s="286"/>
      <c r="V44" s="285">
        <f t="shared" ca="1" si="10"/>
        <v>0</v>
      </c>
      <c r="W44" s="286"/>
      <c r="X44" s="287" t="s">
        <v>185</v>
      </c>
      <c r="Y44" s="288"/>
      <c r="Z44" s="289"/>
      <c r="AA44" s="81"/>
      <c r="AB44" s="93">
        <f t="shared" ca="1" si="2"/>
        <v>0</v>
      </c>
    </row>
    <row r="45" spans="1:32" ht="14.15" customHeight="1" x14ac:dyDescent="0.2">
      <c r="A45" s="290">
        <f ca="1">IF(DAY(A44+1)=29,A44+1,"")</f>
        <v>46385</v>
      </c>
      <c r="B45" s="291"/>
      <c r="C45" s="80">
        <f ca="1">IF(A45="","",IF(WEEKDAY(A45,1)=1,1,IF(COUNTIF(祝日管理!B:B,A45)=1,"祝",WEEKDAY(A45,1))))</f>
        <v>3</v>
      </c>
      <c r="D45" s="292"/>
      <c r="E45" s="292"/>
      <c r="F45" s="292"/>
      <c r="G45" s="292"/>
      <c r="H45" s="292"/>
      <c r="I45" s="293"/>
      <c r="J45" s="298">
        <f t="shared" si="4"/>
        <v>0</v>
      </c>
      <c r="K45" s="294"/>
      <c r="L45" s="285">
        <f t="shared" si="5"/>
        <v>0</v>
      </c>
      <c r="M45" s="296"/>
      <c r="N45" s="297">
        <f t="shared" ca="1" si="6"/>
        <v>0</v>
      </c>
      <c r="O45" s="286"/>
      <c r="P45" s="285">
        <f t="shared" ca="1" si="7"/>
        <v>0</v>
      </c>
      <c r="Q45" s="286"/>
      <c r="R45" s="285">
        <f t="shared" ca="1" si="8"/>
        <v>0</v>
      </c>
      <c r="S45" s="286"/>
      <c r="T45" s="285">
        <f t="shared" ca="1" si="9"/>
        <v>0</v>
      </c>
      <c r="U45" s="286"/>
      <c r="V45" s="285">
        <f t="shared" ca="1" si="10"/>
        <v>0</v>
      </c>
      <c r="W45" s="286"/>
      <c r="X45" s="287"/>
      <c r="Y45" s="288"/>
      <c r="Z45" s="289"/>
      <c r="AA45" s="82"/>
      <c r="AB45" s="93">
        <f t="shared" ca="1" si="2"/>
        <v>7.5</v>
      </c>
    </row>
    <row r="46" spans="1:32" ht="14.15" customHeight="1" x14ac:dyDescent="0.2">
      <c r="A46" s="290">
        <f ca="1">IF(A45="","",IF(DAY(A45+1)=30,A45+1,""))</f>
        <v>46386</v>
      </c>
      <c r="B46" s="291"/>
      <c r="C46" s="80">
        <f ca="1">IF(A46="","",IF(WEEKDAY(A46,1)=1,1,IF(COUNTIF(祝日管理!B:B,A46)=1,"祝",WEEKDAY(A46,1))))</f>
        <v>4</v>
      </c>
      <c r="D46" s="292"/>
      <c r="E46" s="292"/>
      <c r="F46" s="292"/>
      <c r="G46" s="292"/>
      <c r="H46" s="292"/>
      <c r="I46" s="293"/>
      <c r="J46" s="298">
        <f t="shared" si="4"/>
        <v>0</v>
      </c>
      <c r="K46" s="294"/>
      <c r="L46" s="285">
        <f t="shared" si="5"/>
        <v>0</v>
      </c>
      <c r="M46" s="296"/>
      <c r="N46" s="297">
        <f t="shared" ca="1" si="6"/>
        <v>0</v>
      </c>
      <c r="O46" s="286"/>
      <c r="P46" s="285">
        <f t="shared" ca="1" si="7"/>
        <v>0</v>
      </c>
      <c r="Q46" s="286"/>
      <c r="R46" s="285">
        <f t="shared" ca="1" si="8"/>
        <v>0</v>
      </c>
      <c r="S46" s="286"/>
      <c r="T46" s="285">
        <f t="shared" ca="1" si="9"/>
        <v>0</v>
      </c>
      <c r="U46" s="286"/>
      <c r="V46" s="285">
        <f t="shared" ca="1" si="10"/>
        <v>0</v>
      </c>
      <c r="W46" s="286"/>
      <c r="X46" s="287" t="s">
        <v>187</v>
      </c>
      <c r="Y46" s="288"/>
      <c r="Z46" s="289"/>
      <c r="AA46" s="81"/>
      <c r="AB46" s="93">
        <f t="shared" ca="1" si="2"/>
        <v>0</v>
      </c>
      <c r="AF46">
        <f>+時間・月額</f>
        <v>250000</v>
      </c>
    </row>
    <row r="47" spans="1:32" ht="14.15" customHeight="1" thickBot="1" x14ac:dyDescent="0.25">
      <c r="A47" s="290">
        <f ca="1">IF(A46="","",IF(DAY(A46+1)=31,A46+1,""))</f>
        <v>46387</v>
      </c>
      <c r="B47" s="291"/>
      <c r="C47" s="80">
        <f ca="1">IF(A47="","",IF(WEEKDAY(A47,1)=1,1,IF(COUNTIF(祝日管理!B:B,A47)=1,"祝",WEEKDAY(A47,1))))</f>
        <v>5</v>
      </c>
      <c r="D47" s="292"/>
      <c r="E47" s="292"/>
      <c r="F47" s="292"/>
      <c r="G47" s="292"/>
      <c r="H47" s="292"/>
      <c r="I47" s="293"/>
      <c r="J47" s="294">
        <f t="shared" si="4"/>
        <v>0</v>
      </c>
      <c r="K47" s="295"/>
      <c r="L47" s="285">
        <f t="shared" si="5"/>
        <v>0</v>
      </c>
      <c r="M47" s="296"/>
      <c r="N47" s="283">
        <f t="shared" ca="1" si="6"/>
        <v>0</v>
      </c>
      <c r="O47" s="284"/>
      <c r="P47" s="285">
        <f t="shared" ca="1" si="7"/>
        <v>0</v>
      </c>
      <c r="Q47" s="286"/>
      <c r="R47" s="285">
        <f t="shared" ca="1" si="8"/>
        <v>0</v>
      </c>
      <c r="S47" s="286"/>
      <c r="T47" s="285">
        <f t="shared" ca="1" si="9"/>
        <v>0</v>
      </c>
      <c r="U47" s="286"/>
      <c r="V47" s="285">
        <f t="shared" ca="1" si="10"/>
        <v>0</v>
      </c>
      <c r="W47" s="286"/>
      <c r="X47" s="287" t="s">
        <v>187</v>
      </c>
      <c r="Y47" s="288"/>
      <c r="Z47" s="289"/>
      <c r="AA47" s="81"/>
      <c r="AB47" s="93">
        <f ca="1">IF(ISERROR((X47="")*(7.5-N47)),0,(X47="")*(7.5-N47))</f>
        <v>0</v>
      </c>
    </row>
    <row r="48" spans="1:32" ht="14.15" customHeight="1" thickBot="1" x14ac:dyDescent="0.25">
      <c r="A48" s="274" t="s">
        <v>56</v>
      </c>
      <c r="B48" s="275"/>
      <c r="C48" s="35"/>
      <c r="D48" s="276"/>
      <c r="E48" s="277"/>
      <c r="F48" s="276"/>
      <c r="G48" s="277"/>
      <c r="H48" s="276"/>
      <c r="I48" s="278"/>
      <c r="J48" s="279"/>
      <c r="K48" s="280"/>
      <c r="L48" s="281" t="s">
        <v>198</v>
      </c>
      <c r="M48" s="282"/>
      <c r="N48" s="265"/>
      <c r="O48" s="266"/>
      <c r="P48" s="267" t="s">
        <v>200</v>
      </c>
      <c r="Q48" s="268"/>
      <c r="R48" s="265"/>
      <c r="S48" s="266"/>
      <c r="T48" s="269"/>
      <c r="U48" s="270"/>
      <c r="V48" s="269"/>
      <c r="W48" s="270"/>
      <c r="X48" s="271"/>
      <c r="Y48" s="272"/>
      <c r="Z48" s="273"/>
      <c r="AA48" s="66"/>
      <c r="AB48" t="s">
        <v>191</v>
      </c>
    </row>
    <row r="49" spans="1:34" ht="14.15" customHeight="1" x14ac:dyDescent="0.2">
      <c r="A49" s="255" t="s">
        <v>196</v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8">
        <f>SUM(L17:M47)+N48</f>
        <v>0</v>
      </c>
      <c r="M49" s="259"/>
      <c r="N49" s="260">
        <f ca="1">ROUNDDOWN((SUM(N17:O48)+0.01)*4,0)/4</f>
        <v>0</v>
      </c>
      <c r="O49" s="261"/>
      <c r="P49" s="262">
        <f ca="1">ROUNDDOWN((SUM(P17:Q47)+0.01)*4,0)/4</f>
        <v>0</v>
      </c>
      <c r="Q49" s="263"/>
      <c r="R49" s="242">
        <f ca="1">ROUNDDOWN((SUM(R17:S47)+0.01)*4,0)/4</f>
        <v>0</v>
      </c>
      <c r="S49" s="264"/>
      <c r="T49" s="242">
        <f ca="1">ROUNDDOWN((SUM(T17:U47)+0.01)*4,0)/4</f>
        <v>0</v>
      </c>
      <c r="U49" s="243"/>
      <c r="V49" s="242">
        <f ca="1">ROUNDDOWN((SUM(V17:W47)+0.01)*4,0)/4</f>
        <v>0</v>
      </c>
      <c r="W49" s="243"/>
      <c r="X49" s="244">
        <f ca="1">SUM(通常時間計:休日深夜時間計)</f>
        <v>0</v>
      </c>
      <c r="Y49" s="245"/>
      <c r="Z49" s="245"/>
      <c r="AA49" s="64" t="s">
        <v>142</v>
      </c>
    </row>
    <row r="50" spans="1:34" ht="14.15" customHeight="1" thickBot="1" x14ac:dyDescent="0.25">
      <c r="A50" s="246" t="s">
        <v>106</v>
      </c>
      <c r="B50" s="246"/>
      <c r="C50" s="246"/>
      <c r="D50" s="246"/>
      <c r="E50" s="246"/>
      <c r="F50" s="246"/>
      <c r="G50" s="246"/>
      <c r="H50" s="246"/>
      <c r="I50" s="246"/>
      <c r="J50" s="246"/>
      <c r="K50" s="246"/>
      <c r="L50" s="247">
        <f ca="1">SUM(N50:W50)</f>
        <v>0</v>
      </c>
      <c r="M50" s="248"/>
      <c r="N50" s="249">
        <f ca="1">通常時間計</f>
        <v>0</v>
      </c>
      <c r="O50" s="250"/>
      <c r="P50" s="249">
        <f ca="1">IF(給与体系="140-160時間制",超過勤務時間計,MAX(0,超過勤務時間計+深夜残業時間計-60)*0.25+超過勤務時間計*1.25)</f>
        <v>0</v>
      </c>
      <c r="Q50" s="250"/>
      <c r="R50" s="251">
        <f ca="1">IF(給与体系="140-160時間制",深夜残業時間計,深夜残業時間計*1.5)</f>
        <v>0</v>
      </c>
      <c r="S50" s="252"/>
      <c r="T50" s="251">
        <f ca="1">IF(給与体系="140-160時間制",休日出勤時間計,休日出勤時間計*1.35)</f>
        <v>0</v>
      </c>
      <c r="U50" s="252"/>
      <c r="V50" s="251">
        <f ca="1">IF(給与体系="140-160時間制",休日深夜時間計,休日深夜時間計*1.6)</f>
        <v>0</v>
      </c>
      <c r="W50" s="252"/>
      <c r="X50" s="253">
        <f ca="1">SUM(N50:W50)</f>
        <v>0</v>
      </c>
      <c r="Y50" s="254"/>
      <c r="Z50" s="254"/>
      <c r="AA50" s="88">
        <f>+'11月'!AA50</f>
        <v>45748</v>
      </c>
      <c r="AB50" s="98">
        <f ca="1">+IFERROR(((MAX(0,超過勤務時間計+深夜残業時間計-60)*0.25+(超過勤務時間計+深夜残業時間計)*1.25))/(超過勤務時間計+深夜残業時間計),0)</f>
        <v>0</v>
      </c>
      <c r="AC50" s="2" t="s">
        <v>158</v>
      </c>
      <c r="AD50" s="2"/>
      <c r="AE50" s="231"/>
      <c r="AF50" s="231"/>
      <c r="AG50" s="60"/>
      <c r="AH50" s="61"/>
    </row>
    <row r="51" spans="1:34" ht="14.15" customHeight="1" thickTop="1" thickBot="1" x14ac:dyDescent="0.25">
      <c r="A51" s="232" t="s">
        <v>38</v>
      </c>
      <c r="B51" s="233"/>
      <c r="C51" s="234">
        <f>COUNTA(D17:D47)-W51-W52</f>
        <v>0</v>
      </c>
      <c r="D51" s="235"/>
      <c r="E51" s="236" t="s">
        <v>32</v>
      </c>
      <c r="F51" s="233"/>
      <c r="G51" s="237">
        <f>+COUNTIF($X17:$Z47,E51)</f>
        <v>0</v>
      </c>
      <c r="H51" s="238"/>
      <c r="I51" s="169" t="s">
        <v>111</v>
      </c>
      <c r="J51" s="170"/>
      <c r="K51" s="167">
        <f>+COUNTIF($X17:$Z47,I51)</f>
        <v>0</v>
      </c>
      <c r="L51" s="168"/>
      <c r="M51" s="169" t="s">
        <v>113</v>
      </c>
      <c r="N51" s="170"/>
      <c r="O51" s="167">
        <f>+COUNTIF($X17:$Z47,M51)</f>
        <v>0</v>
      </c>
      <c r="P51" s="168"/>
      <c r="Q51" s="169" t="s">
        <v>112</v>
      </c>
      <c r="R51" s="170"/>
      <c r="S51" s="167">
        <f>+COUNTIF($X17:$Z47,Q51)</f>
        <v>0</v>
      </c>
      <c r="T51" s="168"/>
      <c r="U51" s="169" t="s">
        <v>123</v>
      </c>
      <c r="V51" s="170"/>
      <c r="W51" s="171">
        <f>+K51+(O51+S51)/2</f>
        <v>0</v>
      </c>
      <c r="X51" s="172"/>
      <c r="Y51" s="208" t="s">
        <v>124</v>
      </c>
      <c r="Z51" s="209"/>
      <c r="AA51" s="63">
        <f>+AA52-W51-AA53</f>
        <v>35</v>
      </c>
      <c r="AB51" t="s">
        <v>174</v>
      </c>
    </row>
    <row r="52" spans="1:34" ht="14.15" customHeight="1" thickTop="1" thickBot="1" x14ac:dyDescent="0.25">
      <c r="A52" s="239" t="s">
        <v>153</v>
      </c>
      <c r="B52" s="239"/>
      <c r="C52" s="239"/>
      <c r="D52" s="239"/>
      <c r="E52" s="239"/>
      <c r="F52" s="240">
        <f>+'11月'!F52</f>
        <v>250000</v>
      </c>
      <c r="G52" s="240"/>
      <c r="H52" s="241"/>
      <c r="I52" s="169" t="s">
        <v>126</v>
      </c>
      <c r="J52" s="170"/>
      <c r="K52" s="167">
        <f>+COUNTIF($X17:$Z47,"*全*")-COUNTIF($X17:$Z47,"*欠勤(全*")-COUNTIF($X17:$Z47,"*振休(全*")-COUNTIF($X17:$Z47,"*代休(全*")-K51</f>
        <v>0</v>
      </c>
      <c r="L52" s="168"/>
      <c r="M52" s="169" t="s">
        <v>135</v>
      </c>
      <c r="N52" s="170"/>
      <c r="O52" s="167">
        <f>+COUNTIF($X17:$Z47,"*AM*")-COUNTIF($X17:$Z47,"*欠勤(A*")-COUNTIF($X17:$Z47,"*代休(A*")-O51</f>
        <v>0</v>
      </c>
      <c r="P52" s="168"/>
      <c r="Q52" s="169" t="s">
        <v>136</v>
      </c>
      <c r="R52" s="170"/>
      <c r="S52" s="167">
        <f>+COUNTIF($X17:$Z47,"*PM*")-COUNTIF($X17:$Z47,"*代休(P*")-S51</f>
        <v>0</v>
      </c>
      <c r="T52" s="168"/>
      <c r="U52" s="169" t="s">
        <v>127</v>
      </c>
      <c r="V52" s="170"/>
      <c r="W52" s="171">
        <f>+K52+(O52+S52)/2</f>
        <v>0</v>
      </c>
      <c r="X52" s="172"/>
      <c r="Y52" s="208" t="s">
        <v>125</v>
      </c>
      <c r="Z52" s="209"/>
      <c r="AA52" s="62">
        <f>+'11月'!AA51</f>
        <v>35</v>
      </c>
      <c r="AB52" t="s">
        <v>173</v>
      </c>
    </row>
    <row r="53" spans="1:34" ht="14.15" customHeight="1" thickTop="1" thickBot="1" x14ac:dyDescent="0.25">
      <c r="A53" s="224"/>
      <c r="B53" s="225"/>
      <c r="C53" s="226"/>
      <c r="D53" s="227" t="s">
        <v>21</v>
      </c>
      <c r="E53" s="228"/>
      <c r="F53" s="33"/>
      <c r="G53" s="228" t="s">
        <v>22</v>
      </c>
      <c r="H53" s="228"/>
      <c r="I53" s="34"/>
      <c r="J53" s="229"/>
      <c r="K53" s="225"/>
      <c r="L53" s="230"/>
      <c r="M53" s="27"/>
      <c r="N53" s="28"/>
      <c r="O53" s="32"/>
      <c r="P53" s="4"/>
      <c r="S53" s="4"/>
      <c r="Y53" s="208" t="s">
        <v>166</v>
      </c>
      <c r="Z53" s="209"/>
      <c r="AA53" s="63">
        <v>0</v>
      </c>
      <c r="AB53" t="s">
        <v>167</v>
      </c>
    </row>
    <row r="54" spans="1:34" ht="14.15" customHeight="1" thickTop="1" thickBot="1" x14ac:dyDescent="0.25">
      <c r="A54" s="217" t="s">
        <v>256</v>
      </c>
      <c r="B54" s="218"/>
      <c r="C54" s="218"/>
      <c r="D54" s="219" t="e">
        <f ca="1">ROUNDUP(IF(給与種別=0,時間・月額+手当１金額,IF(給与体系="時給制",(時間・月額+手当１金額/150),(時間・月額+手当１金額)/SUMIF(テーブル_勤務時間,給与体系,テーブル!C:C))),0)</f>
        <v>#DIV/0!</v>
      </c>
      <c r="E54" s="220"/>
      <c r="F54" s="99" t="s">
        <v>39</v>
      </c>
      <c r="G54" s="195">
        <f ca="1">+IF(給与種別=0,1,IF(給与体系&lt;&gt;"時給制",SUMIF(テーブル_勤務時間,給与体系,テーブル!K:K),通常時間計))</f>
        <v>0</v>
      </c>
      <c r="H54" s="195"/>
      <c r="I54" s="100" t="str">
        <f ca="1">IF(給与種別=2,"h","m")</f>
        <v>h</v>
      </c>
      <c r="J54" s="221">
        <f ca="1">IF(給与体系="時給制",基本給単価*基本給時間,SUMIF(テーブル!U2:U13,当月,テーブル!V2:V13))</f>
        <v>0</v>
      </c>
      <c r="K54" s="222"/>
      <c r="L54" s="223"/>
      <c r="M54" s="4"/>
      <c r="N54" s="202" t="s">
        <v>188</v>
      </c>
      <c r="O54" s="203"/>
      <c r="P54" s="203"/>
      <c r="Q54" s="204">
        <f>(合計_15分未満切捨て-(K51+K52)*7.5-(O51+O52)*3-(S51+S52)*4.5)</f>
        <v>0</v>
      </c>
      <c r="R54" s="205"/>
      <c r="S54" s="206"/>
      <c r="T54" s="207"/>
      <c r="U54" s="92" t="s">
        <v>197</v>
      </c>
      <c r="Y54" s="208" t="s">
        <v>203</v>
      </c>
      <c r="Z54" s="209"/>
      <c r="AA54" s="63">
        <f>+SUM('12月:4月'!W51:X51)</f>
        <v>0</v>
      </c>
      <c r="AB54" t="s">
        <v>204</v>
      </c>
    </row>
    <row r="55" spans="1:34" ht="14.15" customHeight="1" thickTop="1" thickBot="1" x14ac:dyDescent="0.25">
      <c r="A55" s="192" t="str">
        <f ca="1">+IF(給与体系="時給制","超過勤務","みなし給")</f>
        <v>みなし給</v>
      </c>
      <c r="B55" s="193"/>
      <c r="C55" s="194"/>
      <c r="D55" s="210" t="e">
        <f ca="1">IF(給与体系="140-160時間制",基本給単価/4,IF(時間外係数=0,基本給単価*1.25,ROUNDUP(IF(給与体系="時給制",(時間・月額+手当１金額/150)*時間外係数,(時間・月額+手当１金額)/SUMIF(テーブル_勤務時間,給与体系,テーブル!C:C)*SUMIF(テーブル_勤務時間,給与体系,テーブル!E:E)),0)))</f>
        <v>#DIV/0!</v>
      </c>
      <c r="E55" s="211"/>
      <c r="F55" s="99" t="s">
        <v>39</v>
      </c>
      <c r="G55" s="195">
        <f ca="1">+IF(給与体系="時給制",超過勤務時間計,SUMIF(テーブル_勤務時間,給与体系,テーブル_みなし時間))</f>
        <v>0</v>
      </c>
      <c r="H55" s="195"/>
      <c r="I55" s="100" t="s">
        <v>40</v>
      </c>
      <c r="J55" s="212">
        <f ca="1">IF(みなし給時間="","",IF(給与体系="時給制",みなし給単価*みなし給時間,SUMIF(テーブル!U2:U13,当月,テーブル!W2:W13)))</f>
        <v>0</v>
      </c>
      <c r="K55" s="213"/>
      <c r="L55" s="214"/>
      <c r="M55" s="4"/>
      <c r="N55" s="215" t="s">
        <v>189</v>
      </c>
      <c r="O55" s="216"/>
      <c r="P55" s="216"/>
      <c r="Q55" s="204">
        <f>+N48+R48*7.5</f>
        <v>0</v>
      </c>
      <c r="R55" s="205"/>
      <c r="S55" s="206"/>
      <c r="T55" s="207"/>
      <c r="U55" s="92" t="s">
        <v>201</v>
      </c>
      <c r="AA55" s="87" t="s">
        <v>192</v>
      </c>
    </row>
    <row r="56" spans="1:34" ht="14.15" customHeight="1" thickTop="1" thickBot="1" x14ac:dyDescent="0.25">
      <c r="A56" s="192" t="str">
        <f ca="1">+IF(給与体系="時給制","深夜残業","月額給")</f>
        <v>月額給</v>
      </c>
      <c r="B56" s="193"/>
      <c r="C56" s="194"/>
      <c r="D56" s="200" t="e">
        <f ca="1">IF(給与体系="時給制",ROUND(基本給単価*(1.5+MAX(0,時間外係数-1.25)),0),IF(給与体系="月給制","",VLOOKUP(給与体系,テーブル!B:F,5,0)))</f>
        <v>#N/A</v>
      </c>
      <c r="E56" s="201"/>
      <c r="F56" s="99" t="str">
        <f ca="1">+IF(給与体系="時給制","＊",IF(給与体系="月給制","","－"))</f>
        <v>－</v>
      </c>
      <c r="G56" s="195" t="e">
        <f ca="1">+IF(給与体系="時給制",深夜残業時間計,IF(給与体系="月給制","月額給",VLOOKUP(給与体系,テーブル!B:G,6,0)))</f>
        <v>#N/A</v>
      </c>
      <c r="H56" s="195"/>
      <c r="I56" s="100" t="str">
        <f ca="1">+IF(給与体系="時給制","h","制")</f>
        <v>制</v>
      </c>
      <c r="J56" s="179">
        <f ca="1">IF(給与体系="時給制",D56*G56,基本給+みなし給)</f>
        <v>0</v>
      </c>
      <c r="K56" s="180"/>
      <c r="L56" s="181"/>
      <c r="M56" s="4"/>
      <c r="N56" s="202" t="s">
        <v>190</v>
      </c>
      <c r="O56" s="203"/>
      <c r="P56" s="203"/>
      <c r="Q56" s="204">
        <f>+Q54-Q55</f>
        <v>0</v>
      </c>
      <c r="R56" s="205"/>
      <c r="S56" s="206"/>
      <c r="T56" s="207"/>
      <c r="U56" s="92" t="s">
        <v>199</v>
      </c>
      <c r="AA56" s="86">
        <f>IF(D62="テレワーク手当",J62/400,IF(D63="テレワーク手当",J63/400,IF(D64="テレワーク手当",J64/400,0)))</f>
        <v>0</v>
      </c>
      <c r="AB56" t="s">
        <v>193</v>
      </c>
    </row>
    <row r="57" spans="1:34" ht="14.15" customHeight="1" thickTop="1" thickBot="1" x14ac:dyDescent="0.25">
      <c r="A57" s="192" t="str">
        <f ca="1">+IF(給与体系="時給制","休日出勤","控除精算")</f>
        <v>控除精算</v>
      </c>
      <c r="B57" s="193"/>
      <c r="C57" s="194"/>
      <c r="D57" s="176" t="e">
        <f ca="1">ROUNDUP(IF(給与種別=0,0,IF(給与体系="時給制",(基本給単価)*1.35,(時間・月額)/SUMIF(テーブル_勤務時間,給与体系,テーブル!C:C))),0)</f>
        <v>#DIV/0!</v>
      </c>
      <c r="E57" s="177"/>
      <c r="F57" s="99" t="s">
        <v>39</v>
      </c>
      <c r="G57" s="195">
        <f ca="1">IF(給与体系="時給制",休日出勤時間計,IF(給与体系="月給制",-1*欠勤時間計,IF(給与体系="140-160時間制",MIN(0,時間合計-140),MIN(0,補正勤務時間合計-SUMIF(テーブル_勤務時間,給与体系,テーブル!H:H)))))</f>
        <v>0</v>
      </c>
      <c r="H57" s="195"/>
      <c r="I57" s="100" t="s">
        <v>40</v>
      </c>
      <c r="J57" s="179" t="e">
        <f ca="1">MAX(控除単価*控除時間,時間・月額*-1)</f>
        <v>#DIV/0!</v>
      </c>
      <c r="K57" s="180"/>
      <c r="L57" s="181"/>
      <c r="M57" s="4"/>
      <c r="N57" s="196" t="s">
        <v>134</v>
      </c>
      <c r="O57" s="197"/>
      <c r="P57" s="198">
        <f ca="1">_xlfn.XLOOKUP(当月,テーブル!U2:U13,テーブル!X2:X13,テーブル!$O$6,FALSE)</f>
        <v>0</v>
      </c>
      <c r="Q57" s="198"/>
      <c r="R57" s="198"/>
      <c r="S57" s="198"/>
      <c r="T57" s="198"/>
      <c r="U57" s="198"/>
      <c r="V57" s="198"/>
      <c r="W57" s="199"/>
    </row>
    <row r="58" spans="1:34" ht="14.15" customHeight="1" x14ac:dyDescent="0.2">
      <c r="A58" s="173" t="str">
        <f ca="1">+IF(給与体系="時給制","休日深夜","超過精算")</f>
        <v>超過精算</v>
      </c>
      <c r="B58" s="174"/>
      <c r="C58" s="175"/>
      <c r="D58" s="176" t="e">
        <f ca="1">ROUNDUP(IF(給与種別=0,((時間・月額+手当１金額)/150),IF(給与体系="時給制",(基本給単価)*1.6,(時間・月額)/SUMIF(テーブル_勤務時間,給与体系,テーブル!C:C))),0)</f>
        <v>#DIV/0!</v>
      </c>
      <c r="E58" s="177"/>
      <c r="F58" s="101" t="s">
        <v>39</v>
      </c>
      <c r="G58" s="178">
        <f ca="1">IF(給与体系="時給制",休日深夜時間計,IF(給与体系="140-160時間制",MAX(0,時間合計-160)*1.25+MAX(0,深夜残業時間計-80)*0.25,(IF(給与体系="管理監督者",(深夜残業時間計+休日深夜時間計)*0.25,MAX(0,補正勤務時間合計-SUMIF(テーブル_勤務時間,給与体系,テーブル!I:I))))))</f>
        <v>0</v>
      </c>
      <c r="H58" s="178"/>
      <c r="I58" s="102" t="s">
        <v>40</v>
      </c>
      <c r="J58" s="179" t="e">
        <f ca="1">超過単価*超過時間</f>
        <v>#DIV/0!</v>
      </c>
      <c r="K58" s="180"/>
      <c r="L58" s="181"/>
      <c r="M58" s="4"/>
      <c r="N58" s="182" t="s">
        <v>157</v>
      </c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94" t="s">
        <v>211</v>
      </c>
    </row>
    <row r="59" spans="1:34" ht="14.15" customHeight="1" thickBot="1" x14ac:dyDescent="0.25">
      <c r="A59" s="183" t="s">
        <v>227</v>
      </c>
      <c r="B59" s="184"/>
      <c r="C59" s="185"/>
      <c r="D59" s="186"/>
      <c r="E59" s="187"/>
      <c r="F59" s="83"/>
      <c r="G59" s="188" t="s">
        <v>255</v>
      </c>
      <c r="H59" s="188"/>
      <c r="I59" s="84"/>
      <c r="J59" s="189" t="str">
        <f>+IF(ISERROR(過不足調整単価*過不足調整時間),"",過不足調整単価*過不足調整時間)</f>
        <v/>
      </c>
      <c r="K59" s="190"/>
      <c r="L59" s="191"/>
      <c r="M59" s="4"/>
      <c r="N59" s="154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95">
        <f ca="1">+SUM(AB17:AB47)+G51*7.5+AB59</f>
        <v>157.5</v>
      </c>
    </row>
    <row r="60" spans="1:34" ht="14.15" customHeight="1" thickTop="1" x14ac:dyDescent="0.2">
      <c r="A60" s="145"/>
      <c r="B60" s="146"/>
      <c r="C60" s="147"/>
      <c r="D60" s="148" t="s">
        <v>148</v>
      </c>
      <c r="E60" s="149"/>
      <c r="F60" s="149"/>
      <c r="G60" s="149"/>
      <c r="H60" s="149"/>
      <c r="I60" s="150"/>
      <c r="J60" s="151" t="e">
        <f ca="1">IF(給与体系="時給制",SUM(基本給:L59),SUM(J56:L59))</f>
        <v>#DIV/0!</v>
      </c>
      <c r="K60" s="152"/>
      <c r="L60" s="153"/>
      <c r="M60" s="4"/>
      <c r="N60" s="154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6"/>
      <c r="AB60" t="s">
        <v>229</v>
      </c>
    </row>
    <row r="61" spans="1:34" ht="14.15" customHeight="1" x14ac:dyDescent="0.2">
      <c r="A61" s="157" t="s">
        <v>137</v>
      </c>
      <c r="B61" s="158" t="s">
        <v>182</v>
      </c>
      <c r="C61" s="159"/>
      <c r="D61" s="160">
        <f>'4月'!D61</f>
        <v>0</v>
      </c>
      <c r="E61" s="161"/>
      <c r="F61" s="161"/>
      <c r="G61" s="161"/>
      <c r="H61" s="161"/>
      <c r="I61" s="162"/>
      <c r="J61" s="126">
        <f>'4月'!手当１金額</f>
        <v>0</v>
      </c>
      <c r="K61" s="127"/>
      <c r="L61" s="128"/>
      <c r="M61" s="4"/>
      <c r="N61" s="115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7"/>
      <c r="AB61" t="s">
        <v>232</v>
      </c>
      <c r="AC61" t="s">
        <v>235</v>
      </c>
    </row>
    <row r="62" spans="1:34" ht="14.15" customHeight="1" x14ac:dyDescent="0.2">
      <c r="A62" s="157"/>
      <c r="B62" s="163" t="s">
        <v>183</v>
      </c>
      <c r="C62" s="120"/>
      <c r="D62" s="133"/>
      <c r="E62" s="134"/>
      <c r="F62" s="134"/>
      <c r="G62" s="134"/>
      <c r="H62" s="134"/>
      <c r="I62" s="135"/>
      <c r="J62" s="126"/>
      <c r="K62" s="127"/>
      <c r="L62" s="128"/>
      <c r="M62" s="4"/>
      <c r="N62" s="115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7"/>
      <c r="AB62" t="s">
        <v>239</v>
      </c>
      <c r="AC62" t="s">
        <v>236</v>
      </c>
    </row>
    <row r="63" spans="1:34" ht="14.15" customHeight="1" x14ac:dyDescent="0.2">
      <c r="A63" s="157"/>
      <c r="B63" s="164"/>
      <c r="C63" s="165"/>
      <c r="D63" s="133"/>
      <c r="E63" s="134"/>
      <c r="F63" s="134"/>
      <c r="G63" s="134"/>
      <c r="H63" s="134"/>
      <c r="I63" s="135"/>
      <c r="J63" s="126"/>
      <c r="K63" s="127"/>
      <c r="L63" s="128"/>
      <c r="M63" s="4"/>
      <c r="N63" s="115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7"/>
      <c r="AB63" t="s">
        <v>245</v>
      </c>
      <c r="AC63" t="s">
        <v>249</v>
      </c>
    </row>
    <row r="64" spans="1:34" ht="14.15" customHeight="1" x14ac:dyDescent="0.2">
      <c r="A64" s="157"/>
      <c r="B64" s="166"/>
      <c r="C64" s="123"/>
      <c r="D64" s="133"/>
      <c r="E64" s="134"/>
      <c r="F64" s="134"/>
      <c r="G64" s="134"/>
      <c r="H64" s="134"/>
      <c r="I64" s="135"/>
      <c r="J64" s="126"/>
      <c r="K64" s="127"/>
      <c r="L64" s="128"/>
      <c r="M64" s="4"/>
      <c r="N64" s="115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7"/>
      <c r="AB64" t="s">
        <v>247</v>
      </c>
      <c r="AC64" t="s">
        <v>237</v>
      </c>
    </row>
    <row r="65" spans="1:29" ht="14.15" customHeight="1" x14ac:dyDescent="0.2">
      <c r="A65" s="136" t="s">
        <v>28</v>
      </c>
      <c r="B65" s="137"/>
      <c r="C65" s="137"/>
      <c r="D65" s="137"/>
      <c r="E65" s="137"/>
      <c r="F65" s="137"/>
      <c r="G65" s="137"/>
      <c r="H65" s="137"/>
      <c r="I65" s="138"/>
      <c r="J65" s="139" t="e">
        <f ca="1">J60+SUM(J62:L64)</f>
        <v>#DIV/0!</v>
      </c>
      <c r="K65" s="140"/>
      <c r="L65" s="141"/>
      <c r="M65" s="4"/>
      <c r="N65" s="142" t="str">
        <f>+IF('4月'!J66=0," ※前月の通勤費がゼロのため通勤交通費が表示されない","")</f>
        <v xml:space="preserve"> ※前月の通勤費がゼロのため通勤交通費が表示されない</v>
      </c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4"/>
    </row>
    <row r="66" spans="1:29" ht="14.15" customHeight="1" x14ac:dyDescent="0.2">
      <c r="A66" s="132" t="s">
        <v>169</v>
      </c>
      <c r="B66" s="124"/>
      <c r="C66" s="124"/>
      <c r="D66" s="124"/>
      <c r="E66" s="124"/>
      <c r="F66" s="124"/>
      <c r="G66" s="124"/>
      <c r="H66" s="124"/>
      <c r="I66" s="125"/>
      <c r="J66" s="126">
        <f>+'11月'!$J$66</f>
        <v>0</v>
      </c>
      <c r="K66" s="127"/>
      <c r="L66" s="128"/>
      <c r="M66" s="4"/>
      <c r="N66" s="115" t="str">
        <f>+IF(C51=0," ※出勤がないため通勤交通費の支給は無し","")</f>
        <v xml:space="preserve"> ※出勤がないため通勤交通費の支給は無し</v>
      </c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7"/>
      <c r="AB66" t="s">
        <v>246</v>
      </c>
      <c r="AC66" t="s">
        <v>253</v>
      </c>
    </row>
    <row r="67" spans="1:29" ht="14.15" customHeight="1" x14ac:dyDescent="0.2">
      <c r="A67" s="132" t="s">
        <v>141</v>
      </c>
      <c r="B67" s="124"/>
      <c r="C67" s="125"/>
      <c r="D67" s="124" t="s">
        <v>138</v>
      </c>
      <c r="E67" s="124"/>
      <c r="F67" s="124"/>
      <c r="G67" s="124"/>
      <c r="H67" s="124"/>
      <c r="I67" s="125"/>
      <c r="J67" s="126">
        <v>0</v>
      </c>
      <c r="K67" s="127"/>
      <c r="L67" s="128"/>
      <c r="N67" s="115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7"/>
      <c r="AB67" t="s">
        <v>248</v>
      </c>
      <c r="AC67" t="s">
        <v>254</v>
      </c>
    </row>
    <row r="68" spans="1:29" ht="14.15" customHeight="1" x14ac:dyDescent="0.2">
      <c r="A68" s="118" t="s">
        <v>140</v>
      </c>
      <c r="B68" s="119"/>
      <c r="C68" s="120"/>
      <c r="D68" s="124" t="s">
        <v>138</v>
      </c>
      <c r="E68" s="124"/>
      <c r="F68" s="124"/>
      <c r="G68" s="124"/>
      <c r="H68" s="124"/>
      <c r="I68" s="125"/>
      <c r="J68" s="126">
        <v>0</v>
      </c>
      <c r="K68" s="127"/>
      <c r="L68" s="128"/>
      <c r="N68" s="115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7"/>
    </row>
    <row r="69" spans="1:29" ht="13.5" customHeight="1" x14ac:dyDescent="0.2">
      <c r="A69" s="121"/>
      <c r="B69" s="122"/>
      <c r="C69" s="123"/>
      <c r="D69" s="124" t="s">
        <v>139</v>
      </c>
      <c r="E69" s="124"/>
      <c r="F69" s="124"/>
      <c r="G69" s="124"/>
      <c r="H69" s="124"/>
      <c r="I69" s="125"/>
      <c r="J69" s="129"/>
      <c r="K69" s="130"/>
      <c r="L69" s="131"/>
      <c r="N69" s="115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7"/>
      <c r="AB69" t="s">
        <v>240</v>
      </c>
      <c r="AC69" t="s">
        <v>233</v>
      </c>
    </row>
    <row r="70" spans="1:29" ht="14.15" customHeight="1" thickBot="1" x14ac:dyDescent="0.25">
      <c r="A70" s="109" t="s">
        <v>31</v>
      </c>
      <c r="B70" s="110"/>
      <c r="C70" s="110"/>
      <c r="D70" s="110"/>
      <c r="E70" s="110"/>
      <c r="F70" s="110"/>
      <c r="G70" s="110"/>
      <c r="H70" s="110"/>
      <c r="I70" s="111"/>
      <c r="J70" s="112" t="e">
        <f ca="1">SUM(J65:L69)</f>
        <v>#DIV/0!</v>
      </c>
      <c r="K70" s="113"/>
      <c r="L70" s="114"/>
      <c r="N70" s="115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7"/>
      <c r="AB70" t="s">
        <v>242</v>
      </c>
      <c r="AC70" t="s">
        <v>241</v>
      </c>
    </row>
    <row r="71" spans="1:29" ht="13.5" thickTop="1" x14ac:dyDescent="0.2">
      <c r="T71">
        <v>0</v>
      </c>
      <c r="AB71" t="s">
        <v>230</v>
      </c>
      <c r="AC71" t="s">
        <v>231</v>
      </c>
    </row>
    <row r="73" spans="1:29" x14ac:dyDescent="0.2">
      <c r="AB73" t="s">
        <v>228</v>
      </c>
    </row>
    <row r="74" spans="1:29" x14ac:dyDescent="0.2">
      <c r="AB74" t="s">
        <v>232</v>
      </c>
      <c r="AC74" t="s">
        <v>234</v>
      </c>
    </row>
    <row r="75" spans="1:29" x14ac:dyDescent="0.2">
      <c r="AB75" t="s">
        <v>239</v>
      </c>
      <c r="AC75" t="s">
        <v>238</v>
      </c>
    </row>
    <row r="76" spans="1:29" x14ac:dyDescent="0.2">
      <c r="AB76" t="s">
        <v>245</v>
      </c>
      <c r="AC76" t="s">
        <v>250</v>
      </c>
    </row>
    <row r="79" spans="1:29" x14ac:dyDescent="0.2">
      <c r="AB79" t="s">
        <v>246</v>
      </c>
      <c r="AC79" t="s">
        <v>251</v>
      </c>
    </row>
    <row r="80" spans="1:29" x14ac:dyDescent="0.2">
      <c r="AB80" t="s">
        <v>248</v>
      </c>
      <c r="AC80" t="s">
        <v>252</v>
      </c>
    </row>
    <row r="82" spans="28:29" x14ac:dyDescent="0.2">
      <c r="AB82" t="s">
        <v>240</v>
      </c>
      <c r="AC82" t="s">
        <v>243</v>
      </c>
    </row>
    <row r="83" spans="28:29" x14ac:dyDescent="0.2">
      <c r="AB83" t="s">
        <v>242</v>
      </c>
      <c r="AC83" t="s">
        <v>244</v>
      </c>
    </row>
  </sheetData>
  <dataConsolidate/>
  <mergeCells count="534">
    <mergeCell ref="T9:Z9"/>
    <mergeCell ref="A10:B11"/>
    <mergeCell ref="C10:J11"/>
    <mergeCell ref="T10:Z10"/>
    <mergeCell ref="Y2:Z2"/>
    <mergeCell ref="A3:Z4"/>
    <mergeCell ref="A5:D5"/>
    <mergeCell ref="E5:I6"/>
    <mergeCell ref="A6:D6"/>
    <mergeCell ref="P7:Z7"/>
    <mergeCell ref="N7:O7"/>
    <mergeCell ref="A12:B13"/>
    <mergeCell ref="C12:J13"/>
    <mergeCell ref="A15:B16"/>
    <mergeCell ref="C15:C16"/>
    <mergeCell ref="D15:G15"/>
    <mergeCell ref="H15:I16"/>
    <mergeCell ref="J15:K16"/>
    <mergeCell ref="A8:B9"/>
    <mergeCell ref="C8:J9"/>
    <mergeCell ref="A17:B17"/>
    <mergeCell ref="D17:E17"/>
    <mergeCell ref="F17:G17"/>
    <mergeCell ref="H17:I17"/>
    <mergeCell ref="J17:K17"/>
    <mergeCell ref="L17:M17"/>
    <mergeCell ref="L15:M16"/>
    <mergeCell ref="N15:O16"/>
    <mergeCell ref="P15:Q16"/>
    <mergeCell ref="N17:O17"/>
    <mergeCell ref="P17:Q17"/>
    <mergeCell ref="R17:S17"/>
    <mergeCell ref="T17:U17"/>
    <mergeCell ref="V17:W17"/>
    <mergeCell ref="X17:Z17"/>
    <mergeCell ref="X15:Z16"/>
    <mergeCell ref="AA15:AA16"/>
    <mergeCell ref="D16:E16"/>
    <mergeCell ref="F16:G16"/>
    <mergeCell ref="R15:S16"/>
    <mergeCell ref="T15:U16"/>
    <mergeCell ref="V15:W16"/>
    <mergeCell ref="N18:O18"/>
    <mergeCell ref="P18:Q18"/>
    <mergeCell ref="R18:S18"/>
    <mergeCell ref="T18:U18"/>
    <mergeCell ref="V18:W18"/>
    <mergeCell ref="X18:Z18"/>
    <mergeCell ref="A18:B18"/>
    <mergeCell ref="D18:E18"/>
    <mergeCell ref="F18:G18"/>
    <mergeCell ref="H18:I18"/>
    <mergeCell ref="J18:K18"/>
    <mergeCell ref="L18:M18"/>
    <mergeCell ref="N19:O19"/>
    <mergeCell ref="P19:Q19"/>
    <mergeCell ref="R19:S19"/>
    <mergeCell ref="T19:U19"/>
    <mergeCell ref="V19:W19"/>
    <mergeCell ref="X19:Z19"/>
    <mergeCell ref="A19:B19"/>
    <mergeCell ref="D19:E19"/>
    <mergeCell ref="F19:G19"/>
    <mergeCell ref="H19:I19"/>
    <mergeCell ref="J19:K19"/>
    <mergeCell ref="L19:M19"/>
    <mergeCell ref="N20:O20"/>
    <mergeCell ref="P20:Q20"/>
    <mergeCell ref="R20:S20"/>
    <mergeCell ref="T20:U20"/>
    <mergeCell ref="V20:W20"/>
    <mergeCell ref="X20:Z20"/>
    <mergeCell ref="A20:B20"/>
    <mergeCell ref="D20:E20"/>
    <mergeCell ref="F20:G20"/>
    <mergeCell ref="H20:I20"/>
    <mergeCell ref="J20:K20"/>
    <mergeCell ref="L20:M20"/>
    <mergeCell ref="N21:O21"/>
    <mergeCell ref="P21:Q21"/>
    <mergeCell ref="R21:S21"/>
    <mergeCell ref="T21:U21"/>
    <mergeCell ref="V21:W21"/>
    <mergeCell ref="X21:Z21"/>
    <mergeCell ref="A21:B21"/>
    <mergeCell ref="D21:E21"/>
    <mergeCell ref="F21:G21"/>
    <mergeCell ref="H21:I21"/>
    <mergeCell ref="J21:K21"/>
    <mergeCell ref="L21:M21"/>
    <mergeCell ref="N22:O22"/>
    <mergeCell ref="P22:Q22"/>
    <mergeCell ref="R22:S22"/>
    <mergeCell ref="T22:U22"/>
    <mergeCell ref="V22:W22"/>
    <mergeCell ref="X22:Z22"/>
    <mergeCell ref="A22:B22"/>
    <mergeCell ref="D22:E22"/>
    <mergeCell ref="F22:G22"/>
    <mergeCell ref="H22:I22"/>
    <mergeCell ref="J22:K22"/>
    <mergeCell ref="L22:M22"/>
    <mergeCell ref="N23:O23"/>
    <mergeCell ref="P23:Q23"/>
    <mergeCell ref="R23:S23"/>
    <mergeCell ref="T23:U23"/>
    <mergeCell ref="V23:W23"/>
    <mergeCell ref="X23:Z23"/>
    <mergeCell ref="A23:B23"/>
    <mergeCell ref="D23:E23"/>
    <mergeCell ref="F23:G23"/>
    <mergeCell ref="H23:I23"/>
    <mergeCell ref="J23:K23"/>
    <mergeCell ref="L23:M23"/>
    <mergeCell ref="N24:O24"/>
    <mergeCell ref="P24:Q24"/>
    <mergeCell ref="R24:S24"/>
    <mergeCell ref="T24:U24"/>
    <mergeCell ref="V24:W24"/>
    <mergeCell ref="X24:Z24"/>
    <mergeCell ref="A24:B24"/>
    <mergeCell ref="D24:E24"/>
    <mergeCell ref="F24:G24"/>
    <mergeCell ref="H24:I24"/>
    <mergeCell ref="J24:K24"/>
    <mergeCell ref="L24:M24"/>
    <mergeCell ref="N25:O25"/>
    <mergeCell ref="P25:Q25"/>
    <mergeCell ref="R25:S25"/>
    <mergeCell ref="T25:U25"/>
    <mergeCell ref="V25:W25"/>
    <mergeCell ref="X25:Z25"/>
    <mergeCell ref="A25:B25"/>
    <mergeCell ref="D25:E25"/>
    <mergeCell ref="F25:G25"/>
    <mergeCell ref="H25:I25"/>
    <mergeCell ref="J25:K25"/>
    <mergeCell ref="L25:M25"/>
    <mergeCell ref="N26:O26"/>
    <mergeCell ref="P26:Q26"/>
    <mergeCell ref="R26:S26"/>
    <mergeCell ref="T26:U26"/>
    <mergeCell ref="V26:W26"/>
    <mergeCell ref="X26:Z26"/>
    <mergeCell ref="A26:B26"/>
    <mergeCell ref="D26:E26"/>
    <mergeCell ref="F26:G26"/>
    <mergeCell ref="H26:I26"/>
    <mergeCell ref="J26:K26"/>
    <mergeCell ref="L26:M26"/>
    <mergeCell ref="N27:O27"/>
    <mergeCell ref="P27:Q27"/>
    <mergeCell ref="R27:S27"/>
    <mergeCell ref="T27:U27"/>
    <mergeCell ref="V27:W27"/>
    <mergeCell ref="X27:Z27"/>
    <mergeCell ref="A27:B27"/>
    <mergeCell ref="D27:E27"/>
    <mergeCell ref="F27:G27"/>
    <mergeCell ref="H27:I27"/>
    <mergeCell ref="J27:K27"/>
    <mergeCell ref="L27:M27"/>
    <mergeCell ref="N28:O28"/>
    <mergeCell ref="P28:Q28"/>
    <mergeCell ref="R28:S28"/>
    <mergeCell ref="T28:U28"/>
    <mergeCell ref="V28:W28"/>
    <mergeCell ref="X28:Z28"/>
    <mergeCell ref="A28:B28"/>
    <mergeCell ref="D28:E28"/>
    <mergeCell ref="F28:G28"/>
    <mergeCell ref="H28:I28"/>
    <mergeCell ref="J28:K28"/>
    <mergeCell ref="L28:M28"/>
    <mergeCell ref="N29:O29"/>
    <mergeCell ref="P29:Q29"/>
    <mergeCell ref="R29:S29"/>
    <mergeCell ref="T29:U29"/>
    <mergeCell ref="V29:W29"/>
    <mergeCell ref="X29:Z29"/>
    <mergeCell ref="A29:B29"/>
    <mergeCell ref="D29:E29"/>
    <mergeCell ref="F29:G29"/>
    <mergeCell ref="H29:I29"/>
    <mergeCell ref="J29:K29"/>
    <mergeCell ref="L29:M29"/>
    <mergeCell ref="N30:O30"/>
    <mergeCell ref="P30:Q30"/>
    <mergeCell ref="R30:S30"/>
    <mergeCell ref="T30:U30"/>
    <mergeCell ref="V30:W30"/>
    <mergeCell ref="X30:Z30"/>
    <mergeCell ref="A30:B30"/>
    <mergeCell ref="D30:E30"/>
    <mergeCell ref="F30:G30"/>
    <mergeCell ref="H30:I30"/>
    <mergeCell ref="J30:K30"/>
    <mergeCell ref="L30:M30"/>
    <mergeCell ref="N31:O31"/>
    <mergeCell ref="P31:Q31"/>
    <mergeCell ref="R31:S31"/>
    <mergeCell ref="T31:U31"/>
    <mergeCell ref="V31:W31"/>
    <mergeCell ref="X31:Z31"/>
    <mergeCell ref="A31:B31"/>
    <mergeCell ref="D31:E31"/>
    <mergeCell ref="F31:G31"/>
    <mergeCell ref="H31:I31"/>
    <mergeCell ref="J31:K31"/>
    <mergeCell ref="L31:M31"/>
    <mergeCell ref="N32:O32"/>
    <mergeCell ref="P32:Q32"/>
    <mergeCell ref="R32:S32"/>
    <mergeCell ref="T32:U32"/>
    <mergeCell ref="V32:W32"/>
    <mergeCell ref="X32:Z32"/>
    <mergeCell ref="A32:B32"/>
    <mergeCell ref="D32:E32"/>
    <mergeCell ref="F32:G32"/>
    <mergeCell ref="H32:I32"/>
    <mergeCell ref="J32:K32"/>
    <mergeCell ref="L32:M32"/>
    <mergeCell ref="N33:O33"/>
    <mergeCell ref="P33:Q33"/>
    <mergeCell ref="R33:S33"/>
    <mergeCell ref="T33:U33"/>
    <mergeCell ref="V33:W33"/>
    <mergeCell ref="X33:Z33"/>
    <mergeCell ref="A33:B33"/>
    <mergeCell ref="D33:E33"/>
    <mergeCell ref="F33:G33"/>
    <mergeCell ref="H33:I33"/>
    <mergeCell ref="J33:K33"/>
    <mergeCell ref="L33:M33"/>
    <mergeCell ref="N34:O34"/>
    <mergeCell ref="P34:Q34"/>
    <mergeCell ref="R34:S34"/>
    <mergeCell ref="T34:U34"/>
    <mergeCell ref="V34:W34"/>
    <mergeCell ref="X34:Z34"/>
    <mergeCell ref="A34:B34"/>
    <mergeCell ref="D34:E34"/>
    <mergeCell ref="F34:G34"/>
    <mergeCell ref="H34:I34"/>
    <mergeCell ref="J34:K34"/>
    <mergeCell ref="L34:M34"/>
    <mergeCell ref="N35:O35"/>
    <mergeCell ref="P35:Q35"/>
    <mergeCell ref="R35:S35"/>
    <mergeCell ref="T35:U35"/>
    <mergeCell ref="V35:W35"/>
    <mergeCell ref="X35:Z35"/>
    <mergeCell ref="A35:B35"/>
    <mergeCell ref="D35:E35"/>
    <mergeCell ref="F35:G35"/>
    <mergeCell ref="H35:I35"/>
    <mergeCell ref="J35:K35"/>
    <mergeCell ref="L35:M35"/>
    <mergeCell ref="N36:O36"/>
    <mergeCell ref="P36:Q36"/>
    <mergeCell ref="R36:S36"/>
    <mergeCell ref="T36:U36"/>
    <mergeCell ref="V36:W36"/>
    <mergeCell ref="X36:Z36"/>
    <mergeCell ref="A36:B36"/>
    <mergeCell ref="D36:E36"/>
    <mergeCell ref="F36:G36"/>
    <mergeCell ref="H36:I36"/>
    <mergeCell ref="J36:K36"/>
    <mergeCell ref="L36:M36"/>
    <mergeCell ref="N37:O37"/>
    <mergeCell ref="P37:Q37"/>
    <mergeCell ref="R37:S37"/>
    <mergeCell ref="T37:U37"/>
    <mergeCell ref="V37:W37"/>
    <mergeCell ref="X37:Z37"/>
    <mergeCell ref="A37:B37"/>
    <mergeCell ref="D37:E37"/>
    <mergeCell ref="F37:G37"/>
    <mergeCell ref="H37:I37"/>
    <mergeCell ref="J37:K37"/>
    <mergeCell ref="L37:M37"/>
    <mergeCell ref="N38:O38"/>
    <mergeCell ref="P38:Q38"/>
    <mergeCell ref="R38:S38"/>
    <mergeCell ref="T38:U38"/>
    <mergeCell ref="V38:W38"/>
    <mergeCell ref="X38:Z38"/>
    <mergeCell ref="A38:B38"/>
    <mergeCell ref="D38:E38"/>
    <mergeCell ref="F38:G38"/>
    <mergeCell ref="H38:I38"/>
    <mergeCell ref="J38:K38"/>
    <mergeCell ref="L38:M38"/>
    <mergeCell ref="N39:O39"/>
    <mergeCell ref="P39:Q39"/>
    <mergeCell ref="R39:S39"/>
    <mergeCell ref="T39:U39"/>
    <mergeCell ref="V39:W39"/>
    <mergeCell ref="X39:Z39"/>
    <mergeCell ref="A39:B39"/>
    <mergeCell ref="D39:E39"/>
    <mergeCell ref="F39:G39"/>
    <mergeCell ref="H39:I39"/>
    <mergeCell ref="J39:K39"/>
    <mergeCell ref="L39:M39"/>
    <mergeCell ref="N40:O40"/>
    <mergeCell ref="P40:Q40"/>
    <mergeCell ref="R40:S40"/>
    <mergeCell ref="T40:U40"/>
    <mergeCell ref="V40:W40"/>
    <mergeCell ref="X40:Z40"/>
    <mergeCell ref="A40:B40"/>
    <mergeCell ref="D40:E40"/>
    <mergeCell ref="F40:G40"/>
    <mergeCell ref="H40:I40"/>
    <mergeCell ref="J40:K40"/>
    <mergeCell ref="L40:M40"/>
    <mergeCell ref="N41:O41"/>
    <mergeCell ref="P41:Q41"/>
    <mergeCell ref="R41:S41"/>
    <mergeCell ref="T41:U41"/>
    <mergeCell ref="V41:W41"/>
    <mergeCell ref="X41:Z41"/>
    <mergeCell ref="A41:B41"/>
    <mergeCell ref="D41:E41"/>
    <mergeCell ref="F41:G41"/>
    <mergeCell ref="H41:I41"/>
    <mergeCell ref="J41:K41"/>
    <mergeCell ref="L41:M41"/>
    <mergeCell ref="N42:O42"/>
    <mergeCell ref="P42:Q42"/>
    <mergeCell ref="R42:S42"/>
    <mergeCell ref="T42:U42"/>
    <mergeCell ref="V42:W42"/>
    <mergeCell ref="X42:Z42"/>
    <mergeCell ref="A42:B42"/>
    <mergeCell ref="D42:E42"/>
    <mergeCell ref="F42:G42"/>
    <mergeCell ref="H42:I42"/>
    <mergeCell ref="J42:K42"/>
    <mergeCell ref="L42:M42"/>
    <mergeCell ref="N43:O43"/>
    <mergeCell ref="P43:Q43"/>
    <mergeCell ref="R43:S43"/>
    <mergeCell ref="T43:U43"/>
    <mergeCell ref="V43:W43"/>
    <mergeCell ref="X43:Z43"/>
    <mergeCell ref="A43:B43"/>
    <mergeCell ref="D43:E43"/>
    <mergeCell ref="F43:G43"/>
    <mergeCell ref="H43:I43"/>
    <mergeCell ref="J43:K43"/>
    <mergeCell ref="L43:M43"/>
    <mergeCell ref="N44:O44"/>
    <mergeCell ref="P44:Q44"/>
    <mergeCell ref="R44:S44"/>
    <mergeCell ref="T44:U44"/>
    <mergeCell ref="V44:W44"/>
    <mergeCell ref="X44:Z44"/>
    <mergeCell ref="A44:B44"/>
    <mergeCell ref="D44:E44"/>
    <mergeCell ref="F44:G44"/>
    <mergeCell ref="H44:I44"/>
    <mergeCell ref="J44:K44"/>
    <mergeCell ref="L44:M44"/>
    <mergeCell ref="N45:O45"/>
    <mergeCell ref="P45:Q45"/>
    <mergeCell ref="R45:S45"/>
    <mergeCell ref="T45:U45"/>
    <mergeCell ref="V45:W45"/>
    <mergeCell ref="X45:Z45"/>
    <mergeCell ref="A45:B45"/>
    <mergeCell ref="D45:E45"/>
    <mergeCell ref="F45:G45"/>
    <mergeCell ref="H45:I45"/>
    <mergeCell ref="J45:K45"/>
    <mergeCell ref="L45:M45"/>
    <mergeCell ref="N46:O46"/>
    <mergeCell ref="P46:Q46"/>
    <mergeCell ref="R46:S46"/>
    <mergeCell ref="T46:U46"/>
    <mergeCell ref="V46:W46"/>
    <mergeCell ref="X46:Z46"/>
    <mergeCell ref="A46:B46"/>
    <mergeCell ref="D46:E46"/>
    <mergeCell ref="F46:G46"/>
    <mergeCell ref="H46:I46"/>
    <mergeCell ref="J46:K46"/>
    <mergeCell ref="L46:M46"/>
    <mergeCell ref="N47:O47"/>
    <mergeCell ref="P47:Q47"/>
    <mergeCell ref="R47:S47"/>
    <mergeCell ref="T47:U47"/>
    <mergeCell ref="V47:W47"/>
    <mergeCell ref="X47:Z47"/>
    <mergeCell ref="A47:B47"/>
    <mergeCell ref="D47:E47"/>
    <mergeCell ref="F47:G47"/>
    <mergeCell ref="H47:I47"/>
    <mergeCell ref="J47:K47"/>
    <mergeCell ref="L47:M47"/>
    <mergeCell ref="N48:O48"/>
    <mergeCell ref="P48:Q48"/>
    <mergeCell ref="R48:S48"/>
    <mergeCell ref="T48:U48"/>
    <mergeCell ref="V48:W48"/>
    <mergeCell ref="X48:Z48"/>
    <mergeCell ref="A48:B48"/>
    <mergeCell ref="D48:E48"/>
    <mergeCell ref="F48:G48"/>
    <mergeCell ref="H48:I48"/>
    <mergeCell ref="J48:K48"/>
    <mergeCell ref="L48:M48"/>
    <mergeCell ref="Y52:Z52"/>
    <mergeCell ref="A52:E52"/>
    <mergeCell ref="F52:H52"/>
    <mergeCell ref="I52:J52"/>
    <mergeCell ref="V49:W49"/>
    <mergeCell ref="X49:Z49"/>
    <mergeCell ref="A50:K50"/>
    <mergeCell ref="L50:M50"/>
    <mergeCell ref="N50:O50"/>
    <mergeCell ref="P50:Q50"/>
    <mergeCell ref="R50:S50"/>
    <mergeCell ref="T50:U50"/>
    <mergeCell ref="V50:W50"/>
    <mergeCell ref="X50:Z50"/>
    <mergeCell ref="A49:K49"/>
    <mergeCell ref="L49:M49"/>
    <mergeCell ref="N49:O49"/>
    <mergeCell ref="P49:Q49"/>
    <mergeCell ref="R49:S49"/>
    <mergeCell ref="T49:U49"/>
    <mergeCell ref="K52:L52"/>
    <mergeCell ref="M52:N52"/>
    <mergeCell ref="O52:P52"/>
    <mergeCell ref="Q52:R52"/>
    <mergeCell ref="AE50:AF50"/>
    <mergeCell ref="A51:B51"/>
    <mergeCell ref="C51:D51"/>
    <mergeCell ref="E51:F51"/>
    <mergeCell ref="G51:H51"/>
    <mergeCell ref="I51:J51"/>
    <mergeCell ref="K51:L51"/>
    <mergeCell ref="M51:N51"/>
    <mergeCell ref="O51:P51"/>
    <mergeCell ref="Q51:R51"/>
    <mergeCell ref="S51:T51"/>
    <mergeCell ref="U51:V51"/>
    <mergeCell ref="W51:X51"/>
    <mergeCell ref="Y51:Z51"/>
    <mergeCell ref="Q56:T56"/>
    <mergeCell ref="Y53:Z53"/>
    <mergeCell ref="Y54:Z54"/>
    <mergeCell ref="A55:C55"/>
    <mergeCell ref="D55:E55"/>
    <mergeCell ref="G55:H55"/>
    <mergeCell ref="J55:L55"/>
    <mergeCell ref="N55:P55"/>
    <mergeCell ref="Q55:T55"/>
    <mergeCell ref="A54:C54"/>
    <mergeCell ref="D54:E54"/>
    <mergeCell ref="G54:H54"/>
    <mergeCell ref="J54:L54"/>
    <mergeCell ref="N54:P54"/>
    <mergeCell ref="Q54:T54"/>
    <mergeCell ref="A53:C53"/>
    <mergeCell ref="D53:E53"/>
    <mergeCell ref="G53:H53"/>
    <mergeCell ref="J53:L53"/>
    <mergeCell ref="S52:T52"/>
    <mergeCell ref="U52:V52"/>
    <mergeCell ref="W52:X52"/>
    <mergeCell ref="A58:C58"/>
    <mergeCell ref="D58:E58"/>
    <mergeCell ref="G58:H58"/>
    <mergeCell ref="J58:L58"/>
    <mergeCell ref="N58:Z58"/>
    <mergeCell ref="A59:C59"/>
    <mergeCell ref="D59:E59"/>
    <mergeCell ref="G59:H59"/>
    <mergeCell ref="J59:L59"/>
    <mergeCell ref="N59:Z59"/>
    <mergeCell ref="A57:C57"/>
    <mergeCell ref="D57:E57"/>
    <mergeCell ref="G57:H57"/>
    <mergeCell ref="J57:L57"/>
    <mergeCell ref="N57:O57"/>
    <mergeCell ref="P57:W57"/>
    <mergeCell ref="A56:C56"/>
    <mergeCell ref="D56:E56"/>
    <mergeCell ref="G56:H56"/>
    <mergeCell ref="J56:L56"/>
    <mergeCell ref="N56:P56"/>
    <mergeCell ref="D62:I62"/>
    <mergeCell ref="J62:L62"/>
    <mergeCell ref="N62:Z62"/>
    <mergeCell ref="D63:I63"/>
    <mergeCell ref="J63:L63"/>
    <mergeCell ref="N63:Z63"/>
    <mergeCell ref="A60:C60"/>
    <mergeCell ref="D60:I60"/>
    <mergeCell ref="J60:L60"/>
    <mergeCell ref="N60:Z60"/>
    <mergeCell ref="A61:A64"/>
    <mergeCell ref="B61:C61"/>
    <mergeCell ref="D61:I61"/>
    <mergeCell ref="J61:L61"/>
    <mergeCell ref="N61:Z61"/>
    <mergeCell ref="B62:C64"/>
    <mergeCell ref="A66:I66"/>
    <mergeCell ref="J66:L66"/>
    <mergeCell ref="N66:Z66"/>
    <mergeCell ref="A67:C67"/>
    <mergeCell ref="D67:I67"/>
    <mergeCell ref="J67:L67"/>
    <mergeCell ref="N67:Z67"/>
    <mergeCell ref="D64:I64"/>
    <mergeCell ref="J64:L64"/>
    <mergeCell ref="N64:Z64"/>
    <mergeCell ref="A65:I65"/>
    <mergeCell ref="J65:L65"/>
    <mergeCell ref="N65:Z65"/>
    <mergeCell ref="A70:I70"/>
    <mergeCell ref="J70:L70"/>
    <mergeCell ref="N70:Z70"/>
    <mergeCell ref="A68:C69"/>
    <mergeCell ref="D68:I68"/>
    <mergeCell ref="J68:L68"/>
    <mergeCell ref="N68:Z68"/>
    <mergeCell ref="D69:I69"/>
    <mergeCell ref="J69:L69"/>
    <mergeCell ref="N69:Z69"/>
  </mergeCells>
  <phoneticPr fontId="3"/>
  <conditionalFormatting sqref="A17:AA47">
    <cfRule type="expression" dxfId="2823" priority="314" stopIfTrue="1">
      <formula>$X17="所休"</formula>
    </cfRule>
    <cfRule type="expression" dxfId="2822" priority="313">
      <formula>$X17="法休"</formula>
    </cfRule>
  </conditionalFormatting>
  <conditionalFormatting sqref="J17:K17">
    <cfRule type="cellIs" dxfId="2821" priority="312" stopIfTrue="1" operator="equal">
      <formula>0</formula>
    </cfRule>
  </conditionalFormatting>
  <conditionalFormatting sqref="L17:M17">
    <cfRule type="cellIs" dxfId="2820" priority="311" stopIfTrue="1" operator="equal">
      <formula>0</formula>
    </cfRule>
  </conditionalFormatting>
  <conditionalFormatting sqref="N17:O17">
    <cfRule type="cellIs" dxfId="2819" priority="310" stopIfTrue="1" operator="equal">
      <formula>0</formula>
    </cfRule>
  </conditionalFormatting>
  <conditionalFormatting sqref="P17:Q17">
    <cfRule type="cellIs" dxfId="2818" priority="309" stopIfTrue="1" operator="equal">
      <formula>0</formula>
    </cfRule>
  </conditionalFormatting>
  <conditionalFormatting sqref="R17:S17">
    <cfRule type="cellIs" dxfId="2817" priority="308" stopIfTrue="1" operator="equal">
      <formula>0</formula>
    </cfRule>
  </conditionalFormatting>
  <conditionalFormatting sqref="T17:U17">
    <cfRule type="cellIs" dxfId="2816" priority="307" stopIfTrue="1" operator="equal">
      <formula>0</formula>
    </cfRule>
  </conditionalFormatting>
  <conditionalFormatting sqref="V17:W17">
    <cfRule type="cellIs" dxfId="2815" priority="306" stopIfTrue="1" operator="equal">
      <formula>0</formula>
    </cfRule>
  </conditionalFormatting>
  <conditionalFormatting sqref="J18:K18">
    <cfRule type="cellIs" dxfId="2814" priority="305" stopIfTrue="1" operator="equal">
      <formula>0</formula>
    </cfRule>
  </conditionalFormatting>
  <conditionalFormatting sqref="L18:M18">
    <cfRule type="cellIs" dxfId="2813" priority="304" stopIfTrue="1" operator="equal">
      <formula>0</formula>
    </cfRule>
  </conditionalFormatting>
  <conditionalFormatting sqref="N18:O18">
    <cfRule type="cellIs" dxfId="2812" priority="303" stopIfTrue="1" operator="equal">
      <formula>0</formula>
    </cfRule>
  </conditionalFormatting>
  <conditionalFormatting sqref="P18:Q18">
    <cfRule type="cellIs" dxfId="2811" priority="302" stopIfTrue="1" operator="equal">
      <formula>0</formula>
    </cfRule>
  </conditionalFormatting>
  <conditionalFormatting sqref="R18:S18">
    <cfRule type="cellIs" dxfId="2810" priority="301" stopIfTrue="1" operator="equal">
      <formula>0</formula>
    </cfRule>
  </conditionalFormatting>
  <conditionalFormatting sqref="T18:U18">
    <cfRule type="cellIs" dxfId="2809" priority="300" stopIfTrue="1" operator="equal">
      <formula>0</formula>
    </cfRule>
  </conditionalFormatting>
  <conditionalFormatting sqref="V18:W18">
    <cfRule type="cellIs" dxfId="2808" priority="299" stopIfTrue="1" operator="equal">
      <formula>0</formula>
    </cfRule>
  </conditionalFormatting>
  <conditionalFormatting sqref="J19:K19">
    <cfRule type="cellIs" dxfId="2807" priority="298" stopIfTrue="1" operator="equal">
      <formula>0</formula>
    </cfRule>
  </conditionalFormatting>
  <conditionalFormatting sqref="L19:M19">
    <cfRule type="cellIs" dxfId="2806" priority="297" stopIfTrue="1" operator="equal">
      <formula>0</formula>
    </cfRule>
  </conditionalFormatting>
  <conditionalFormatting sqref="N19:O19">
    <cfRule type="cellIs" dxfId="2805" priority="296" stopIfTrue="1" operator="equal">
      <formula>0</formula>
    </cfRule>
  </conditionalFormatting>
  <conditionalFormatting sqref="P19:Q19">
    <cfRule type="cellIs" dxfId="2804" priority="295" stopIfTrue="1" operator="equal">
      <formula>0</formula>
    </cfRule>
  </conditionalFormatting>
  <conditionalFormatting sqref="R19:S19">
    <cfRule type="cellIs" dxfId="2803" priority="294" stopIfTrue="1" operator="equal">
      <formula>0</formula>
    </cfRule>
  </conditionalFormatting>
  <conditionalFormatting sqref="T19:U19">
    <cfRule type="cellIs" dxfId="2802" priority="293" stopIfTrue="1" operator="equal">
      <formula>0</formula>
    </cfRule>
  </conditionalFormatting>
  <conditionalFormatting sqref="V19:W19">
    <cfRule type="cellIs" dxfId="2801" priority="292" stopIfTrue="1" operator="equal">
      <formula>0</formula>
    </cfRule>
  </conditionalFormatting>
  <conditionalFormatting sqref="J20:K20">
    <cfRule type="cellIs" dxfId="2800" priority="291" stopIfTrue="1" operator="equal">
      <formula>0</formula>
    </cfRule>
  </conditionalFormatting>
  <conditionalFormatting sqref="L20:M20">
    <cfRule type="cellIs" dxfId="2799" priority="290" stopIfTrue="1" operator="equal">
      <formula>0</formula>
    </cfRule>
  </conditionalFormatting>
  <conditionalFormatting sqref="N20:O20">
    <cfRule type="cellIs" dxfId="2798" priority="289" stopIfTrue="1" operator="equal">
      <formula>0</formula>
    </cfRule>
  </conditionalFormatting>
  <conditionalFormatting sqref="P20:Q20">
    <cfRule type="cellIs" dxfId="2797" priority="288" stopIfTrue="1" operator="equal">
      <formula>0</formula>
    </cfRule>
  </conditionalFormatting>
  <conditionalFormatting sqref="R20:S20">
    <cfRule type="cellIs" dxfId="2796" priority="287" stopIfTrue="1" operator="equal">
      <formula>0</formula>
    </cfRule>
  </conditionalFormatting>
  <conditionalFormatting sqref="T20:U20">
    <cfRule type="cellIs" dxfId="2795" priority="286" stopIfTrue="1" operator="equal">
      <formula>0</formula>
    </cfRule>
  </conditionalFormatting>
  <conditionalFormatting sqref="V20:W20">
    <cfRule type="cellIs" dxfId="2794" priority="285" stopIfTrue="1" operator="equal">
      <formula>0</formula>
    </cfRule>
  </conditionalFormatting>
  <conditionalFormatting sqref="J21:K21">
    <cfRule type="cellIs" dxfId="2793" priority="284" stopIfTrue="1" operator="equal">
      <formula>0</formula>
    </cfRule>
  </conditionalFormatting>
  <conditionalFormatting sqref="L21:M21">
    <cfRule type="cellIs" dxfId="2792" priority="283" stopIfTrue="1" operator="equal">
      <formula>0</formula>
    </cfRule>
  </conditionalFormatting>
  <conditionalFormatting sqref="N21:O21">
    <cfRule type="cellIs" dxfId="2791" priority="282" stopIfTrue="1" operator="equal">
      <formula>0</formula>
    </cfRule>
  </conditionalFormatting>
  <conditionalFormatting sqref="P21:Q21">
    <cfRule type="cellIs" dxfId="2790" priority="281" stopIfTrue="1" operator="equal">
      <formula>0</formula>
    </cfRule>
  </conditionalFormatting>
  <conditionalFormatting sqref="R21:S21">
    <cfRule type="cellIs" dxfId="2789" priority="280" stopIfTrue="1" operator="equal">
      <formula>0</formula>
    </cfRule>
  </conditionalFormatting>
  <conditionalFormatting sqref="T21:U21">
    <cfRule type="cellIs" dxfId="2788" priority="279" stopIfTrue="1" operator="equal">
      <formula>0</formula>
    </cfRule>
  </conditionalFormatting>
  <conditionalFormatting sqref="V21:W21">
    <cfRule type="cellIs" dxfId="2787" priority="278" stopIfTrue="1" operator="equal">
      <formula>0</formula>
    </cfRule>
  </conditionalFormatting>
  <conditionalFormatting sqref="J22:K22">
    <cfRule type="cellIs" dxfId="2786" priority="277" stopIfTrue="1" operator="equal">
      <formula>0</formula>
    </cfRule>
  </conditionalFormatting>
  <conditionalFormatting sqref="L22:M22">
    <cfRule type="cellIs" dxfId="2785" priority="276" stopIfTrue="1" operator="equal">
      <formula>0</formula>
    </cfRule>
  </conditionalFormatting>
  <conditionalFormatting sqref="N22:O22">
    <cfRule type="cellIs" dxfId="2784" priority="275" stopIfTrue="1" operator="equal">
      <formula>0</formula>
    </cfRule>
  </conditionalFormatting>
  <conditionalFormatting sqref="P22:Q22">
    <cfRule type="cellIs" dxfId="2783" priority="274" stopIfTrue="1" operator="equal">
      <formula>0</formula>
    </cfRule>
  </conditionalFormatting>
  <conditionalFormatting sqref="R22:S22">
    <cfRule type="cellIs" dxfId="2782" priority="273" stopIfTrue="1" operator="equal">
      <formula>0</formula>
    </cfRule>
  </conditionalFormatting>
  <conditionalFormatting sqref="T22:U22">
    <cfRule type="cellIs" dxfId="2781" priority="272" stopIfTrue="1" operator="equal">
      <formula>0</formula>
    </cfRule>
  </conditionalFormatting>
  <conditionalFormatting sqref="V22:W22">
    <cfRule type="cellIs" dxfId="2780" priority="271" stopIfTrue="1" operator="equal">
      <formula>0</formula>
    </cfRule>
  </conditionalFormatting>
  <conditionalFormatting sqref="J23:K23">
    <cfRule type="cellIs" dxfId="2779" priority="270" stopIfTrue="1" operator="equal">
      <formula>0</formula>
    </cfRule>
  </conditionalFormatting>
  <conditionalFormatting sqref="L23:M23">
    <cfRule type="cellIs" dxfId="2778" priority="269" stopIfTrue="1" operator="equal">
      <formula>0</formula>
    </cfRule>
  </conditionalFormatting>
  <conditionalFormatting sqref="N23:O23">
    <cfRule type="cellIs" dxfId="2777" priority="268" stopIfTrue="1" operator="equal">
      <formula>0</formula>
    </cfRule>
  </conditionalFormatting>
  <conditionalFormatting sqref="P23:Q23">
    <cfRule type="cellIs" dxfId="2776" priority="267" stopIfTrue="1" operator="equal">
      <formula>0</formula>
    </cfRule>
  </conditionalFormatting>
  <conditionalFormatting sqref="R23:S23">
    <cfRule type="cellIs" dxfId="2775" priority="266" stopIfTrue="1" operator="equal">
      <formula>0</formula>
    </cfRule>
  </conditionalFormatting>
  <conditionalFormatting sqref="T23:U23">
    <cfRule type="cellIs" dxfId="2774" priority="265" stopIfTrue="1" operator="equal">
      <formula>0</formula>
    </cfRule>
  </conditionalFormatting>
  <conditionalFormatting sqref="V23:W23">
    <cfRule type="cellIs" dxfId="2773" priority="264" stopIfTrue="1" operator="equal">
      <formula>0</formula>
    </cfRule>
  </conditionalFormatting>
  <conditionalFormatting sqref="J24:K24">
    <cfRule type="cellIs" dxfId="2772" priority="263" stopIfTrue="1" operator="equal">
      <formula>0</formula>
    </cfRule>
  </conditionalFormatting>
  <conditionalFormatting sqref="L24:M24">
    <cfRule type="cellIs" dxfId="2771" priority="262" stopIfTrue="1" operator="equal">
      <formula>0</formula>
    </cfRule>
  </conditionalFormatting>
  <conditionalFormatting sqref="N24:O24">
    <cfRule type="cellIs" dxfId="2770" priority="261" stopIfTrue="1" operator="equal">
      <formula>0</formula>
    </cfRule>
  </conditionalFormatting>
  <conditionalFormatting sqref="P24:Q24">
    <cfRule type="cellIs" dxfId="2769" priority="260" stopIfTrue="1" operator="equal">
      <formula>0</formula>
    </cfRule>
  </conditionalFormatting>
  <conditionalFormatting sqref="R24:S24">
    <cfRule type="cellIs" dxfId="2768" priority="259" stopIfTrue="1" operator="equal">
      <formula>0</formula>
    </cfRule>
  </conditionalFormatting>
  <conditionalFormatting sqref="T24:U24">
    <cfRule type="cellIs" dxfId="2767" priority="258" stopIfTrue="1" operator="equal">
      <formula>0</formula>
    </cfRule>
  </conditionalFormatting>
  <conditionalFormatting sqref="V24:W24">
    <cfRule type="cellIs" dxfId="2766" priority="257" stopIfTrue="1" operator="equal">
      <formula>0</formula>
    </cfRule>
  </conditionalFormatting>
  <conditionalFormatting sqref="J25:K25">
    <cfRule type="cellIs" dxfId="2765" priority="256" stopIfTrue="1" operator="equal">
      <formula>0</formula>
    </cfRule>
  </conditionalFormatting>
  <conditionalFormatting sqref="L25:M25">
    <cfRule type="cellIs" dxfId="2764" priority="255" stopIfTrue="1" operator="equal">
      <formula>0</formula>
    </cfRule>
  </conditionalFormatting>
  <conditionalFormatting sqref="N25:O25">
    <cfRule type="cellIs" dxfId="2763" priority="254" stopIfTrue="1" operator="equal">
      <formula>0</formula>
    </cfRule>
  </conditionalFormatting>
  <conditionalFormatting sqref="P25:Q25">
    <cfRule type="cellIs" dxfId="2762" priority="253" stopIfTrue="1" operator="equal">
      <formula>0</formula>
    </cfRule>
  </conditionalFormatting>
  <conditionalFormatting sqref="R25:S25">
    <cfRule type="cellIs" dxfId="2761" priority="252" stopIfTrue="1" operator="equal">
      <formula>0</formula>
    </cfRule>
  </conditionalFormatting>
  <conditionalFormatting sqref="T25:U25">
    <cfRule type="cellIs" dxfId="2760" priority="251" stopIfTrue="1" operator="equal">
      <formula>0</formula>
    </cfRule>
  </conditionalFormatting>
  <conditionalFormatting sqref="V25:W25">
    <cfRule type="cellIs" dxfId="2759" priority="250" stopIfTrue="1" operator="equal">
      <formula>0</formula>
    </cfRule>
  </conditionalFormatting>
  <conditionalFormatting sqref="J26:K26">
    <cfRule type="cellIs" dxfId="2758" priority="249" stopIfTrue="1" operator="equal">
      <formula>0</formula>
    </cfRule>
  </conditionalFormatting>
  <conditionalFormatting sqref="L26:M26">
    <cfRule type="cellIs" dxfId="2757" priority="248" stopIfTrue="1" operator="equal">
      <formula>0</formula>
    </cfRule>
  </conditionalFormatting>
  <conditionalFormatting sqref="N26:O26">
    <cfRule type="cellIs" dxfId="2756" priority="247" stopIfTrue="1" operator="equal">
      <formula>0</formula>
    </cfRule>
  </conditionalFormatting>
  <conditionalFormatting sqref="P26:Q26">
    <cfRule type="cellIs" dxfId="2755" priority="246" stopIfTrue="1" operator="equal">
      <formula>0</formula>
    </cfRule>
  </conditionalFormatting>
  <conditionalFormatting sqref="R26:S26">
    <cfRule type="cellIs" dxfId="2754" priority="245" stopIfTrue="1" operator="equal">
      <formula>0</formula>
    </cfRule>
  </conditionalFormatting>
  <conditionalFormatting sqref="T26:U26">
    <cfRule type="cellIs" dxfId="2753" priority="244" stopIfTrue="1" operator="equal">
      <formula>0</formula>
    </cfRule>
  </conditionalFormatting>
  <conditionalFormatting sqref="V26:W26">
    <cfRule type="cellIs" dxfId="2752" priority="243" stopIfTrue="1" operator="equal">
      <formula>0</formula>
    </cfRule>
  </conditionalFormatting>
  <conditionalFormatting sqref="J27:K27">
    <cfRule type="cellIs" dxfId="2751" priority="242" stopIfTrue="1" operator="equal">
      <formula>0</formula>
    </cfRule>
  </conditionalFormatting>
  <conditionalFormatting sqref="L27:M27">
    <cfRule type="cellIs" dxfId="2750" priority="241" stopIfTrue="1" operator="equal">
      <formula>0</formula>
    </cfRule>
  </conditionalFormatting>
  <conditionalFormatting sqref="N27:O27">
    <cfRule type="cellIs" dxfId="2749" priority="240" stopIfTrue="1" operator="equal">
      <formula>0</formula>
    </cfRule>
  </conditionalFormatting>
  <conditionalFormatting sqref="P27:Q27">
    <cfRule type="cellIs" dxfId="2748" priority="239" stopIfTrue="1" operator="equal">
      <formula>0</formula>
    </cfRule>
  </conditionalFormatting>
  <conditionalFormatting sqref="R27:S27">
    <cfRule type="cellIs" dxfId="2747" priority="238" stopIfTrue="1" operator="equal">
      <formula>0</formula>
    </cfRule>
  </conditionalFormatting>
  <conditionalFormatting sqref="T27:U27">
    <cfRule type="cellIs" dxfId="2746" priority="237" stopIfTrue="1" operator="equal">
      <formula>0</formula>
    </cfRule>
  </conditionalFormatting>
  <conditionalFormatting sqref="V27:W27">
    <cfRule type="cellIs" dxfId="2745" priority="236" stopIfTrue="1" operator="equal">
      <formula>0</formula>
    </cfRule>
  </conditionalFormatting>
  <conditionalFormatting sqref="J28:K28">
    <cfRule type="cellIs" dxfId="2744" priority="235" stopIfTrue="1" operator="equal">
      <formula>0</formula>
    </cfRule>
  </conditionalFormatting>
  <conditionalFormatting sqref="L28:M28">
    <cfRule type="cellIs" dxfId="2743" priority="234" stopIfTrue="1" operator="equal">
      <formula>0</formula>
    </cfRule>
  </conditionalFormatting>
  <conditionalFormatting sqref="N28:O28">
    <cfRule type="cellIs" dxfId="2742" priority="233" stopIfTrue="1" operator="equal">
      <formula>0</formula>
    </cfRule>
  </conditionalFormatting>
  <conditionalFormatting sqref="P28:Q28">
    <cfRule type="cellIs" dxfId="2741" priority="232" stopIfTrue="1" operator="equal">
      <formula>0</formula>
    </cfRule>
  </conditionalFormatting>
  <conditionalFormatting sqref="R28:S28">
    <cfRule type="cellIs" dxfId="2740" priority="231" stopIfTrue="1" operator="equal">
      <formula>0</formula>
    </cfRule>
  </conditionalFormatting>
  <conditionalFormatting sqref="T28:U28">
    <cfRule type="cellIs" dxfId="2739" priority="230" stopIfTrue="1" operator="equal">
      <formula>0</formula>
    </cfRule>
  </conditionalFormatting>
  <conditionalFormatting sqref="V28:W28">
    <cfRule type="cellIs" dxfId="2738" priority="229" stopIfTrue="1" operator="equal">
      <formula>0</formula>
    </cfRule>
  </conditionalFormatting>
  <conditionalFormatting sqref="J29:K29">
    <cfRule type="cellIs" dxfId="2737" priority="228" stopIfTrue="1" operator="equal">
      <formula>0</formula>
    </cfRule>
  </conditionalFormatting>
  <conditionalFormatting sqref="L29:M29">
    <cfRule type="cellIs" dxfId="2736" priority="227" stopIfTrue="1" operator="equal">
      <formula>0</formula>
    </cfRule>
  </conditionalFormatting>
  <conditionalFormatting sqref="N29:O29">
    <cfRule type="cellIs" dxfId="2735" priority="226" stopIfTrue="1" operator="equal">
      <formula>0</formula>
    </cfRule>
  </conditionalFormatting>
  <conditionalFormatting sqref="P29:Q29">
    <cfRule type="cellIs" dxfId="2734" priority="225" stopIfTrue="1" operator="equal">
      <formula>0</formula>
    </cfRule>
  </conditionalFormatting>
  <conditionalFormatting sqref="R29:S29">
    <cfRule type="cellIs" dxfId="2733" priority="224" stopIfTrue="1" operator="equal">
      <formula>0</formula>
    </cfRule>
  </conditionalFormatting>
  <conditionalFormatting sqref="T29:U29">
    <cfRule type="cellIs" dxfId="2732" priority="223" stopIfTrue="1" operator="equal">
      <formula>0</formula>
    </cfRule>
  </conditionalFormatting>
  <conditionalFormatting sqref="V29:W29">
    <cfRule type="cellIs" dxfId="2731" priority="222" stopIfTrue="1" operator="equal">
      <formula>0</formula>
    </cfRule>
  </conditionalFormatting>
  <conditionalFormatting sqref="J30:K30">
    <cfRule type="cellIs" dxfId="2730" priority="221" stopIfTrue="1" operator="equal">
      <formula>0</formula>
    </cfRule>
  </conditionalFormatting>
  <conditionalFormatting sqref="L30:M30">
    <cfRule type="cellIs" dxfId="2729" priority="220" stopIfTrue="1" operator="equal">
      <formula>0</formula>
    </cfRule>
  </conditionalFormatting>
  <conditionalFormatting sqref="N30:O30">
    <cfRule type="cellIs" dxfId="2728" priority="219" stopIfTrue="1" operator="equal">
      <formula>0</formula>
    </cfRule>
  </conditionalFormatting>
  <conditionalFormatting sqref="P30:Q30">
    <cfRule type="cellIs" dxfId="2727" priority="218" stopIfTrue="1" operator="equal">
      <formula>0</formula>
    </cfRule>
  </conditionalFormatting>
  <conditionalFormatting sqref="R30:S30">
    <cfRule type="cellIs" dxfId="2726" priority="217" stopIfTrue="1" operator="equal">
      <formula>0</formula>
    </cfRule>
  </conditionalFormatting>
  <conditionalFormatting sqref="T30:U30">
    <cfRule type="cellIs" dxfId="2725" priority="216" stopIfTrue="1" operator="equal">
      <formula>0</formula>
    </cfRule>
  </conditionalFormatting>
  <conditionalFormatting sqref="V30:W30">
    <cfRule type="cellIs" dxfId="2724" priority="215" stopIfTrue="1" operator="equal">
      <formula>0</formula>
    </cfRule>
  </conditionalFormatting>
  <conditionalFormatting sqref="J31:K31">
    <cfRule type="cellIs" dxfId="2723" priority="214" stopIfTrue="1" operator="equal">
      <formula>0</formula>
    </cfRule>
  </conditionalFormatting>
  <conditionalFormatting sqref="L31:M31">
    <cfRule type="cellIs" dxfId="2722" priority="213" stopIfTrue="1" operator="equal">
      <formula>0</formula>
    </cfRule>
  </conditionalFormatting>
  <conditionalFormatting sqref="N31:O31">
    <cfRule type="cellIs" dxfId="2721" priority="212" stopIfTrue="1" operator="equal">
      <formula>0</formula>
    </cfRule>
  </conditionalFormatting>
  <conditionalFormatting sqref="P31:Q31">
    <cfRule type="cellIs" dxfId="2720" priority="211" stopIfTrue="1" operator="equal">
      <formula>0</formula>
    </cfRule>
  </conditionalFormatting>
  <conditionalFormatting sqref="R31:S31">
    <cfRule type="cellIs" dxfId="2719" priority="210" stopIfTrue="1" operator="equal">
      <formula>0</formula>
    </cfRule>
  </conditionalFormatting>
  <conditionalFormatting sqref="T31:U31">
    <cfRule type="cellIs" dxfId="2718" priority="209" stopIfTrue="1" operator="equal">
      <formula>0</formula>
    </cfRule>
  </conditionalFormatting>
  <conditionalFormatting sqref="V31:W31">
    <cfRule type="cellIs" dxfId="2717" priority="208" stopIfTrue="1" operator="equal">
      <formula>0</formula>
    </cfRule>
  </conditionalFormatting>
  <conditionalFormatting sqref="J32:K32">
    <cfRule type="cellIs" dxfId="2716" priority="207" stopIfTrue="1" operator="equal">
      <formula>0</formula>
    </cfRule>
  </conditionalFormatting>
  <conditionalFormatting sqref="L32:M32">
    <cfRule type="cellIs" dxfId="2715" priority="206" stopIfTrue="1" operator="equal">
      <formula>0</formula>
    </cfRule>
  </conditionalFormatting>
  <conditionalFormatting sqref="N32:O32">
    <cfRule type="cellIs" dxfId="2714" priority="205" stopIfTrue="1" operator="equal">
      <formula>0</formula>
    </cfRule>
  </conditionalFormatting>
  <conditionalFormatting sqref="P32:Q32">
    <cfRule type="cellIs" dxfId="2713" priority="204" stopIfTrue="1" operator="equal">
      <formula>0</formula>
    </cfRule>
  </conditionalFormatting>
  <conditionalFormatting sqref="R32:S32">
    <cfRule type="cellIs" dxfId="2712" priority="203" stopIfTrue="1" operator="equal">
      <formula>0</formula>
    </cfRule>
  </conditionalFormatting>
  <conditionalFormatting sqref="T32:U32">
    <cfRule type="cellIs" dxfId="2711" priority="202" stopIfTrue="1" operator="equal">
      <formula>0</formula>
    </cfRule>
  </conditionalFormatting>
  <conditionalFormatting sqref="V32:W32">
    <cfRule type="cellIs" dxfId="2710" priority="201" stopIfTrue="1" operator="equal">
      <formula>0</formula>
    </cfRule>
  </conditionalFormatting>
  <conditionalFormatting sqref="J33:K33">
    <cfRule type="cellIs" dxfId="2709" priority="200" stopIfTrue="1" operator="equal">
      <formula>0</formula>
    </cfRule>
  </conditionalFormatting>
  <conditionalFormatting sqref="L33:M33">
    <cfRule type="cellIs" dxfId="2708" priority="199" stopIfTrue="1" operator="equal">
      <formula>0</formula>
    </cfRule>
  </conditionalFormatting>
  <conditionalFormatting sqref="N33:O33">
    <cfRule type="cellIs" dxfId="2707" priority="198" stopIfTrue="1" operator="equal">
      <formula>0</formula>
    </cfRule>
  </conditionalFormatting>
  <conditionalFormatting sqref="P33:Q33">
    <cfRule type="cellIs" dxfId="2706" priority="197" stopIfTrue="1" operator="equal">
      <formula>0</formula>
    </cfRule>
  </conditionalFormatting>
  <conditionalFormatting sqref="R33:S33">
    <cfRule type="cellIs" dxfId="2705" priority="196" stopIfTrue="1" operator="equal">
      <formula>0</formula>
    </cfRule>
  </conditionalFormatting>
  <conditionalFormatting sqref="T33:U33">
    <cfRule type="cellIs" dxfId="2704" priority="195" stopIfTrue="1" operator="equal">
      <formula>0</formula>
    </cfRule>
  </conditionalFormatting>
  <conditionalFormatting sqref="V33:W33">
    <cfRule type="cellIs" dxfId="2703" priority="194" stopIfTrue="1" operator="equal">
      <formula>0</formula>
    </cfRule>
  </conditionalFormatting>
  <conditionalFormatting sqref="J34:K34">
    <cfRule type="cellIs" dxfId="2702" priority="193" stopIfTrue="1" operator="equal">
      <formula>0</formula>
    </cfRule>
  </conditionalFormatting>
  <conditionalFormatting sqref="L34:M34">
    <cfRule type="cellIs" dxfId="2701" priority="192" stopIfTrue="1" operator="equal">
      <formula>0</formula>
    </cfRule>
  </conditionalFormatting>
  <conditionalFormatting sqref="N34:O34">
    <cfRule type="cellIs" dxfId="2700" priority="191" stopIfTrue="1" operator="equal">
      <formula>0</formula>
    </cfRule>
  </conditionalFormatting>
  <conditionalFormatting sqref="P34:Q34">
    <cfRule type="cellIs" dxfId="2699" priority="190" stopIfTrue="1" operator="equal">
      <formula>0</formula>
    </cfRule>
  </conditionalFormatting>
  <conditionalFormatting sqref="R34:S34">
    <cfRule type="cellIs" dxfId="2698" priority="189" stopIfTrue="1" operator="equal">
      <formula>0</formula>
    </cfRule>
  </conditionalFormatting>
  <conditionalFormatting sqref="T34:U34">
    <cfRule type="cellIs" dxfId="2697" priority="188" stopIfTrue="1" operator="equal">
      <formula>0</formula>
    </cfRule>
  </conditionalFormatting>
  <conditionalFormatting sqref="V34:W34">
    <cfRule type="cellIs" dxfId="2696" priority="187" stopIfTrue="1" operator="equal">
      <formula>0</formula>
    </cfRule>
  </conditionalFormatting>
  <conditionalFormatting sqref="J35:K35">
    <cfRule type="cellIs" dxfId="2695" priority="186" stopIfTrue="1" operator="equal">
      <formula>0</formula>
    </cfRule>
  </conditionalFormatting>
  <conditionalFormatting sqref="L35:M35">
    <cfRule type="cellIs" dxfId="2694" priority="185" stopIfTrue="1" operator="equal">
      <formula>0</formula>
    </cfRule>
  </conditionalFormatting>
  <conditionalFormatting sqref="N35:O35">
    <cfRule type="cellIs" dxfId="2693" priority="184" stopIfTrue="1" operator="equal">
      <formula>0</formula>
    </cfRule>
  </conditionalFormatting>
  <conditionalFormatting sqref="P35:Q35">
    <cfRule type="cellIs" dxfId="2692" priority="183" stopIfTrue="1" operator="equal">
      <formula>0</formula>
    </cfRule>
  </conditionalFormatting>
  <conditionalFormatting sqref="R35:S35">
    <cfRule type="cellIs" dxfId="2691" priority="182" stopIfTrue="1" operator="equal">
      <formula>0</formula>
    </cfRule>
  </conditionalFormatting>
  <conditionalFormatting sqref="T35:U35">
    <cfRule type="cellIs" dxfId="2690" priority="181" stopIfTrue="1" operator="equal">
      <formula>0</formula>
    </cfRule>
  </conditionalFormatting>
  <conditionalFormatting sqref="V35:W35">
    <cfRule type="cellIs" dxfId="2689" priority="180" stopIfTrue="1" operator="equal">
      <formula>0</formula>
    </cfRule>
  </conditionalFormatting>
  <conditionalFormatting sqref="J36:K36">
    <cfRule type="cellIs" dxfId="2688" priority="179" stopIfTrue="1" operator="equal">
      <formula>0</formula>
    </cfRule>
  </conditionalFormatting>
  <conditionalFormatting sqref="L36:M36">
    <cfRule type="cellIs" dxfId="2687" priority="178" stopIfTrue="1" operator="equal">
      <formula>0</formula>
    </cfRule>
  </conditionalFormatting>
  <conditionalFormatting sqref="N36:O36">
    <cfRule type="cellIs" dxfId="2686" priority="177" stopIfTrue="1" operator="equal">
      <formula>0</formula>
    </cfRule>
  </conditionalFormatting>
  <conditionalFormatting sqref="P36:Q36">
    <cfRule type="cellIs" dxfId="2685" priority="176" stopIfTrue="1" operator="equal">
      <formula>0</formula>
    </cfRule>
  </conditionalFormatting>
  <conditionalFormatting sqref="R36:S36">
    <cfRule type="cellIs" dxfId="2684" priority="175" stopIfTrue="1" operator="equal">
      <formula>0</formula>
    </cfRule>
  </conditionalFormatting>
  <conditionalFormatting sqref="T36:U36">
    <cfRule type="cellIs" dxfId="2683" priority="174" stopIfTrue="1" operator="equal">
      <formula>0</formula>
    </cfRule>
  </conditionalFormatting>
  <conditionalFormatting sqref="V36:W36">
    <cfRule type="cellIs" dxfId="2682" priority="173" stopIfTrue="1" operator="equal">
      <formula>0</formula>
    </cfRule>
  </conditionalFormatting>
  <conditionalFormatting sqref="J37:K37">
    <cfRule type="cellIs" dxfId="2681" priority="172" stopIfTrue="1" operator="equal">
      <formula>0</formula>
    </cfRule>
  </conditionalFormatting>
  <conditionalFormatting sqref="L37:M37">
    <cfRule type="cellIs" dxfId="2680" priority="171" stopIfTrue="1" operator="equal">
      <formula>0</formula>
    </cfRule>
  </conditionalFormatting>
  <conditionalFormatting sqref="N37:O37">
    <cfRule type="cellIs" dxfId="2679" priority="170" stopIfTrue="1" operator="equal">
      <formula>0</formula>
    </cfRule>
  </conditionalFormatting>
  <conditionalFormatting sqref="P37:Q37">
    <cfRule type="cellIs" dxfId="2678" priority="169" stopIfTrue="1" operator="equal">
      <formula>0</formula>
    </cfRule>
  </conditionalFormatting>
  <conditionalFormatting sqref="R37:S37">
    <cfRule type="cellIs" dxfId="2677" priority="168" stopIfTrue="1" operator="equal">
      <formula>0</formula>
    </cfRule>
  </conditionalFormatting>
  <conditionalFormatting sqref="T37:U37">
    <cfRule type="cellIs" dxfId="2676" priority="167" stopIfTrue="1" operator="equal">
      <formula>0</formula>
    </cfRule>
  </conditionalFormatting>
  <conditionalFormatting sqref="V37:W37">
    <cfRule type="cellIs" dxfId="2675" priority="166" stopIfTrue="1" operator="equal">
      <formula>0</formula>
    </cfRule>
  </conditionalFormatting>
  <conditionalFormatting sqref="J38:K38">
    <cfRule type="cellIs" dxfId="2674" priority="165" stopIfTrue="1" operator="equal">
      <formula>0</formula>
    </cfRule>
  </conditionalFormatting>
  <conditionalFormatting sqref="L38:M38">
    <cfRule type="cellIs" dxfId="2673" priority="164" stopIfTrue="1" operator="equal">
      <formula>0</formula>
    </cfRule>
  </conditionalFormatting>
  <conditionalFormatting sqref="N38:O38">
    <cfRule type="cellIs" dxfId="2672" priority="163" stopIfTrue="1" operator="equal">
      <formula>0</formula>
    </cfRule>
  </conditionalFormatting>
  <conditionalFormatting sqref="P38:Q38">
    <cfRule type="cellIs" dxfId="2671" priority="162" stopIfTrue="1" operator="equal">
      <formula>0</formula>
    </cfRule>
  </conditionalFormatting>
  <conditionalFormatting sqref="R38:S38">
    <cfRule type="cellIs" dxfId="2670" priority="161" stopIfTrue="1" operator="equal">
      <formula>0</formula>
    </cfRule>
  </conditionalFormatting>
  <conditionalFormatting sqref="T38:U38">
    <cfRule type="cellIs" dxfId="2669" priority="160" stopIfTrue="1" operator="equal">
      <formula>0</formula>
    </cfRule>
  </conditionalFormatting>
  <conditionalFormatting sqref="V38:W38">
    <cfRule type="cellIs" dxfId="2668" priority="159" stopIfTrue="1" operator="equal">
      <formula>0</formula>
    </cfRule>
  </conditionalFormatting>
  <conditionalFormatting sqref="J39:K39">
    <cfRule type="cellIs" dxfId="2667" priority="158" stopIfTrue="1" operator="equal">
      <formula>0</formula>
    </cfRule>
  </conditionalFormatting>
  <conditionalFormatting sqref="L39:M39">
    <cfRule type="cellIs" dxfId="2666" priority="157" stopIfTrue="1" operator="equal">
      <formula>0</formula>
    </cfRule>
  </conditionalFormatting>
  <conditionalFormatting sqref="N39:O39">
    <cfRule type="cellIs" dxfId="2665" priority="156" stopIfTrue="1" operator="equal">
      <formula>0</formula>
    </cfRule>
  </conditionalFormatting>
  <conditionalFormatting sqref="P39:Q39">
    <cfRule type="cellIs" dxfId="2664" priority="155" stopIfTrue="1" operator="equal">
      <formula>0</formula>
    </cfRule>
  </conditionalFormatting>
  <conditionalFormatting sqref="R39:S39">
    <cfRule type="cellIs" dxfId="2663" priority="154" stopIfTrue="1" operator="equal">
      <formula>0</formula>
    </cfRule>
  </conditionalFormatting>
  <conditionalFormatting sqref="T39:U39">
    <cfRule type="cellIs" dxfId="2662" priority="153" stopIfTrue="1" operator="equal">
      <formula>0</formula>
    </cfRule>
  </conditionalFormatting>
  <conditionalFormatting sqref="V39:W39">
    <cfRule type="cellIs" dxfId="2661" priority="152" stopIfTrue="1" operator="equal">
      <formula>0</formula>
    </cfRule>
  </conditionalFormatting>
  <conditionalFormatting sqref="J40:K40">
    <cfRule type="cellIs" dxfId="2660" priority="151" stopIfTrue="1" operator="equal">
      <formula>0</formula>
    </cfRule>
  </conditionalFormatting>
  <conditionalFormatting sqref="L40:M40">
    <cfRule type="cellIs" dxfId="2659" priority="150" stopIfTrue="1" operator="equal">
      <formula>0</formula>
    </cfRule>
  </conditionalFormatting>
  <conditionalFormatting sqref="N40:O40">
    <cfRule type="cellIs" dxfId="2658" priority="149" stopIfTrue="1" operator="equal">
      <formula>0</formula>
    </cfRule>
  </conditionalFormatting>
  <conditionalFormatting sqref="P40:Q40">
    <cfRule type="cellIs" dxfId="2657" priority="148" stopIfTrue="1" operator="equal">
      <formula>0</formula>
    </cfRule>
  </conditionalFormatting>
  <conditionalFormatting sqref="R40:S40">
    <cfRule type="cellIs" dxfId="2656" priority="147" stopIfTrue="1" operator="equal">
      <formula>0</formula>
    </cfRule>
  </conditionalFormatting>
  <conditionalFormatting sqref="T40:U40">
    <cfRule type="cellIs" dxfId="2655" priority="146" stopIfTrue="1" operator="equal">
      <formula>0</formula>
    </cfRule>
  </conditionalFormatting>
  <conditionalFormatting sqref="V40:W40">
    <cfRule type="cellIs" dxfId="2654" priority="145" stopIfTrue="1" operator="equal">
      <formula>0</formula>
    </cfRule>
  </conditionalFormatting>
  <conditionalFormatting sqref="J41:K41">
    <cfRule type="cellIs" dxfId="2653" priority="144" stopIfTrue="1" operator="equal">
      <formula>0</formula>
    </cfRule>
  </conditionalFormatting>
  <conditionalFormatting sqref="L41:M41">
    <cfRule type="cellIs" dxfId="2652" priority="143" stopIfTrue="1" operator="equal">
      <formula>0</formula>
    </cfRule>
  </conditionalFormatting>
  <conditionalFormatting sqref="N41:O41">
    <cfRule type="cellIs" dxfId="2651" priority="142" stopIfTrue="1" operator="equal">
      <formula>0</formula>
    </cfRule>
  </conditionalFormatting>
  <conditionalFormatting sqref="P41:Q41">
    <cfRule type="cellIs" dxfId="2650" priority="141" stopIfTrue="1" operator="equal">
      <formula>0</formula>
    </cfRule>
  </conditionalFormatting>
  <conditionalFormatting sqref="R41:S41">
    <cfRule type="cellIs" dxfId="2649" priority="140" stopIfTrue="1" operator="equal">
      <formula>0</formula>
    </cfRule>
  </conditionalFormatting>
  <conditionalFormatting sqref="T41:U41">
    <cfRule type="cellIs" dxfId="2648" priority="139" stopIfTrue="1" operator="equal">
      <formula>0</formula>
    </cfRule>
  </conditionalFormatting>
  <conditionalFormatting sqref="V41:W41">
    <cfRule type="cellIs" dxfId="2647" priority="138" stopIfTrue="1" operator="equal">
      <formula>0</formula>
    </cfRule>
  </conditionalFormatting>
  <conditionalFormatting sqref="J42:K42">
    <cfRule type="cellIs" dxfId="2646" priority="137" stopIfTrue="1" operator="equal">
      <formula>0</formula>
    </cfRule>
  </conditionalFormatting>
  <conditionalFormatting sqref="L42:M42">
    <cfRule type="cellIs" dxfId="2645" priority="136" stopIfTrue="1" operator="equal">
      <formula>0</formula>
    </cfRule>
  </conditionalFormatting>
  <conditionalFormatting sqref="N42:O42">
    <cfRule type="cellIs" dxfId="2644" priority="135" stopIfTrue="1" operator="equal">
      <formula>0</formula>
    </cfRule>
  </conditionalFormatting>
  <conditionalFormatting sqref="P42:Q42">
    <cfRule type="cellIs" dxfId="2643" priority="134" stopIfTrue="1" operator="equal">
      <formula>0</formula>
    </cfRule>
  </conditionalFormatting>
  <conditionalFormatting sqref="R42:S42">
    <cfRule type="cellIs" dxfId="2642" priority="133" stopIfTrue="1" operator="equal">
      <formula>0</formula>
    </cfRule>
  </conditionalFormatting>
  <conditionalFormatting sqref="T42:U42">
    <cfRule type="cellIs" dxfId="2641" priority="132" stopIfTrue="1" operator="equal">
      <formula>0</formula>
    </cfRule>
  </conditionalFormatting>
  <conditionalFormatting sqref="V42:W42">
    <cfRule type="cellIs" dxfId="2640" priority="131" stopIfTrue="1" operator="equal">
      <formula>0</formula>
    </cfRule>
  </conditionalFormatting>
  <conditionalFormatting sqref="J43:K43">
    <cfRule type="cellIs" dxfId="2639" priority="130" stopIfTrue="1" operator="equal">
      <formula>0</formula>
    </cfRule>
  </conditionalFormatting>
  <conditionalFormatting sqref="L43:M43">
    <cfRule type="cellIs" dxfId="2638" priority="129" stopIfTrue="1" operator="equal">
      <formula>0</formula>
    </cfRule>
  </conditionalFormatting>
  <conditionalFormatting sqref="N43:O43">
    <cfRule type="cellIs" dxfId="2637" priority="128" stopIfTrue="1" operator="equal">
      <formula>0</formula>
    </cfRule>
  </conditionalFormatting>
  <conditionalFormatting sqref="P43:Q43">
    <cfRule type="cellIs" dxfId="2636" priority="127" stopIfTrue="1" operator="equal">
      <formula>0</formula>
    </cfRule>
  </conditionalFormatting>
  <conditionalFormatting sqref="R43:S43">
    <cfRule type="cellIs" dxfId="2635" priority="126" stopIfTrue="1" operator="equal">
      <formula>0</formula>
    </cfRule>
  </conditionalFormatting>
  <conditionalFormatting sqref="T43:U43">
    <cfRule type="cellIs" dxfId="2634" priority="125" stopIfTrue="1" operator="equal">
      <formula>0</formula>
    </cfRule>
  </conditionalFormatting>
  <conditionalFormatting sqref="V43:W43">
    <cfRule type="cellIs" dxfId="2633" priority="124" stopIfTrue="1" operator="equal">
      <formula>0</formula>
    </cfRule>
  </conditionalFormatting>
  <conditionalFormatting sqref="J44:K44">
    <cfRule type="cellIs" dxfId="2632" priority="123" stopIfTrue="1" operator="equal">
      <formula>0</formula>
    </cfRule>
  </conditionalFormatting>
  <conditionalFormatting sqref="L44:M44">
    <cfRule type="cellIs" dxfId="2631" priority="122" stopIfTrue="1" operator="equal">
      <formula>0</formula>
    </cfRule>
  </conditionalFormatting>
  <conditionalFormatting sqref="N44:O44">
    <cfRule type="cellIs" dxfId="2630" priority="121" stopIfTrue="1" operator="equal">
      <formula>0</formula>
    </cfRule>
  </conditionalFormatting>
  <conditionalFormatting sqref="P44:Q44">
    <cfRule type="cellIs" dxfId="2629" priority="120" stopIfTrue="1" operator="equal">
      <formula>0</formula>
    </cfRule>
  </conditionalFormatting>
  <conditionalFormatting sqref="R44:S44">
    <cfRule type="cellIs" dxfId="2628" priority="119" stopIfTrue="1" operator="equal">
      <formula>0</formula>
    </cfRule>
  </conditionalFormatting>
  <conditionalFormatting sqref="T44:U44">
    <cfRule type="cellIs" dxfId="2627" priority="118" stopIfTrue="1" operator="equal">
      <formula>0</formula>
    </cfRule>
  </conditionalFormatting>
  <conditionalFormatting sqref="V44:W44">
    <cfRule type="cellIs" dxfId="2626" priority="117" stopIfTrue="1" operator="equal">
      <formula>0</formula>
    </cfRule>
  </conditionalFormatting>
  <conditionalFormatting sqref="J45:K45">
    <cfRule type="cellIs" dxfId="2625" priority="116" stopIfTrue="1" operator="equal">
      <formula>0</formula>
    </cfRule>
  </conditionalFormatting>
  <conditionalFormatting sqref="L45:M45">
    <cfRule type="cellIs" dxfId="2624" priority="115" stopIfTrue="1" operator="equal">
      <formula>0</formula>
    </cfRule>
  </conditionalFormatting>
  <conditionalFormatting sqref="N45:O45">
    <cfRule type="cellIs" dxfId="2623" priority="114" stopIfTrue="1" operator="equal">
      <formula>0</formula>
    </cfRule>
  </conditionalFormatting>
  <conditionalFormatting sqref="P45:Q45">
    <cfRule type="cellIs" dxfId="2622" priority="113" stopIfTrue="1" operator="equal">
      <formula>0</formula>
    </cfRule>
  </conditionalFormatting>
  <conditionalFormatting sqref="R45:S45">
    <cfRule type="cellIs" dxfId="2621" priority="112" stopIfTrue="1" operator="equal">
      <formula>0</formula>
    </cfRule>
  </conditionalFormatting>
  <conditionalFormatting sqref="T45:U45">
    <cfRule type="cellIs" dxfId="2620" priority="111" stopIfTrue="1" operator="equal">
      <formula>0</formula>
    </cfRule>
  </conditionalFormatting>
  <conditionalFormatting sqref="V45:W45">
    <cfRule type="cellIs" dxfId="2619" priority="110" stopIfTrue="1" operator="equal">
      <formula>0</formula>
    </cfRule>
  </conditionalFormatting>
  <conditionalFormatting sqref="J46:K46">
    <cfRule type="cellIs" dxfId="2618" priority="109" stopIfTrue="1" operator="equal">
      <formula>0</formula>
    </cfRule>
  </conditionalFormatting>
  <conditionalFormatting sqref="L46:M46">
    <cfRule type="cellIs" dxfId="2617" priority="108" stopIfTrue="1" operator="equal">
      <formula>0</formula>
    </cfRule>
  </conditionalFormatting>
  <conditionalFormatting sqref="N46:O46">
    <cfRule type="cellIs" dxfId="2616" priority="107" stopIfTrue="1" operator="equal">
      <formula>0</formula>
    </cfRule>
  </conditionalFormatting>
  <conditionalFormatting sqref="P46:Q46">
    <cfRule type="cellIs" dxfId="2615" priority="106" stopIfTrue="1" operator="equal">
      <formula>0</formula>
    </cfRule>
  </conditionalFormatting>
  <conditionalFormatting sqref="R46:S46">
    <cfRule type="cellIs" dxfId="2614" priority="105" stopIfTrue="1" operator="equal">
      <formula>0</formula>
    </cfRule>
  </conditionalFormatting>
  <conditionalFormatting sqref="T46:U46">
    <cfRule type="cellIs" dxfId="2613" priority="104" stopIfTrue="1" operator="equal">
      <formula>0</formula>
    </cfRule>
  </conditionalFormatting>
  <conditionalFormatting sqref="V46:W46">
    <cfRule type="cellIs" dxfId="2612" priority="103" stopIfTrue="1" operator="equal">
      <formula>0</formula>
    </cfRule>
  </conditionalFormatting>
  <conditionalFormatting sqref="J47:K47">
    <cfRule type="cellIs" dxfId="2611" priority="102" stopIfTrue="1" operator="equal">
      <formula>0</formula>
    </cfRule>
  </conditionalFormatting>
  <conditionalFormatting sqref="L47:M47">
    <cfRule type="cellIs" dxfId="2610" priority="101" stopIfTrue="1" operator="equal">
      <formula>0</formula>
    </cfRule>
  </conditionalFormatting>
  <conditionalFormatting sqref="N47:O47">
    <cfRule type="cellIs" dxfId="2609" priority="100" stopIfTrue="1" operator="equal">
      <formula>0</formula>
    </cfRule>
  </conditionalFormatting>
  <conditionalFormatting sqref="P47:Q47">
    <cfRule type="cellIs" dxfId="2608" priority="99" stopIfTrue="1" operator="equal">
      <formula>0</formula>
    </cfRule>
  </conditionalFormatting>
  <conditionalFormatting sqref="R47:S47">
    <cfRule type="cellIs" dxfId="2607" priority="98" stopIfTrue="1" operator="equal">
      <formula>0</formula>
    </cfRule>
  </conditionalFormatting>
  <conditionalFormatting sqref="T47:U47">
    <cfRule type="cellIs" dxfId="2606" priority="97" stopIfTrue="1" operator="equal">
      <formula>0</formula>
    </cfRule>
  </conditionalFormatting>
  <conditionalFormatting sqref="V47:W47">
    <cfRule type="cellIs" dxfId="2605" priority="96" stopIfTrue="1" operator="equal">
      <formula>0</formula>
    </cfRule>
  </conditionalFormatting>
  <conditionalFormatting sqref="D54:L59">
    <cfRule type="expression" dxfId="2604" priority="95">
      <formula>$AB$8=0</formula>
    </cfRule>
  </conditionalFormatting>
  <conditionalFormatting sqref="D54:I56">
    <cfRule type="expression" dxfId="2603" priority="94">
      <formula>$AB$8=1</formula>
    </cfRule>
  </conditionalFormatting>
  <printOptions horizontalCentered="1"/>
  <pageMargins left="0.7" right="0.7" top="0.39370078740157477" bottom="0.39370078740157477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Button 1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5" name="Button 2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3" r:id="rId6" name="Button 3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4" r:id="rId7" name="Button 4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5" r:id="rId8" name="Button 5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6" r:id="rId9" name="Button 6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7" r:id="rId10" name="Button 7">
              <controlPr defaultSize="0" print="0" autoFill="0" autoPict="0" macro="[0]!休日初期化">
                <anchor moveWithCells="1" sizeWithCells="1">
                  <from>
                    <xdr:col>27</xdr:col>
                    <xdr:colOff>488950</xdr:colOff>
                    <xdr:row>25</xdr:row>
                    <xdr:rowOff>69850</xdr:rowOff>
                  </from>
                  <to>
                    <xdr:col>28</xdr:col>
                    <xdr:colOff>266700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8" r:id="rId11" name="Button 8">
              <controlPr defaultSize="0" print="0" autoFill="0" autoPict="0" macro="[0]!初期状態">
                <anchor moveWithCells="1" sizeWithCells="1">
                  <from>
                    <xdr:col>27</xdr:col>
                    <xdr:colOff>533400</xdr:colOff>
                    <xdr:row>32</xdr:row>
                    <xdr:rowOff>31750</xdr:rowOff>
                  </from>
                  <to>
                    <xdr:col>28</xdr:col>
                    <xdr:colOff>419100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9" r:id="rId12" name="Button 9">
              <controlPr defaultSize="0" print="0" autoFill="0" autoPict="0" macro="[0]!ws_add">
                <anchor moveWithCells="1" sizeWithCells="1">
                  <from>
                    <xdr:col>27</xdr:col>
                    <xdr:colOff>488950</xdr:colOff>
                    <xdr:row>35</xdr:row>
                    <xdr:rowOff>69850</xdr:rowOff>
                  </from>
                  <to>
                    <xdr:col>29</xdr:col>
                    <xdr:colOff>603250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0" r:id="rId13" name="Button 10">
              <controlPr defaultSize="0" print="0" autoFill="0" autoPict="0" macro="[0]!統合">
                <anchor moveWithCells="1" sizeWithCells="1">
                  <from>
                    <xdr:col>26</xdr:col>
                    <xdr:colOff>63500</xdr:colOff>
                    <xdr:row>59</xdr:row>
                    <xdr:rowOff>19050</xdr:rowOff>
                  </from>
                  <to>
                    <xdr:col>26</xdr:col>
                    <xdr:colOff>673100</xdr:colOff>
                    <xdr:row>60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1" r:id="rId14" name="Button 11">
              <controlPr defaultSize="0" print="0" autoFill="0" autoPict="0" macro="[0]!休暇処理">
                <anchor moveWithCells="1" sizeWithCells="1">
                  <from>
                    <xdr:col>26</xdr:col>
                    <xdr:colOff>63500</xdr:colOff>
                    <xdr:row>61</xdr:row>
                    <xdr:rowOff>19050</xdr:rowOff>
                  </from>
                  <to>
                    <xdr:col>26</xdr:col>
                    <xdr:colOff>673100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2" r:id="rId15" name="Button 12">
              <controlPr defaultSize="0" print="0" autoFill="0" autoPict="0" macro="[0]!化粧直し">
                <anchor moveWithCells="1" sizeWithCells="1">
                  <from>
                    <xdr:col>26</xdr:col>
                    <xdr:colOff>69850</xdr:colOff>
                    <xdr:row>63</xdr:row>
                    <xdr:rowOff>31750</xdr:rowOff>
                  </from>
                  <to>
                    <xdr:col>26</xdr:col>
                    <xdr:colOff>679450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3" r:id="rId16" name="Button 13">
              <controlPr defaultSize="0" print="0" autoFill="0" autoPict="0" macro="[0]!休日初期化">
                <anchor moveWithCells="1" sizeWithCells="1">
                  <from>
                    <xdr:col>26</xdr:col>
                    <xdr:colOff>146050</xdr:colOff>
                    <xdr:row>65</xdr:row>
                    <xdr:rowOff>69850</xdr:rowOff>
                  </from>
                  <to>
                    <xdr:col>26</xdr:col>
                    <xdr:colOff>641350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4" r:id="rId17" name="Button 14">
              <controlPr defaultSize="0" print="0" autoFill="0" autoPict="0" macro="[0]!初期状態">
                <anchor moveWithCells="1" sizeWithCells="1">
                  <from>
                    <xdr:col>26</xdr:col>
                    <xdr:colOff>57150</xdr:colOff>
                    <xdr:row>67</xdr:row>
                    <xdr:rowOff>88900</xdr:rowOff>
                  </from>
                  <to>
                    <xdr:col>26</xdr:col>
                    <xdr:colOff>666750</xdr:colOff>
                    <xdr:row>69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stopIfTrue="1" id="{F305495F-4985-4171-8D32-E11ECBE5BB5D}">
            <xm:f xml:space="preserve"> OR($X$17=+テーブル!A2,$X$17=+テーブル!A3,$X$17=+テーブル!A9,$X$17=+テーブル!A10,$X$17=+テーブル!A12,$X$17=+テーブル!A13,$X$17=+テーブル!A16)</xm:f>
            <x14:dxf>
              <font>
                <color rgb="FFFF0000"/>
              </font>
            </x14:dxf>
          </x14:cfRule>
          <xm:sqref>D17:E17</xm:sqref>
        </x14:conditionalFormatting>
        <x14:conditionalFormatting xmlns:xm="http://schemas.microsoft.com/office/excel/2006/main">
          <x14:cfRule type="expression" priority="92" stopIfTrue="1" id="{1E58B848-C276-475A-A06B-5A3D3123E225}">
            <xm:f xml:space="preserve"> OR($X$17=+テーブル!A2,$X$17=+テーブル!A4,$X$17=+テーブル!A9,$X$17=+テーブル!A11,$X$17=+テーブル!A12,$X$17=+テーブル!A14,$X$17=+テーブル!A16)</xm:f>
            <x14:dxf>
              <font>
                <color rgb="FFFF0000"/>
              </font>
            </x14:dxf>
          </x14:cfRule>
          <xm:sqref>F17:G17</xm:sqref>
        </x14:conditionalFormatting>
        <x14:conditionalFormatting xmlns:xm="http://schemas.microsoft.com/office/excel/2006/main">
          <x14:cfRule type="expression" priority="91" stopIfTrue="1" id="{346841B0-3665-4101-A915-15CBE2852FD5}">
            <xm:f xml:space="preserve"> OR($X$17=+テーブル!A2,$X$17=+テーブル!A3,$X$17=+テーブル!A4,$X$17=+テーブル!A9,$X$17=+テーブル!A10,$X$17=+テーブル!A11,$X$17=+テーブル!A12,$X$17=+テーブル!A13,$X$17=+テーブル!A14,$X$17=+テーブル!A16)</xm:f>
            <x14:dxf>
              <font>
                <color rgb="FFFF0000"/>
              </font>
            </x14:dxf>
          </x14:cfRule>
          <xm:sqref>H17:I17</xm:sqref>
        </x14:conditionalFormatting>
        <x14:conditionalFormatting xmlns:xm="http://schemas.microsoft.com/office/excel/2006/main">
          <x14:cfRule type="expression" priority="90" stopIfTrue="1" id="{0F39D363-D455-4591-B5DF-9D00903A0E68}">
            <xm:f xml:space="preserve"> OR($X$18=+テーブル!A2,$X$18=+テーブル!A3,$X$18=+テーブル!A9,$X$18=+テーブル!A10,$X$18=+テーブル!A12,$X$18=+テーブル!A13,$X$18=+テーブル!A16)</xm:f>
            <x14:dxf>
              <font>
                <color rgb="FFFF0000"/>
              </font>
            </x14:dxf>
          </x14:cfRule>
          <xm:sqref>D18:E18</xm:sqref>
        </x14:conditionalFormatting>
        <x14:conditionalFormatting xmlns:xm="http://schemas.microsoft.com/office/excel/2006/main">
          <x14:cfRule type="expression" priority="89" stopIfTrue="1" id="{F57C9BDE-4B77-4DA0-BED4-70545579EA4B}">
            <xm:f xml:space="preserve"> OR($X$18=+テーブル!A2,$X$18=+テーブル!A4,$X$18=+テーブル!A9,$X$18=+テーブル!A11,$X$18=+テーブル!A12,$X$18=+テーブル!A14,$X$18=+テーブル!A16)</xm:f>
            <x14:dxf>
              <font>
                <color rgb="FFFF0000"/>
              </font>
            </x14:dxf>
          </x14:cfRule>
          <xm:sqref>F18:G18</xm:sqref>
        </x14:conditionalFormatting>
        <x14:conditionalFormatting xmlns:xm="http://schemas.microsoft.com/office/excel/2006/main">
          <x14:cfRule type="expression" priority="88" stopIfTrue="1" id="{D7DB59AA-CD9E-42A5-96D7-96CBCB83CE0F}">
            <xm:f xml:space="preserve"> OR($X$18=+テーブル!A2,$X$18=+テーブル!A3,$X$18=+テーブル!A4,$X$18=+テーブル!A9,$X$18=+テーブル!A10,$X$18=+テーブル!A11,$X$18=+テーブル!A12,$X$18=+テーブル!A13,$X$18=+テーブル!A14,$X$18=+テーブル!A16)</xm:f>
            <x14:dxf>
              <font>
                <color rgb="FFFF0000"/>
              </font>
            </x14:dxf>
          </x14:cfRule>
          <xm:sqref>H18:I18</xm:sqref>
        </x14:conditionalFormatting>
        <x14:conditionalFormatting xmlns:xm="http://schemas.microsoft.com/office/excel/2006/main">
          <x14:cfRule type="expression" priority="87" stopIfTrue="1" id="{15B03CA3-18BD-4C47-BF15-0BE67B16DD82}">
            <xm:f xml:space="preserve"> OR($X$19=+テーブル!A2,$X$19=+テーブル!A3,$X$19=+テーブル!A9,$X$19=+テーブル!A10,$X$19=+テーブル!A12,$X$19=+テーブル!A13,$X$19=+テーブル!A16)</xm:f>
            <x14:dxf>
              <font>
                <color rgb="FFFF0000"/>
              </font>
            </x14:dxf>
          </x14:cfRule>
          <xm:sqref>D19:E19</xm:sqref>
        </x14:conditionalFormatting>
        <x14:conditionalFormatting xmlns:xm="http://schemas.microsoft.com/office/excel/2006/main">
          <x14:cfRule type="expression" priority="86" stopIfTrue="1" id="{173989F2-C877-45DF-B3BC-CEFC6E5D2A6C}">
            <xm:f xml:space="preserve"> OR($X$19=+テーブル!A2,$X$19=+テーブル!A4,$X$19=+テーブル!A9,$X$19=+テーブル!A11,$X$19=+テーブル!A12,$X$19=+テーブル!A14,$X$19=+テーブル!A16)</xm:f>
            <x14:dxf>
              <font>
                <color rgb="FFFF0000"/>
              </font>
            </x14:dxf>
          </x14:cfRule>
          <xm:sqref>F19:G19</xm:sqref>
        </x14:conditionalFormatting>
        <x14:conditionalFormatting xmlns:xm="http://schemas.microsoft.com/office/excel/2006/main">
          <x14:cfRule type="expression" priority="85" stopIfTrue="1" id="{7395F2AE-4915-4B8C-91D9-722E3E6F61B8}">
            <xm:f xml:space="preserve"> OR($X$19=+テーブル!A2,$X$19=+テーブル!A3,$X$19=+テーブル!A4,$X$19=+テーブル!A9,$X$19=+テーブル!A10,$X$19=+テーブル!A11,$X$19=+テーブル!A12,$X$19=+テーブル!A13,$X$19=+テーブル!A14,$X$19=+テーブル!A16)</xm:f>
            <x14:dxf>
              <font>
                <color rgb="FFFF0000"/>
              </font>
            </x14:dxf>
          </x14:cfRule>
          <xm:sqref>H19:I19</xm:sqref>
        </x14:conditionalFormatting>
        <x14:conditionalFormatting xmlns:xm="http://schemas.microsoft.com/office/excel/2006/main">
          <x14:cfRule type="expression" priority="84" stopIfTrue="1" id="{0306C15B-6CB7-4D93-BA16-0FE20B1DA97C}">
            <xm:f xml:space="preserve"> OR($X$20=+テーブル!A2,$X$20=+テーブル!A3,$X$20=+テーブル!A9,$X$20=+テーブル!A10,$X$20=+テーブル!A12,$X$20=+テーブル!A13,$X$20=+テーブル!A16)</xm:f>
            <x14:dxf>
              <font>
                <color rgb="FFFF000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83" stopIfTrue="1" id="{A7CA5AA5-9852-4EFC-AB73-48967478C0CD}">
            <xm:f xml:space="preserve"> OR($X$20=+テーブル!A2,$X$20=+テーブル!A4,$X$20=+テーブル!A9,$X$20=+テーブル!A11,$X$20=+テーブル!A12,$X$20=+テーブル!A14,$X$20=+テーブル!A16)</xm:f>
            <x14:dxf>
              <font>
                <color rgb="FFFF0000"/>
              </font>
            </x14:dxf>
          </x14:cfRule>
          <xm:sqref>F20:G20</xm:sqref>
        </x14:conditionalFormatting>
        <x14:conditionalFormatting xmlns:xm="http://schemas.microsoft.com/office/excel/2006/main">
          <x14:cfRule type="expression" priority="82" stopIfTrue="1" id="{3FEAAD66-FA12-42F8-BF89-B88FC811244E}">
            <xm:f xml:space="preserve"> OR($X$20=+テーブル!A2,$X$20=+テーブル!A3,$X$20=+テーブル!A4,$X$20=+テーブル!A9,$X$20=+テーブル!A10,$X$20=+テーブル!A11,$X$20=+テーブル!A12,$X$20=+テーブル!A13,$X$20=+テーブル!A14,$X$20=+テーブル!A16)</xm:f>
            <x14:dxf>
              <font>
                <color rgb="FFFF0000"/>
              </font>
            </x14:dxf>
          </x14:cfRule>
          <xm:sqref>H20:I20</xm:sqref>
        </x14:conditionalFormatting>
        <x14:conditionalFormatting xmlns:xm="http://schemas.microsoft.com/office/excel/2006/main">
          <x14:cfRule type="expression" priority="81" stopIfTrue="1" id="{F709255A-221C-4AD5-84EE-DDC47DFF4D48}">
            <xm:f xml:space="preserve"> OR($X$21=+テーブル!A2,$X$21=+テーブル!A3,$X$21=+テーブル!A9,$X$21=+テーブル!A10,$X$21=+テーブル!A12,$X$21=+テーブル!A13,$X$21=+テーブル!A16)</xm:f>
            <x14:dxf>
              <font>
                <color rgb="FFFF0000"/>
              </font>
            </x14:dxf>
          </x14:cfRule>
          <xm:sqref>D21:E21</xm:sqref>
        </x14:conditionalFormatting>
        <x14:conditionalFormatting xmlns:xm="http://schemas.microsoft.com/office/excel/2006/main">
          <x14:cfRule type="expression" priority="80" stopIfTrue="1" id="{257FE590-15A0-4E66-90AE-1C2A944A43C6}">
            <xm:f xml:space="preserve"> OR($X$21=+テーブル!A2,$X$21=+テーブル!A4,$X$21=+テーブル!A9,$X$21=+テーブル!A11,$X$21=+テーブル!A12,$X$21=+テーブル!A14,$X$21=+テーブル!A16)</xm:f>
            <x14:dxf>
              <font>
                <color rgb="FFFF0000"/>
              </font>
            </x14:dxf>
          </x14:cfRule>
          <xm:sqref>F21:G21</xm:sqref>
        </x14:conditionalFormatting>
        <x14:conditionalFormatting xmlns:xm="http://schemas.microsoft.com/office/excel/2006/main">
          <x14:cfRule type="expression" priority="79" stopIfTrue="1" id="{E75C3651-8CA2-471D-9FC7-FFF52AD39CCE}">
            <xm:f xml:space="preserve"> OR($X$21=+テーブル!A2,$X$21=+テーブル!A3,$X$21=+テーブル!A4,$X$21=+テーブル!A9,$X$21=+テーブル!A10,$X$21=+テーブル!A11,$X$21=+テーブル!A12,$X$21=+テーブル!A13,$X$21=+テーブル!A14,$X$21=+テーブル!A16)</xm:f>
            <x14:dxf>
              <font>
                <color rgb="FFFF0000"/>
              </font>
            </x14:dxf>
          </x14:cfRule>
          <xm:sqref>H21:I21</xm:sqref>
        </x14:conditionalFormatting>
        <x14:conditionalFormatting xmlns:xm="http://schemas.microsoft.com/office/excel/2006/main">
          <x14:cfRule type="expression" priority="78" stopIfTrue="1" id="{9CE3F704-FC05-484A-A8E8-5E674D6ACD24}">
            <xm:f xml:space="preserve"> OR($X$22=+テーブル!A2,$X$22=+テーブル!A3,$X$22=+テーブル!A9,$X$22=+テーブル!A10,$X$22=+テーブル!A12,$X$22=+テーブル!A13,$X$22=+テーブル!A16)</xm:f>
            <x14:dxf>
              <font>
                <color rgb="FFFF0000"/>
              </font>
            </x14:dxf>
          </x14:cfRule>
          <xm:sqref>D22:E22</xm:sqref>
        </x14:conditionalFormatting>
        <x14:conditionalFormatting xmlns:xm="http://schemas.microsoft.com/office/excel/2006/main">
          <x14:cfRule type="expression" priority="77" stopIfTrue="1" id="{1B45770F-69A7-4210-9DB9-A7D1531BB8EE}">
            <xm:f xml:space="preserve"> OR($X$22=+テーブル!A2,$X$22=+テーブル!A4,$X$22=+テーブル!A9,$X$22=+テーブル!A11,$X$22=+テーブル!A12,$X$22=+テーブル!A14,$X$22=+テーブル!A16)</xm:f>
            <x14:dxf>
              <font>
                <color rgb="FFFF0000"/>
              </font>
            </x14:dxf>
          </x14:cfRule>
          <xm:sqref>F22:G22</xm:sqref>
        </x14:conditionalFormatting>
        <x14:conditionalFormatting xmlns:xm="http://schemas.microsoft.com/office/excel/2006/main">
          <x14:cfRule type="expression" priority="76" stopIfTrue="1" id="{8AD44A37-0025-428E-B7F4-4C752BE27358}">
            <xm:f xml:space="preserve"> OR($X$22=+テーブル!A2,$X$22=+テーブル!A3,$X$22=+テーブル!A4,$X$22=+テーブル!A9,$X$22=+テーブル!A10,$X$22=+テーブル!A11,$X$22=+テーブル!A12,$X$22=+テーブル!A13,$X$22=+テーブル!A14,$X$22=+テーブル!A16)</xm:f>
            <x14:dxf>
              <font>
                <color rgb="FFFF0000"/>
              </font>
            </x14:dxf>
          </x14:cfRule>
          <xm:sqref>H22:I22</xm:sqref>
        </x14:conditionalFormatting>
        <x14:conditionalFormatting xmlns:xm="http://schemas.microsoft.com/office/excel/2006/main">
          <x14:cfRule type="expression" priority="75" stopIfTrue="1" id="{1A83E948-0656-40A9-ABAE-5EB378D125D0}">
            <xm:f xml:space="preserve"> OR($X$23=+テーブル!A2,$X$23=+テーブル!A3,$X$23=+テーブル!A9,$X$23=+テーブル!A10,$X$23=+テーブル!A12,$X$23=+テーブル!A13,$X$23=+テーブル!A16)</xm:f>
            <x14:dxf>
              <font>
                <color rgb="FFFF0000"/>
              </font>
            </x14:dxf>
          </x14:cfRule>
          <xm:sqref>D23:E23</xm:sqref>
        </x14:conditionalFormatting>
        <x14:conditionalFormatting xmlns:xm="http://schemas.microsoft.com/office/excel/2006/main">
          <x14:cfRule type="expression" priority="74" stopIfTrue="1" id="{5A4C4835-8D0B-4B94-804F-5760366B1B19}">
            <xm:f xml:space="preserve"> OR($X$23=+テーブル!A2,$X$23=+テーブル!A4,$X$23=+テーブル!A9,$X$23=+テーブル!A11,$X$23=+テーブル!A12,$X$23=+テーブル!A14,$X$23=+テーブル!A16)</xm:f>
            <x14:dxf>
              <font>
                <color rgb="FFFF0000"/>
              </font>
            </x14:dxf>
          </x14:cfRule>
          <xm:sqref>F23:G23</xm:sqref>
        </x14:conditionalFormatting>
        <x14:conditionalFormatting xmlns:xm="http://schemas.microsoft.com/office/excel/2006/main">
          <x14:cfRule type="expression" priority="73" stopIfTrue="1" id="{55F12363-6861-4332-8692-057E0AAE4681}">
            <xm:f xml:space="preserve"> OR($X$23=+テーブル!A2,$X$23=+テーブル!A3,$X$23=+テーブル!A4,$X$23=+テーブル!A9,$X$23=+テーブル!A10,$X$23=+テーブル!A11,$X$23=+テーブル!A12,$X$23=+テーブル!A13,$X$23=+テーブル!A14,$X$23=+テーブル!A16)</xm:f>
            <x14:dxf>
              <font>
                <color rgb="FFFF0000"/>
              </font>
            </x14:dxf>
          </x14:cfRule>
          <xm:sqref>H23:I23</xm:sqref>
        </x14:conditionalFormatting>
        <x14:conditionalFormatting xmlns:xm="http://schemas.microsoft.com/office/excel/2006/main">
          <x14:cfRule type="expression" priority="72" stopIfTrue="1" id="{FA8D8FE2-C4DF-443A-99F8-967D6B510F74}">
            <xm:f xml:space="preserve"> OR($X$24=+テーブル!A2,$X$24=+テーブル!A3,$X$24=+テーブル!A9,$X$24=+テーブル!A10,$X$24=+テーブル!A12,$X$24=+テーブル!A13,$X$24=+テーブル!A16)</xm:f>
            <x14:dxf>
              <font>
                <color rgb="FFFF0000"/>
              </font>
            </x14:dxf>
          </x14:cfRule>
          <xm:sqref>D24:E24</xm:sqref>
        </x14:conditionalFormatting>
        <x14:conditionalFormatting xmlns:xm="http://schemas.microsoft.com/office/excel/2006/main">
          <x14:cfRule type="expression" priority="71" stopIfTrue="1" id="{242C0E09-75C1-4442-AB76-C71EE15F4687}">
            <xm:f xml:space="preserve"> OR($X$24=+テーブル!A2,$X$24=+テーブル!A4,$X$24=+テーブル!A9,$X$24=+テーブル!A11,$X$24=+テーブル!A12,$X$24=+テーブル!A14,$X$24=+テーブル!A16)</xm:f>
            <x14:dxf>
              <font>
                <color rgb="FFFF0000"/>
              </font>
            </x14:dxf>
          </x14:cfRule>
          <xm:sqref>F24:G24</xm:sqref>
        </x14:conditionalFormatting>
        <x14:conditionalFormatting xmlns:xm="http://schemas.microsoft.com/office/excel/2006/main">
          <x14:cfRule type="expression" priority="70" stopIfTrue="1" id="{A27A6087-FD78-492A-A0F8-B5EEB840B474}">
            <xm:f xml:space="preserve"> OR($X$24=+テーブル!A2,$X$24=+テーブル!A3,$X$24=+テーブル!A4,$X$24=+テーブル!A9,$X$24=+テーブル!A10,$X$24=+テーブル!A11,$X$24=+テーブル!A12,$X$24=+テーブル!A13,$X$24=+テーブル!A14,$X$24=+テーブル!A16)</xm:f>
            <x14:dxf>
              <font>
                <color rgb="FFFF0000"/>
              </font>
            </x14:dxf>
          </x14:cfRule>
          <xm:sqref>H24:I24</xm:sqref>
        </x14:conditionalFormatting>
        <x14:conditionalFormatting xmlns:xm="http://schemas.microsoft.com/office/excel/2006/main">
          <x14:cfRule type="expression" priority="69" stopIfTrue="1" id="{780AC902-D565-442B-AD1A-7C660B1ACA16}">
            <xm:f xml:space="preserve"> OR($X$25=+テーブル!A2,$X$25=+テーブル!A3,$X$25=+テーブル!A9,$X$25=+テーブル!A10,$X$25=+テーブル!A12,$X$25=+テーブル!A13,$X$25=+テーブル!A16)</xm:f>
            <x14:dxf>
              <font>
                <color rgb="FFFF0000"/>
              </font>
            </x14:dxf>
          </x14:cfRule>
          <xm:sqref>D25:E25</xm:sqref>
        </x14:conditionalFormatting>
        <x14:conditionalFormatting xmlns:xm="http://schemas.microsoft.com/office/excel/2006/main">
          <x14:cfRule type="expression" priority="68" stopIfTrue="1" id="{81202D7D-0B8E-4BC8-898C-DCBC1939D83E}">
            <xm:f xml:space="preserve"> OR($X$25=+テーブル!A2,$X$25=+テーブル!A4,$X$25=+テーブル!A9,$X$25=+テーブル!A11,$X$25=+テーブル!A12,$X$25=+テーブル!A14,$X$25=+テーブル!A16)</xm:f>
            <x14:dxf>
              <font>
                <color rgb="FFFF0000"/>
              </font>
            </x14:dxf>
          </x14:cfRule>
          <xm:sqref>F25:G25</xm:sqref>
        </x14:conditionalFormatting>
        <x14:conditionalFormatting xmlns:xm="http://schemas.microsoft.com/office/excel/2006/main">
          <x14:cfRule type="expression" priority="67" stopIfTrue="1" id="{CAE51877-137B-4A9C-8C48-F92FB205DE08}">
            <xm:f xml:space="preserve"> OR($X$25=+テーブル!A2,$X$25=+テーブル!A3,$X$25=+テーブル!A4,$X$25=+テーブル!A9,$X$25=+テーブル!A10,$X$25=+テーブル!A11,$X$25=+テーブル!A12,$X$25=+テーブル!A13,$X$25=+テーブル!A14,$X$25=+テーブル!A16)</xm:f>
            <x14:dxf>
              <font>
                <color rgb="FFFF0000"/>
              </font>
            </x14:dxf>
          </x14:cfRule>
          <xm:sqref>H25:I25</xm:sqref>
        </x14:conditionalFormatting>
        <x14:conditionalFormatting xmlns:xm="http://schemas.microsoft.com/office/excel/2006/main">
          <x14:cfRule type="expression" priority="66" stopIfTrue="1" id="{A8591F3C-049D-4CDA-8122-258A6496E186}">
            <xm:f xml:space="preserve"> OR($X$26=+テーブル!A2,$X$26=+テーブル!A3,$X$26=+テーブル!A9,$X$26=+テーブル!A10,$X$26=+テーブル!A12,$X$26=+テーブル!A13,$X$26=+テーブル!A16)</xm:f>
            <x14:dxf>
              <font>
                <color rgb="FFFF0000"/>
              </font>
            </x14:dxf>
          </x14:cfRule>
          <xm:sqref>D26:E26</xm:sqref>
        </x14:conditionalFormatting>
        <x14:conditionalFormatting xmlns:xm="http://schemas.microsoft.com/office/excel/2006/main">
          <x14:cfRule type="expression" priority="65" stopIfTrue="1" id="{20FC0899-2BB6-43EC-B423-54B77E30C304}">
            <xm:f xml:space="preserve"> OR($X$26=+テーブル!A2,$X$26=+テーブル!A4,$X$26=+テーブル!A9,$X$26=+テーブル!A11,$X$26=+テーブル!A12,$X$26=+テーブル!A14,$X$26=+テーブル!A16)</xm:f>
            <x14:dxf>
              <font>
                <color rgb="FFFF0000"/>
              </font>
            </x14:dxf>
          </x14:cfRule>
          <xm:sqref>F26:G26</xm:sqref>
        </x14:conditionalFormatting>
        <x14:conditionalFormatting xmlns:xm="http://schemas.microsoft.com/office/excel/2006/main">
          <x14:cfRule type="expression" priority="64" stopIfTrue="1" id="{095FF560-1E48-4B3F-B8BB-A4C8AC2B5549}">
            <xm:f xml:space="preserve"> OR($X$26=+テーブル!A2,$X$26=+テーブル!A3,$X$26=+テーブル!A4,$X$26=+テーブル!A9,$X$26=+テーブル!A10,$X$26=+テーブル!A11,$X$26=+テーブル!A12,$X$26=+テーブル!A13,$X$26=+テーブル!A14,$X$26=+テーブル!A16)</xm:f>
            <x14:dxf>
              <font>
                <color rgb="FFFF0000"/>
              </font>
            </x14:dxf>
          </x14:cfRule>
          <xm:sqref>H26:I26</xm:sqref>
        </x14:conditionalFormatting>
        <x14:conditionalFormatting xmlns:xm="http://schemas.microsoft.com/office/excel/2006/main">
          <x14:cfRule type="expression" priority="63" stopIfTrue="1" id="{9AD40CF5-9A52-4295-99D7-75074B47B6CF}">
            <xm:f xml:space="preserve"> OR($X$27=+テーブル!A2,$X$27=+テーブル!A3,$X$27=+テーブル!A9,$X$27=+テーブル!A10,$X$27=+テーブル!A12,$X$27=+テーブル!A13,$X$27=+テーブル!A16)</xm:f>
            <x14:dxf>
              <font>
                <color rgb="FFFF0000"/>
              </font>
            </x14:dxf>
          </x14:cfRule>
          <xm:sqref>D27:E27</xm:sqref>
        </x14:conditionalFormatting>
        <x14:conditionalFormatting xmlns:xm="http://schemas.microsoft.com/office/excel/2006/main">
          <x14:cfRule type="expression" priority="62" stopIfTrue="1" id="{CC265103-9DB8-4EF6-852D-3EAC22017854}">
            <xm:f xml:space="preserve"> OR($X$27=+テーブル!A2,$X$27=+テーブル!A4,$X$27=+テーブル!A9,$X$27=+テーブル!A11,$X$27=+テーブル!A12,$X$27=+テーブル!A14,$X$27=+テーブル!A16)</xm:f>
            <x14:dxf>
              <font>
                <color rgb="FFFF0000"/>
              </font>
            </x14:dxf>
          </x14:cfRule>
          <xm:sqref>F27:G27</xm:sqref>
        </x14:conditionalFormatting>
        <x14:conditionalFormatting xmlns:xm="http://schemas.microsoft.com/office/excel/2006/main">
          <x14:cfRule type="expression" priority="61" stopIfTrue="1" id="{77B6E24A-ADB8-4D14-9D29-DEA2D48BE960}">
            <xm:f xml:space="preserve"> OR($X$27=+テーブル!A2,$X$27=+テーブル!A3,$X$27=+テーブル!A4,$X$27=+テーブル!A9,$X$27=+テーブル!A10,$X$27=+テーブル!A11,$X$27=+テーブル!A12,$X$27=+テーブル!A13,$X$27=+テーブル!A14,$X$27=+テーブル!A16)</xm:f>
            <x14:dxf>
              <font>
                <color rgb="FFFF0000"/>
              </font>
            </x14:dxf>
          </x14:cfRule>
          <xm:sqref>H27:I27</xm:sqref>
        </x14:conditionalFormatting>
        <x14:conditionalFormatting xmlns:xm="http://schemas.microsoft.com/office/excel/2006/main">
          <x14:cfRule type="expression" priority="60" stopIfTrue="1" id="{8D30FFB9-E5D7-413B-B4D3-BB5B117D63E2}">
            <xm:f xml:space="preserve"> OR($X$28=+テーブル!A2,$X$28=+テーブル!A3,$X$28=+テーブル!A9,$X$28=+テーブル!A10,$X$28=+テーブル!A12,$X$28=+テーブル!A13,$X$28=+テーブル!A16)</xm:f>
            <x14:dxf>
              <font>
                <color rgb="FFFF0000"/>
              </font>
            </x14:dxf>
          </x14:cfRule>
          <xm:sqref>D28:E28</xm:sqref>
        </x14:conditionalFormatting>
        <x14:conditionalFormatting xmlns:xm="http://schemas.microsoft.com/office/excel/2006/main">
          <x14:cfRule type="expression" priority="59" stopIfTrue="1" id="{DA20A0A0-D9EA-4A73-A6A6-6D26CF734CC3}">
            <xm:f xml:space="preserve"> OR($X$28=+テーブル!A2,$X$28=+テーブル!A4,$X$28=+テーブル!A9,$X$28=+テーブル!A11,$X$28=+テーブル!A12,$X$28=+テーブル!A14,$X$28=+テーブル!A16)</xm:f>
            <x14:dxf>
              <font>
                <color rgb="FFFF0000"/>
              </font>
            </x14:dxf>
          </x14:cfRule>
          <xm:sqref>F28:G28</xm:sqref>
        </x14:conditionalFormatting>
        <x14:conditionalFormatting xmlns:xm="http://schemas.microsoft.com/office/excel/2006/main">
          <x14:cfRule type="expression" priority="58" stopIfTrue="1" id="{C8896FD0-5FC5-40A5-B319-509A13F51424}">
            <xm:f xml:space="preserve"> OR($X$28=+テーブル!A2,$X$28=+テーブル!A3,$X$28=+テーブル!A4,$X$28=+テーブル!A9,$X$28=+テーブル!A10,$X$28=+テーブル!A11,$X$28=+テーブル!A12,$X$28=+テーブル!A13,$X$28=+テーブル!A14,$X$28=+テーブル!A16)</xm:f>
            <x14:dxf>
              <font>
                <color rgb="FFFF0000"/>
              </font>
            </x14:dxf>
          </x14:cfRule>
          <xm:sqref>H28:I28</xm:sqref>
        </x14:conditionalFormatting>
        <x14:conditionalFormatting xmlns:xm="http://schemas.microsoft.com/office/excel/2006/main">
          <x14:cfRule type="expression" priority="57" stopIfTrue="1" id="{A0DC80E0-F0AA-41A1-8ACA-A2EED9C73414}">
            <xm:f xml:space="preserve"> OR($X$29=+テーブル!A2,$X$29=+テーブル!A3,$X$29=+テーブル!A9,$X$29=+テーブル!A10,$X$29=+テーブル!A12,$X$29=+テーブル!A13,$X$29=+テーブル!A16)</xm:f>
            <x14:dxf>
              <font>
                <color rgb="FFFF0000"/>
              </font>
            </x14:dxf>
          </x14:cfRule>
          <xm:sqref>D29:E29</xm:sqref>
        </x14:conditionalFormatting>
        <x14:conditionalFormatting xmlns:xm="http://schemas.microsoft.com/office/excel/2006/main">
          <x14:cfRule type="expression" priority="56" stopIfTrue="1" id="{BF3A3F5B-99AB-4373-841D-683BB56D5303}">
            <xm:f xml:space="preserve"> OR($X$29=+テーブル!A2,$X$29=+テーブル!A4,$X$29=+テーブル!A9,$X$29=+テーブル!A11,$X$29=+テーブル!A12,$X$29=+テーブル!A14,$X$29=+テーブル!A16)</xm:f>
            <x14:dxf>
              <font>
                <color rgb="FFFF0000"/>
              </font>
            </x14:dxf>
          </x14:cfRule>
          <xm:sqref>F29:G29</xm:sqref>
        </x14:conditionalFormatting>
        <x14:conditionalFormatting xmlns:xm="http://schemas.microsoft.com/office/excel/2006/main">
          <x14:cfRule type="expression" priority="55" stopIfTrue="1" id="{19E44BD4-6192-479F-89C2-93D894339F7B}">
            <xm:f xml:space="preserve"> OR($X$29=+テーブル!A2,$X$29=+テーブル!A3,$X$29=+テーブル!A4,$X$29=+テーブル!A9,$X$29=+テーブル!A10,$X$29=+テーブル!A11,$X$29=+テーブル!A12,$X$29=+テーブル!A13,$X$29=+テーブル!A14,$X$29=+テーブル!A16)</xm:f>
            <x14:dxf>
              <font>
                <color rgb="FFFF0000"/>
              </font>
            </x14:dxf>
          </x14:cfRule>
          <xm:sqref>H29:I29</xm:sqref>
        </x14:conditionalFormatting>
        <x14:conditionalFormatting xmlns:xm="http://schemas.microsoft.com/office/excel/2006/main">
          <x14:cfRule type="expression" priority="54" stopIfTrue="1" id="{18154550-3EEE-4DB5-86F8-AAB2C03F6460}">
            <xm:f xml:space="preserve"> OR($X$30=+テーブル!A2,$X$30=+テーブル!A3,$X$30=+テーブル!A9,$X$30=+テーブル!A10,$X$30=+テーブル!A12,$X$30=+テーブル!A13,$X$30=+テーブル!A16)</xm:f>
            <x14:dxf>
              <font>
                <color rgb="FFFF0000"/>
              </font>
            </x14:dxf>
          </x14:cfRule>
          <xm:sqref>D30:E30</xm:sqref>
        </x14:conditionalFormatting>
        <x14:conditionalFormatting xmlns:xm="http://schemas.microsoft.com/office/excel/2006/main">
          <x14:cfRule type="expression" priority="53" stopIfTrue="1" id="{AE5270CD-CB95-4F21-9A08-A57008C3712F}">
            <xm:f xml:space="preserve"> OR($X$30=+テーブル!A2,$X$30=+テーブル!A4,$X$30=+テーブル!A9,$X$30=+テーブル!A11,$X$30=+テーブル!A12,$X$30=+テーブル!A14,$X$30=+テーブル!A16)</xm:f>
            <x14:dxf>
              <font>
                <color rgb="FFFF0000"/>
              </font>
            </x14:dxf>
          </x14:cfRule>
          <xm:sqref>F30:G30</xm:sqref>
        </x14:conditionalFormatting>
        <x14:conditionalFormatting xmlns:xm="http://schemas.microsoft.com/office/excel/2006/main">
          <x14:cfRule type="expression" priority="52" stopIfTrue="1" id="{BDF2F9CD-BB45-49EE-ACE1-199BC7EEC7C1}">
            <xm:f xml:space="preserve"> OR($X$30=+テーブル!A2,$X$30=+テーブル!A3,$X$30=+テーブル!A4,$X$30=+テーブル!A9,$X$30=+テーブル!A10,$X$30=+テーブル!A11,$X$30=+テーブル!A12,$X$30=+テーブル!A13,$X$30=+テーブル!A14,$X$30=+テーブル!A16)</xm:f>
            <x14:dxf>
              <font>
                <color rgb="FFFF0000"/>
              </font>
            </x14:dxf>
          </x14:cfRule>
          <xm:sqref>H30:I30</xm:sqref>
        </x14:conditionalFormatting>
        <x14:conditionalFormatting xmlns:xm="http://schemas.microsoft.com/office/excel/2006/main">
          <x14:cfRule type="expression" priority="51" stopIfTrue="1" id="{94D241C2-FB95-46E1-A125-DC94D829CB02}">
            <xm:f xml:space="preserve"> OR($X$31=+テーブル!A2,$X$31=+テーブル!A3,$X$31=+テーブル!A9,$X$31=+テーブル!A10,$X$31=+テーブル!A12,$X$31=+テーブル!A13,$X$31=+テーブル!A16)</xm:f>
            <x14:dxf>
              <font>
                <color rgb="FFFF0000"/>
              </font>
            </x14:dxf>
          </x14:cfRule>
          <xm:sqref>D31:E31</xm:sqref>
        </x14:conditionalFormatting>
        <x14:conditionalFormatting xmlns:xm="http://schemas.microsoft.com/office/excel/2006/main">
          <x14:cfRule type="expression" priority="50" stopIfTrue="1" id="{E3F78B34-DCE1-427E-9CC1-359CAFB2AC36}">
            <xm:f xml:space="preserve"> OR($X$31=+テーブル!A2,$X$31=+テーブル!A4,$X$31=+テーブル!A9,$X$31=+テーブル!A11,$X$31=+テーブル!A12,$X$31=+テーブル!A14,$X$31=+テーブル!A16)</xm:f>
            <x14:dxf>
              <font>
                <color rgb="FFFF0000"/>
              </font>
            </x14:dxf>
          </x14:cfRule>
          <xm:sqref>F31:G31</xm:sqref>
        </x14:conditionalFormatting>
        <x14:conditionalFormatting xmlns:xm="http://schemas.microsoft.com/office/excel/2006/main">
          <x14:cfRule type="expression" priority="49" stopIfTrue="1" id="{BECB0D0D-8FAF-46FF-A76D-B9E5305F9041}">
            <xm:f xml:space="preserve"> OR($X$31=+テーブル!A2,$X$31=+テーブル!A3,$X$31=+テーブル!A4,$X$31=+テーブル!A9,$X$31=+テーブル!A10,$X$31=+テーブル!A11,$X$31=+テーブル!A12,$X$31=+テーブル!A13,$X$31=+テーブル!A14,$X$31=+テーブル!A16)</xm:f>
            <x14:dxf>
              <font>
                <color rgb="FFFF0000"/>
              </font>
            </x14:dxf>
          </x14:cfRule>
          <xm:sqref>H31:I31</xm:sqref>
        </x14:conditionalFormatting>
        <x14:conditionalFormatting xmlns:xm="http://schemas.microsoft.com/office/excel/2006/main">
          <x14:cfRule type="expression" priority="48" stopIfTrue="1" id="{D731BCC9-8290-49DA-8547-C656A4B44E0C}">
            <xm:f xml:space="preserve"> OR($X$32=+テーブル!A2,$X$32=+テーブル!A3,$X$32=+テーブル!A9,$X$32=+テーブル!A10,$X$32=+テーブル!A12,$X$32=+テーブル!A13,$X$32=+テーブル!A16)</xm:f>
            <x14:dxf>
              <font>
                <color rgb="FFFF0000"/>
              </font>
            </x14:dxf>
          </x14:cfRule>
          <xm:sqref>D32:E32</xm:sqref>
        </x14:conditionalFormatting>
        <x14:conditionalFormatting xmlns:xm="http://schemas.microsoft.com/office/excel/2006/main">
          <x14:cfRule type="expression" priority="47" stopIfTrue="1" id="{F673E08A-7A37-4663-9541-7C9165D0C4CC}">
            <xm:f xml:space="preserve"> OR($X$32=+テーブル!A2,$X$32=+テーブル!A4,$X$32=+テーブル!A9,$X$32=+テーブル!A11,$X$32=+テーブル!A12,$X$32=+テーブル!A14,$X$32=+テーブル!A16)</xm:f>
            <x14:dxf>
              <font>
                <color rgb="FFFF0000"/>
              </font>
            </x14:dxf>
          </x14:cfRule>
          <xm:sqref>F32:G32</xm:sqref>
        </x14:conditionalFormatting>
        <x14:conditionalFormatting xmlns:xm="http://schemas.microsoft.com/office/excel/2006/main">
          <x14:cfRule type="expression" priority="46" stopIfTrue="1" id="{B3C6D554-A0FD-4055-A096-9CA8169DF0B2}">
            <xm:f xml:space="preserve"> OR($X$32=+テーブル!A2,$X$32=+テーブル!A3,$X$32=+テーブル!A4,$X$32=+テーブル!A9,$X$32=+テーブル!A10,$X$32=+テーブル!A11,$X$32=+テーブル!A12,$X$32=+テーブル!A13,$X$32=+テーブル!A14,$X$32=+テーブル!A16)</xm:f>
            <x14:dxf>
              <font>
                <color rgb="FFFF0000"/>
              </font>
            </x14:dxf>
          </x14:cfRule>
          <xm:sqref>H32:I32</xm:sqref>
        </x14:conditionalFormatting>
        <x14:conditionalFormatting xmlns:xm="http://schemas.microsoft.com/office/excel/2006/main">
          <x14:cfRule type="expression" priority="45" stopIfTrue="1" id="{26C2FEE2-0793-427C-8D9D-D5F905B6B7A8}">
            <xm:f xml:space="preserve"> OR($X$33=+テーブル!A2,$X$33=+テーブル!A3,$X$33=+テーブル!A9,$X$33=+テーブル!A10,$X$33=+テーブル!A12,$X$33=+テーブル!A13,$X$33=+テーブル!A16)</xm:f>
            <x14:dxf>
              <font>
                <color rgb="FFFF0000"/>
              </font>
            </x14:dxf>
          </x14:cfRule>
          <xm:sqref>D33:E33</xm:sqref>
        </x14:conditionalFormatting>
        <x14:conditionalFormatting xmlns:xm="http://schemas.microsoft.com/office/excel/2006/main">
          <x14:cfRule type="expression" priority="44" stopIfTrue="1" id="{D5288056-CD11-4947-8299-9F28F65E3168}">
            <xm:f xml:space="preserve"> OR($X$33=+テーブル!A2,$X$33=+テーブル!A4,$X$33=+テーブル!A9,$X$33=+テーブル!A11,$X$33=+テーブル!A12,$X$33=+テーブル!A14,$X$33=+テーブル!A16)</xm:f>
            <x14:dxf>
              <font>
                <color rgb="FFFF0000"/>
              </font>
            </x14:dxf>
          </x14:cfRule>
          <xm:sqref>F33:G33</xm:sqref>
        </x14:conditionalFormatting>
        <x14:conditionalFormatting xmlns:xm="http://schemas.microsoft.com/office/excel/2006/main">
          <x14:cfRule type="expression" priority="43" stopIfTrue="1" id="{682372AB-CEF6-449B-AABE-59F54AB78E99}">
            <xm:f xml:space="preserve"> OR($X$33=+テーブル!A2,$X$33=+テーブル!A3,$X$33=+テーブル!A4,$X$33=+テーブル!A9,$X$33=+テーブル!A10,$X$33=+テーブル!A11,$X$33=+テーブル!A12,$X$33=+テーブル!A13,$X$33=+テーブル!A14,$X$33=+テーブル!A16)</xm:f>
            <x14:dxf>
              <font>
                <color rgb="FFFF0000"/>
              </font>
            </x14:dxf>
          </x14:cfRule>
          <xm:sqref>H33:I33</xm:sqref>
        </x14:conditionalFormatting>
        <x14:conditionalFormatting xmlns:xm="http://schemas.microsoft.com/office/excel/2006/main">
          <x14:cfRule type="expression" priority="42" stopIfTrue="1" id="{CBB1441F-C62E-4BBA-ABCE-660AD145985A}">
            <xm:f xml:space="preserve"> OR($X$34=+テーブル!A2,$X$34=+テーブル!A3,$X$34=+テーブル!A9,$X$34=+テーブル!A10,$X$34=+テーブル!A12,$X$34=+テーブル!A13,$X$34=+テーブル!A16)</xm:f>
            <x14:dxf>
              <font>
                <color rgb="FFFF0000"/>
              </font>
            </x14:dxf>
          </x14:cfRule>
          <xm:sqref>D34:E34</xm:sqref>
        </x14:conditionalFormatting>
        <x14:conditionalFormatting xmlns:xm="http://schemas.microsoft.com/office/excel/2006/main">
          <x14:cfRule type="expression" priority="41" stopIfTrue="1" id="{FE62A40D-EC67-4AD5-9947-4FA325DD5B7A}">
            <xm:f xml:space="preserve"> OR($X$34=+テーブル!A2,$X$34=+テーブル!A4,$X$34=+テーブル!A9,$X$34=+テーブル!A11,$X$34=+テーブル!A12,$X$34=+テーブル!A14,$X$34=+テーブル!A16)</xm:f>
            <x14:dxf>
              <font>
                <color rgb="FFFF0000"/>
              </font>
            </x14:dxf>
          </x14:cfRule>
          <xm:sqref>F34:G34</xm:sqref>
        </x14:conditionalFormatting>
        <x14:conditionalFormatting xmlns:xm="http://schemas.microsoft.com/office/excel/2006/main">
          <x14:cfRule type="expression" priority="40" stopIfTrue="1" id="{482EFC46-BD32-40E9-AF98-481011BBEC58}">
            <xm:f xml:space="preserve"> OR($X$34=+テーブル!A2,$X$34=+テーブル!A3,$X$34=+テーブル!A4,$X$34=+テーブル!A9,$X$34=+テーブル!A10,$X$34=+テーブル!A11,$X$34=+テーブル!A12,$X$34=+テーブル!A13,$X$34=+テーブル!A14,$X$34=+テーブル!A16)</xm:f>
            <x14:dxf>
              <font>
                <color rgb="FFFF0000"/>
              </font>
            </x14:dxf>
          </x14:cfRule>
          <xm:sqref>H34:I34</xm:sqref>
        </x14:conditionalFormatting>
        <x14:conditionalFormatting xmlns:xm="http://schemas.microsoft.com/office/excel/2006/main">
          <x14:cfRule type="expression" priority="39" stopIfTrue="1" id="{2D3D4957-C6A0-44BE-80C4-382D4F7CBC9D}">
            <xm:f xml:space="preserve"> OR($X$35=+テーブル!A2,$X$35=+テーブル!A3,$X$35=+テーブル!A9,$X$35=+テーブル!A10,$X$35=+テーブル!A12,$X$35=+テーブル!A13,$X$35=+テーブル!A16)</xm:f>
            <x14:dxf>
              <font>
                <color rgb="FFFF0000"/>
              </font>
            </x14:dxf>
          </x14:cfRule>
          <xm:sqref>D35:E35</xm:sqref>
        </x14:conditionalFormatting>
        <x14:conditionalFormatting xmlns:xm="http://schemas.microsoft.com/office/excel/2006/main">
          <x14:cfRule type="expression" priority="38" stopIfTrue="1" id="{BF2CDCE7-3878-4122-929E-82DDC9100C65}">
            <xm:f xml:space="preserve"> OR($X$35=+テーブル!A2,$X$35=+テーブル!A4,$X$35=+テーブル!A9,$X$35=+テーブル!A11,$X$35=+テーブル!A12,$X$35=+テーブル!A14,$X$35=+テーブル!A16)</xm:f>
            <x14:dxf>
              <font>
                <color rgb="FFFF0000"/>
              </font>
            </x14:dxf>
          </x14:cfRule>
          <xm:sqref>F35:G35</xm:sqref>
        </x14:conditionalFormatting>
        <x14:conditionalFormatting xmlns:xm="http://schemas.microsoft.com/office/excel/2006/main">
          <x14:cfRule type="expression" priority="37" stopIfTrue="1" id="{EAC4B8BF-DDE6-4499-8BC0-F788C7BDEB11}">
            <xm:f xml:space="preserve"> OR($X$35=+テーブル!A2,$X$35=+テーブル!A3,$X$35=+テーブル!A4,$X$35=+テーブル!A9,$X$35=+テーブル!A10,$X$35=+テーブル!A11,$X$35=+テーブル!A12,$X$35=+テーブル!A13,$X$35=+テーブル!A14,$X$35=+テーブル!A16)</xm:f>
            <x14:dxf>
              <font>
                <color rgb="FFFF0000"/>
              </font>
            </x14:dxf>
          </x14:cfRule>
          <xm:sqref>H35:I35</xm:sqref>
        </x14:conditionalFormatting>
        <x14:conditionalFormatting xmlns:xm="http://schemas.microsoft.com/office/excel/2006/main">
          <x14:cfRule type="expression" priority="36" stopIfTrue="1" id="{421B85E8-4C2C-47F7-97A9-BFE33CFE949E}">
            <xm:f xml:space="preserve"> OR($X$36=+テーブル!A2,$X$36=+テーブル!A3,$X$36=+テーブル!A9,$X$36=+テーブル!A10,$X$36=+テーブル!A12,$X$36=+テーブル!A13,$X$36=+テーブル!A16)</xm:f>
            <x14:dxf>
              <font>
                <color rgb="FFFF0000"/>
              </font>
            </x14:dxf>
          </x14:cfRule>
          <xm:sqref>D36:E36</xm:sqref>
        </x14:conditionalFormatting>
        <x14:conditionalFormatting xmlns:xm="http://schemas.microsoft.com/office/excel/2006/main">
          <x14:cfRule type="expression" priority="35" stopIfTrue="1" id="{BE6F7C6C-4991-4119-9CC6-8226613AFE88}">
            <xm:f xml:space="preserve"> OR($X$36=+テーブル!A2,$X$36=+テーブル!A4,$X$36=+テーブル!A9,$X$36=+テーブル!A11,$X$36=+テーブル!A12,$X$36=+テーブル!A14,$X$36=+テーブル!A16)</xm:f>
            <x14:dxf>
              <font>
                <color rgb="FFFF0000"/>
              </font>
            </x14:dxf>
          </x14:cfRule>
          <xm:sqref>F36:G36</xm:sqref>
        </x14:conditionalFormatting>
        <x14:conditionalFormatting xmlns:xm="http://schemas.microsoft.com/office/excel/2006/main">
          <x14:cfRule type="expression" priority="34" stopIfTrue="1" id="{F436A691-DD17-4E58-A91C-2C0230BC72BA}">
            <xm:f xml:space="preserve"> OR($X$36=+テーブル!A2,$X$36=+テーブル!A3,$X$36=+テーブル!A4,$X$36=+テーブル!A9,$X$36=+テーブル!A10,$X$36=+テーブル!A11,$X$36=+テーブル!A12,$X$36=+テーブル!A13,$X$36=+テーブル!A14,$X$36=+テーブル!A16)</xm:f>
            <x14:dxf>
              <font>
                <color rgb="FFFF0000"/>
              </font>
            </x14:dxf>
          </x14:cfRule>
          <xm:sqref>H36:I36</xm:sqref>
        </x14:conditionalFormatting>
        <x14:conditionalFormatting xmlns:xm="http://schemas.microsoft.com/office/excel/2006/main">
          <x14:cfRule type="expression" priority="33" stopIfTrue="1" id="{570ADDDC-4717-4A68-9295-C1619C19CF36}">
            <xm:f xml:space="preserve"> OR($X$37=+テーブル!A2,$X$37=+テーブル!A3,$X$37=+テーブル!A9,$X$37=+テーブル!A10,$X$37=+テーブル!A12,$X$37=+テーブル!A13,$X$37=+テーブル!A16)</xm:f>
            <x14:dxf>
              <font>
                <color rgb="FFFF0000"/>
              </font>
            </x14:dxf>
          </x14:cfRule>
          <xm:sqref>D37:E37</xm:sqref>
        </x14:conditionalFormatting>
        <x14:conditionalFormatting xmlns:xm="http://schemas.microsoft.com/office/excel/2006/main">
          <x14:cfRule type="expression" priority="32" stopIfTrue="1" id="{42A60A65-8273-41A0-85AD-CCB4BD70E3B6}">
            <xm:f xml:space="preserve"> OR($X$37=+テーブル!A2,$X$37=+テーブル!A4,$X$37=+テーブル!A9,$X$37=+テーブル!A11,$X$37=+テーブル!A12,$X$37=+テーブル!A14,$X$37=+テーブル!A16)</xm:f>
            <x14:dxf>
              <font>
                <color rgb="FFFF0000"/>
              </font>
            </x14:dxf>
          </x14:cfRule>
          <xm:sqref>F37:G37</xm:sqref>
        </x14:conditionalFormatting>
        <x14:conditionalFormatting xmlns:xm="http://schemas.microsoft.com/office/excel/2006/main">
          <x14:cfRule type="expression" priority="31" stopIfTrue="1" id="{7796D7A4-04CC-4B42-87C9-62FCFA871A4D}">
            <xm:f xml:space="preserve"> OR($X$37=+テーブル!A2,$X$37=+テーブル!A3,$X$37=+テーブル!A4,$X$37=+テーブル!A9,$X$37=+テーブル!A10,$X$37=+テーブル!A11,$X$37=+テーブル!A12,$X$37=+テーブル!A13,$X$37=+テーブル!A14,$X$37=+テーブル!A16)</xm:f>
            <x14:dxf>
              <font>
                <color rgb="FFFF0000"/>
              </font>
            </x14:dxf>
          </x14:cfRule>
          <xm:sqref>H37:I37</xm:sqref>
        </x14:conditionalFormatting>
        <x14:conditionalFormatting xmlns:xm="http://schemas.microsoft.com/office/excel/2006/main">
          <x14:cfRule type="expression" priority="30" stopIfTrue="1" id="{F645E275-567F-40B0-A669-4B8E2733E556}">
            <xm:f xml:space="preserve"> OR($X$38=+テーブル!A2,$X$38=+テーブル!A3,$X$38=+テーブル!A9,$X$38=+テーブル!A10,$X$38=+テーブル!A12,$X$38=+テーブル!A13,$X$38=+テーブル!A16)</xm:f>
            <x14:dxf>
              <font>
                <color rgb="FFFF0000"/>
              </font>
            </x14:dxf>
          </x14:cfRule>
          <xm:sqref>D38:E38</xm:sqref>
        </x14:conditionalFormatting>
        <x14:conditionalFormatting xmlns:xm="http://schemas.microsoft.com/office/excel/2006/main">
          <x14:cfRule type="expression" priority="29" stopIfTrue="1" id="{2D07C0E4-727F-4C80-A5BE-15188424A68A}">
            <xm:f xml:space="preserve"> OR($X$38=+テーブル!A2,$X$38=+テーブル!A4,$X$38=+テーブル!A9,$X$38=+テーブル!A11,$X$38=+テーブル!A12,$X$38=+テーブル!A14,$X$38=+テーブル!A16)</xm:f>
            <x14:dxf>
              <font>
                <color rgb="FFFF0000"/>
              </font>
            </x14:dxf>
          </x14:cfRule>
          <xm:sqref>F38:G38</xm:sqref>
        </x14:conditionalFormatting>
        <x14:conditionalFormatting xmlns:xm="http://schemas.microsoft.com/office/excel/2006/main">
          <x14:cfRule type="expression" priority="28" stopIfTrue="1" id="{D593B446-73A0-48A1-8329-F5419A80596E}">
            <xm:f xml:space="preserve"> OR($X$38=+テーブル!A2,$X$38=+テーブル!A3,$X$38=+テーブル!A4,$X$38=+テーブル!A9,$X$38=+テーブル!A10,$X$38=+テーブル!A11,$X$38=+テーブル!A12,$X$38=+テーブル!A13,$X$38=+テーブル!A14,$X$38=+テーブル!A16)</xm:f>
            <x14:dxf>
              <font>
                <color rgb="FFFF0000"/>
              </font>
            </x14:dxf>
          </x14:cfRule>
          <xm:sqref>H38:I38</xm:sqref>
        </x14:conditionalFormatting>
        <x14:conditionalFormatting xmlns:xm="http://schemas.microsoft.com/office/excel/2006/main">
          <x14:cfRule type="expression" priority="27" stopIfTrue="1" id="{F8D7495C-25B4-4D08-A226-72E3240232C6}">
            <xm:f xml:space="preserve"> OR($X$39=+テーブル!A2,$X$39=+テーブル!A3,$X$39=+テーブル!A9,$X$39=+テーブル!A10,$X$39=+テーブル!A12,$X$39=+テーブル!A13,$X$39=+テーブル!A16)</xm:f>
            <x14:dxf>
              <font>
                <color rgb="FFFF0000"/>
              </font>
            </x14:dxf>
          </x14:cfRule>
          <xm:sqref>D39:E39</xm:sqref>
        </x14:conditionalFormatting>
        <x14:conditionalFormatting xmlns:xm="http://schemas.microsoft.com/office/excel/2006/main">
          <x14:cfRule type="expression" priority="26" stopIfTrue="1" id="{E0E0A066-A5F0-437E-A1E9-38A6F52B5054}">
            <xm:f xml:space="preserve"> OR($X$39=+テーブル!A2,$X$39=+テーブル!A4,$X$39=+テーブル!A9,$X$39=+テーブル!A11,$X$39=+テーブル!A12,$X$39=+テーブル!A14,$X$39=+テーブル!A16)</xm:f>
            <x14:dxf>
              <font>
                <color rgb="FFFF0000"/>
              </font>
            </x14:dxf>
          </x14:cfRule>
          <xm:sqref>F39:G39</xm:sqref>
        </x14:conditionalFormatting>
        <x14:conditionalFormatting xmlns:xm="http://schemas.microsoft.com/office/excel/2006/main">
          <x14:cfRule type="expression" priority="25" stopIfTrue="1" id="{FDC6C6B3-CDF6-4E1D-92AC-9C1FA32A02F3}">
            <xm:f xml:space="preserve"> OR($X$39=+テーブル!A2,$X$39=+テーブル!A3,$X$39=+テーブル!A4,$X$39=+テーブル!A9,$X$39=+テーブル!A10,$X$39=+テーブル!A11,$X$39=+テーブル!A12,$X$39=+テーブル!A13,$X$39=+テーブル!A14,$X$39=+テーブル!A16)</xm:f>
            <x14:dxf>
              <font>
                <color rgb="FFFF0000"/>
              </font>
            </x14:dxf>
          </x14:cfRule>
          <xm:sqref>H39:I39</xm:sqref>
        </x14:conditionalFormatting>
        <x14:conditionalFormatting xmlns:xm="http://schemas.microsoft.com/office/excel/2006/main">
          <x14:cfRule type="expression" priority="24" stopIfTrue="1" id="{987754A5-678A-4D90-A792-DE7B7854F9DE}">
            <xm:f xml:space="preserve"> OR($X$40=+テーブル!A2,$X$40=+テーブル!A3,$X$40=+テーブル!A9,$X$40=+テーブル!A10,$X$40=+テーブル!A12,$X$40=+テーブル!A13,$X$40=+テーブル!A16)</xm:f>
            <x14:dxf>
              <font>
                <color rgb="FFFF0000"/>
              </font>
            </x14:dxf>
          </x14:cfRule>
          <xm:sqref>D40:E40</xm:sqref>
        </x14:conditionalFormatting>
        <x14:conditionalFormatting xmlns:xm="http://schemas.microsoft.com/office/excel/2006/main">
          <x14:cfRule type="expression" priority="23" stopIfTrue="1" id="{236DB4B5-69A8-4CC7-BCE3-89B0CDA8AEFF}">
            <xm:f xml:space="preserve"> OR($X$40=+テーブル!A2,$X$40=+テーブル!A4,$X$40=+テーブル!A9,$X$40=+テーブル!A11,$X$40=+テーブル!A12,$X$40=+テーブル!A14,$X$40=+テーブル!A16)</xm:f>
            <x14:dxf>
              <font>
                <color rgb="FFFF0000"/>
              </font>
            </x14:dxf>
          </x14:cfRule>
          <xm:sqref>F40:G40</xm:sqref>
        </x14:conditionalFormatting>
        <x14:conditionalFormatting xmlns:xm="http://schemas.microsoft.com/office/excel/2006/main">
          <x14:cfRule type="expression" priority="22" stopIfTrue="1" id="{65B8AEC8-1587-470A-AAA2-6D07D682D1BA}">
            <xm:f xml:space="preserve"> OR($X$40=+テーブル!A2,$X$40=+テーブル!A3,$X$40=+テーブル!A4,$X$40=+テーブル!A9,$X$40=+テーブル!A10,$X$40=+テーブル!A11,$X$40=+テーブル!A12,$X$40=+テーブル!A13,$X$40=+テーブル!A14,$X$40=+テーブル!A16)</xm:f>
            <x14:dxf>
              <font>
                <color rgb="FFFF0000"/>
              </font>
            </x14:dxf>
          </x14:cfRule>
          <xm:sqref>H40:I40</xm:sqref>
        </x14:conditionalFormatting>
        <x14:conditionalFormatting xmlns:xm="http://schemas.microsoft.com/office/excel/2006/main">
          <x14:cfRule type="expression" priority="21" stopIfTrue="1" id="{37F592C4-D2DD-4428-A34D-11D6C32C6A88}">
            <xm:f xml:space="preserve"> OR($X$41=+テーブル!A2,$X$41=+テーブル!A3,$X$41=+テーブル!A9,$X$41=+テーブル!A10,$X$41=+テーブル!A12,$X$41=+テーブル!A13,$X$41=+テーブル!A16)</xm:f>
            <x14:dxf>
              <font>
                <color rgb="FFFF0000"/>
              </font>
            </x14:dxf>
          </x14:cfRule>
          <xm:sqref>D41:E41</xm:sqref>
        </x14:conditionalFormatting>
        <x14:conditionalFormatting xmlns:xm="http://schemas.microsoft.com/office/excel/2006/main">
          <x14:cfRule type="expression" priority="20" stopIfTrue="1" id="{6B4AD2A0-6565-4F12-B8D9-BD341BDAFEDB}">
            <xm:f xml:space="preserve"> OR($X$41=+テーブル!A2,$X$41=+テーブル!A4,$X$41=+テーブル!A9,$X$41=+テーブル!A11,$X$41=+テーブル!A12,$X$41=+テーブル!A14,$X$41=+テーブル!A16)</xm:f>
            <x14:dxf>
              <font>
                <color rgb="FFFF0000"/>
              </font>
            </x14:dxf>
          </x14:cfRule>
          <xm:sqref>F41:G41</xm:sqref>
        </x14:conditionalFormatting>
        <x14:conditionalFormatting xmlns:xm="http://schemas.microsoft.com/office/excel/2006/main">
          <x14:cfRule type="expression" priority="19" stopIfTrue="1" id="{77AE9810-00E0-4D49-9352-61AAA09C2338}">
            <xm:f xml:space="preserve"> OR($X$41=+テーブル!A2,$X$41=+テーブル!A3,$X$41=+テーブル!A4,$X$41=+テーブル!A9,$X$41=+テーブル!A10,$X$41=+テーブル!A11,$X$41=+テーブル!A12,$X$41=+テーブル!A13,$X$41=+テーブル!A14,$X$41=+テーブル!A16)</xm:f>
            <x14:dxf>
              <font>
                <color rgb="FFFF0000"/>
              </font>
            </x14:dxf>
          </x14:cfRule>
          <xm:sqref>H41:I41</xm:sqref>
        </x14:conditionalFormatting>
        <x14:conditionalFormatting xmlns:xm="http://schemas.microsoft.com/office/excel/2006/main">
          <x14:cfRule type="expression" priority="18" stopIfTrue="1" id="{1D7525D9-8950-4BC2-900A-86F9A03AF420}">
            <xm:f xml:space="preserve"> OR($X$42=+テーブル!A2,$X$42=+テーブル!A3,$X$42=+テーブル!A9,$X$42=+テーブル!A10,$X$42=+テーブル!A12,$X$42=+テーブル!A13,$X$42=+テーブル!A16)</xm:f>
            <x14:dxf>
              <font>
                <color rgb="FFFF0000"/>
              </font>
            </x14:dxf>
          </x14:cfRule>
          <xm:sqref>D42:E42</xm:sqref>
        </x14:conditionalFormatting>
        <x14:conditionalFormatting xmlns:xm="http://schemas.microsoft.com/office/excel/2006/main">
          <x14:cfRule type="expression" priority="17" stopIfTrue="1" id="{412A6625-D13B-47E8-A3DD-55E0F45DA3BD}">
            <xm:f xml:space="preserve"> OR($X$42=+テーブル!A2,$X$42=+テーブル!A4,$X$42=+テーブル!A9,$X$42=+テーブル!A11,$X$42=+テーブル!A12,$X$42=+テーブル!A14,$X$42=+テーブル!A16)</xm:f>
            <x14:dxf>
              <font>
                <color rgb="FFFF0000"/>
              </font>
            </x14:dxf>
          </x14:cfRule>
          <xm:sqref>F42:G42</xm:sqref>
        </x14:conditionalFormatting>
        <x14:conditionalFormatting xmlns:xm="http://schemas.microsoft.com/office/excel/2006/main">
          <x14:cfRule type="expression" priority="16" stopIfTrue="1" id="{9B2D7C55-4305-4292-97DB-7EB8EDCBD84B}">
            <xm:f xml:space="preserve"> OR($X$42=+テーブル!A2,$X$42=+テーブル!A3,$X$42=+テーブル!A4,$X$42=+テーブル!A9,$X$42=+テーブル!A10,$X$42=+テーブル!A11,$X$42=+テーブル!A12,$X$42=+テーブル!A13,$X$42=+テーブル!A14,$X$42=+テーブル!A16)</xm:f>
            <x14:dxf>
              <font>
                <color rgb="FFFF0000"/>
              </font>
            </x14:dxf>
          </x14:cfRule>
          <xm:sqref>H42:I42</xm:sqref>
        </x14:conditionalFormatting>
        <x14:conditionalFormatting xmlns:xm="http://schemas.microsoft.com/office/excel/2006/main">
          <x14:cfRule type="expression" priority="15" stopIfTrue="1" id="{29CFE567-E4B0-488B-9AF6-2178B9580709}">
            <xm:f xml:space="preserve"> OR($X$43=+テーブル!A2,$X$43=+テーブル!A3,$X$43=+テーブル!A9,$X$43=+テーブル!A10,$X$43=+テーブル!A12,$X$43=+テーブル!A13,$X$43=+テーブル!A16)</xm:f>
            <x14:dxf>
              <font>
                <color rgb="FFFF0000"/>
              </font>
            </x14:dxf>
          </x14:cfRule>
          <xm:sqref>D43:E43</xm:sqref>
        </x14:conditionalFormatting>
        <x14:conditionalFormatting xmlns:xm="http://schemas.microsoft.com/office/excel/2006/main">
          <x14:cfRule type="expression" priority="14" stopIfTrue="1" id="{C093EFAA-4243-44BD-9569-94C8D80AE036}">
            <xm:f xml:space="preserve"> OR($X$43=+テーブル!A2,$X$43=+テーブル!A4,$X$43=+テーブル!A9,$X$43=+テーブル!A11,$X$43=+テーブル!A12,$X$43=+テーブル!A14,$X$43=+テーブル!A16)</xm:f>
            <x14:dxf>
              <font>
                <color rgb="FFFF0000"/>
              </font>
            </x14:dxf>
          </x14:cfRule>
          <xm:sqref>F43:G43</xm:sqref>
        </x14:conditionalFormatting>
        <x14:conditionalFormatting xmlns:xm="http://schemas.microsoft.com/office/excel/2006/main">
          <x14:cfRule type="expression" priority="13" stopIfTrue="1" id="{3EDFF36A-7830-4B97-A0EF-0C812237C5E8}">
            <xm:f xml:space="preserve"> OR($X$43=+テーブル!A2,$X$43=+テーブル!A3,$X$43=+テーブル!A4,$X$43=+テーブル!A9,$X$43=+テーブル!A10,$X$43=+テーブル!A11,$X$43=+テーブル!A12,$X$43=+テーブル!A13,$X$43=+テーブル!A14,$X$43=+テーブル!A16)</xm:f>
            <x14:dxf>
              <font>
                <color rgb="FFFF0000"/>
              </font>
            </x14:dxf>
          </x14:cfRule>
          <xm:sqref>H43:I43</xm:sqref>
        </x14:conditionalFormatting>
        <x14:conditionalFormatting xmlns:xm="http://schemas.microsoft.com/office/excel/2006/main">
          <x14:cfRule type="expression" priority="12" stopIfTrue="1" id="{EB2CC861-FF72-473D-99B3-BAAA18DE6F4E}">
            <xm:f xml:space="preserve"> OR($X$44=+テーブル!A2,$X$44=+テーブル!A3,$X$44=+テーブル!A9,$X$44=+テーブル!A10,$X$44=+テーブル!A12,$X$44=+テーブル!A13,$X$44=+テーブル!A16)</xm:f>
            <x14:dxf>
              <font>
                <color rgb="FFFF0000"/>
              </font>
            </x14:dxf>
          </x14:cfRule>
          <xm:sqref>D44:E44</xm:sqref>
        </x14:conditionalFormatting>
        <x14:conditionalFormatting xmlns:xm="http://schemas.microsoft.com/office/excel/2006/main">
          <x14:cfRule type="expression" priority="11" stopIfTrue="1" id="{74CDF310-1906-4BB7-9C60-CB54BA5C16A0}">
            <xm:f xml:space="preserve"> OR($X$44=+テーブル!A2,$X$44=+テーブル!A4,$X$44=+テーブル!A9,$X$44=+テーブル!A11,$X$44=+テーブル!A12,$X$44=+テーブル!A14,$X$44=+テーブル!A16)</xm:f>
            <x14:dxf>
              <font>
                <color rgb="FFFF0000"/>
              </font>
            </x14:dxf>
          </x14:cfRule>
          <xm:sqref>F44:G44</xm:sqref>
        </x14:conditionalFormatting>
        <x14:conditionalFormatting xmlns:xm="http://schemas.microsoft.com/office/excel/2006/main">
          <x14:cfRule type="expression" priority="10" stopIfTrue="1" id="{66A40896-D0FE-4764-83B1-F074A4D6A909}">
            <xm:f xml:space="preserve"> OR($X$44=+テーブル!A2,$X$44=+テーブル!A3,$X$44=+テーブル!A4,$X$44=+テーブル!A9,$X$44=+テーブル!A10,$X$44=+テーブル!A11,$X$44=+テーブル!A12,$X$44=+テーブル!A13,$X$44=+テーブル!A14,$X$44=+テーブル!A16)</xm:f>
            <x14:dxf>
              <font>
                <color rgb="FFFF0000"/>
              </font>
            </x14:dxf>
          </x14:cfRule>
          <xm:sqref>H44:I44</xm:sqref>
        </x14:conditionalFormatting>
        <x14:conditionalFormatting xmlns:xm="http://schemas.microsoft.com/office/excel/2006/main">
          <x14:cfRule type="expression" priority="9" stopIfTrue="1" id="{118FC602-1AD3-4CB1-9D56-76DC2A84589C}">
            <xm:f xml:space="preserve"> OR($X$45=+テーブル!A2,$X$45=+テーブル!A3,$X$45=+テーブル!A9,$X$45=+テーブル!A10,$X$45=+テーブル!A12,$X$45=+テーブル!A13,$X$45=+テーブル!A16)</xm:f>
            <x14:dxf>
              <font>
                <color rgb="FFFF0000"/>
              </font>
            </x14:dxf>
          </x14:cfRule>
          <xm:sqref>D45:E45</xm:sqref>
        </x14:conditionalFormatting>
        <x14:conditionalFormatting xmlns:xm="http://schemas.microsoft.com/office/excel/2006/main">
          <x14:cfRule type="expression" priority="8" stopIfTrue="1" id="{61485589-1309-44F5-A861-EF3DCFBBC5AE}">
            <xm:f xml:space="preserve"> OR($X$45=+テーブル!A2,$X$45=+テーブル!A4,$X$45=+テーブル!A9,$X$45=+テーブル!A11,$X$45=+テーブル!A12,$X$45=+テーブル!A14,$X$45=+テーブル!A16)</xm:f>
            <x14:dxf>
              <font>
                <color rgb="FFFF0000"/>
              </font>
            </x14:dxf>
          </x14:cfRule>
          <xm:sqref>F45:G45</xm:sqref>
        </x14:conditionalFormatting>
        <x14:conditionalFormatting xmlns:xm="http://schemas.microsoft.com/office/excel/2006/main">
          <x14:cfRule type="expression" priority="7" stopIfTrue="1" id="{605D628B-B153-4D10-9456-D39ACAD2BCF3}">
            <xm:f xml:space="preserve"> OR($X$45=+テーブル!A2,$X$45=+テーブル!A3,$X$45=+テーブル!A4,$X$45=+テーブル!A9,$X$45=+テーブル!A10,$X$45=+テーブル!A11,$X$45=+テーブル!A12,$X$45=+テーブル!A13,$X$45=+テーブル!A14,$X$45=+テーブル!A16)</xm:f>
            <x14:dxf>
              <font>
                <color rgb="FFFF0000"/>
              </font>
            </x14:dxf>
          </x14:cfRule>
          <xm:sqref>H45:I45</xm:sqref>
        </x14:conditionalFormatting>
        <x14:conditionalFormatting xmlns:xm="http://schemas.microsoft.com/office/excel/2006/main">
          <x14:cfRule type="expression" priority="6" stopIfTrue="1" id="{3B1AB298-C5EF-448D-AF63-6F154BA8F998}">
            <xm:f xml:space="preserve"> OR($X$46=+テーブル!A2,$X$46=+テーブル!A3,$X$46=+テーブル!A9,$X$46=+テーブル!A10,$X$46=+テーブル!A12,$X$46=+テーブル!A13,$X$46=+テーブル!A16)</xm:f>
            <x14:dxf>
              <font>
                <color rgb="FFFF0000"/>
              </font>
            </x14:dxf>
          </x14:cfRule>
          <xm:sqref>D46:E46</xm:sqref>
        </x14:conditionalFormatting>
        <x14:conditionalFormatting xmlns:xm="http://schemas.microsoft.com/office/excel/2006/main">
          <x14:cfRule type="expression" priority="5" stopIfTrue="1" id="{5A647A45-C4C7-4573-A7F3-ABB591395C0B}">
            <xm:f xml:space="preserve"> OR($X$46=+テーブル!A2,$X$46=+テーブル!A4,$X$46=+テーブル!A9,$X$46=+テーブル!A11,$X$46=+テーブル!A12,$X$46=+テーブル!A14,$X$46=+テーブル!A16)</xm:f>
            <x14:dxf>
              <font>
                <color rgb="FFFF0000"/>
              </font>
            </x14:dxf>
          </x14:cfRule>
          <xm:sqref>F46:G46</xm:sqref>
        </x14:conditionalFormatting>
        <x14:conditionalFormatting xmlns:xm="http://schemas.microsoft.com/office/excel/2006/main">
          <x14:cfRule type="expression" priority="4" stopIfTrue="1" id="{64F2B2FC-62BC-479F-BE09-214D381F86F0}">
            <xm:f xml:space="preserve"> OR($X$46=+テーブル!A2,$X$46=+テーブル!A3,$X$46=+テーブル!A4,$X$46=+テーブル!A9,$X$46=+テーブル!A10,$X$46=+テーブル!A11,$X$46=+テーブル!A12,$X$46=+テーブル!A13,$X$46=+テーブル!A14,$X$46=+テーブル!A16)</xm:f>
            <x14:dxf>
              <font>
                <color rgb="FFFF0000"/>
              </font>
            </x14:dxf>
          </x14:cfRule>
          <xm:sqref>H46:I46</xm:sqref>
        </x14:conditionalFormatting>
        <x14:conditionalFormatting xmlns:xm="http://schemas.microsoft.com/office/excel/2006/main">
          <x14:cfRule type="expression" priority="3" stopIfTrue="1" id="{B190CC20-E3B9-440C-96A0-B452AD7180DF}">
            <xm:f xml:space="preserve"> OR($X$47=+テーブル!A2,$X$47=+テーブル!A3,$X$47=+テーブル!A9,$X$47=+テーブル!A10,$X$47=+テーブル!A12,$X$47=+テーブル!A13,$X$47=+テーブル!A16)</xm:f>
            <x14:dxf>
              <font>
                <color rgb="FFFF0000"/>
              </font>
            </x14:dxf>
          </x14:cfRule>
          <xm:sqref>D47:E47</xm:sqref>
        </x14:conditionalFormatting>
        <x14:conditionalFormatting xmlns:xm="http://schemas.microsoft.com/office/excel/2006/main">
          <x14:cfRule type="expression" priority="2" stopIfTrue="1" id="{08F38C18-5BA9-479C-A204-417D20BB678F}">
            <xm:f xml:space="preserve"> OR($X$47=+テーブル!A2,$X$47=+テーブル!A4,$X$47=+テーブル!A9,$X$47=+テーブル!A11,$X$47=+テーブル!A12,$X$47=+テーブル!A14,$X$47=+テーブル!A16)</xm:f>
            <x14:dxf>
              <font>
                <color rgb="FFFF0000"/>
              </font>
            </x14:dxf>
          </x14:cfRule>
          <xm:sqref>F47:G47</xm:sqref>
        </x14:conditionalFormatting>
        <x14:conditionalFormatting xmlns:xm="http://schemas.microsoft.com/office/excel/2006/main">
          <x14:cfRule type="expression" priority="1" stopIfTrue="1" id="{BE20ACC5-580F-4A56-91D8-8013FC483101}">
            <xm:f xml:space="preserve"> OR($X$47=+テーブル!A2,$X$47=+テーブル!A3,$X$47=+テーブル!A4,$X$47=+テーブル!A9,$X$47=+テーブル!A10,$X$47=+テーブル!A11,$X$47=+テーブル!A12,$X$47=+テーブル!A13,$X$47=+テーブル!A14,$X$47=+テーブル!A16)</xm:f>
            <x14:dxf>
              <font>
                <color rgb="FFFF0000"/>
              </font>
            </x14:dxf>
          </x14:cfRule>
          <xm:sqref>H47:I47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33DC13D-15EC-4C20-BDFC-D4FDA8E2457C}">
          <x14:formula1>
            <xm:f>テーブル!$Q:$Q</xm:f>
          </x14:formula1>
          <xm:sqref>D62:I64</xm:sqref>
        </x14:dataValidation>
        <x14:dataValidation type="list" allowBlank="1" showInputMessage="1" showErrorMessage="1" xr:uid="{9916F1EA-410C-47A1-85F7-67548A6366CD}">
          <x14:formula1>
            <xm:f>テーブル!$P:$P</xm:f>
          </x14:formula1>
          <xm:sqref>D61:I61</xm:sqref>
        </x14:dataValidation>
        <x14:dataValidation type="list" allowBlank="1" showInputMessage="1" showErrorMessage="1" xr:uid="{6404BF1B-22DE-4A27-8836-CF381CC48820}">
          <x14:formula1>
            <xm:f>テーブル!$B:$B</xm:f>
          </x14:formula1>
          <xm:sqref>P57:W57</xm:sqref>
        </x14:dataValidation>
        <x14:dataValidation type="list" allowBlank="1" showInputMessage="1" showErrorMessage="1" xr:uid="{5958E028-FC1A-4D53-AA7A-0F42B3950C33}">
          <x14:formula1>
            <xm:f>テーブル!$A:$A</xm:f>
          </x14:formula1>
          <xm:sqref>X17:Z47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C91C0-437D-4101-95E9-A99F202ECDD3}">
  <sheetPr codeName="Sheet34">
    <pageSetUpPr fitToPage="1"/>
  </sheetPr>
  <dimension ref="A1:AH83"/>
  <sheetViews>
    <sheetView view="pageBreakPreview" zoomScaleNormal="130" zoomScaleSheetLayoutView="100" workbookViewId="0">
      <pane ySplit="16" topLeftCell="A17" activePane="bottomLeft" state="frozen"/>
      <selection activeCell="AC46" sqref="AC46"/>
      <selection pane="bottomLeft" activeCell="AC46" sqref="AC46"/>
    </sheetView>
  </sheetViews>
  <sheetFormatPr defaultRowHeight="13" x14ac:dyDescent="0.2"/>
  <cols>
    <col min="1" max="1" width="5.36328125" customWidth="1"/>
    <col min="2" max="7" width="3.6328125" customWidth="1"/>
    <col min="8" max="8" width="4.36328125" customWidth="1"/>
    <col min="9" max="12" width="3.6328125" customWidth="1"/>
    <col min="13" max="15" width="3.90625" customWidth="1"/>
    <col min="16" max="26" width="3.6328125" customWidth="1"/>
    <col min="27" max="28" width="10.453125" bestFit="1" customWidth="1"/>
    <col min="257" max="282" width="3.6328125" customWidth="1"/>
    <col min="513" max="538" width="3.6328125" customWidth="1"/>
    <col min="769" max="794" width="3.6328125" customWidth="1"/>
    <col min="1025" max="1050" width="3.6328125" customWidth="1"/>
    <col min="1281" max="1306" width="3.6328125" customWidth="1"/>
    <col min="1537" max="1562" width="3.6328125" customWidth="1"/>
    <col min="1793" max="1818" width="3.6328125" customWidth="1"/>
    <col min="2049" max="2074" width="3.6328125" customWidth="1"/>
    <col min="2305" max="2330" width="3.6328125" customWidth="1"/>
    <col min="2561" max="2586" width="3.6328125" customWidth="1"/>
    <col min="2817" max="2842" width="3.6328125" customWidth="1"/>
    <col min="3073" max="3098" width="3.6328125" customWidth="1"/>
    <col min="3329" max="3354" width="3.6328125" customWidth="1"/>
    <col min="3585" max="3610" width="3.6328125" customWidth="1"/>
    <col min="3841" max="3866" width="3.6328125" customWidth="1"/>
    <col min="4097" max="4122" width="3.6328125" customWidth="1"/>
    <col min="4353" max="4378" width="3.6328125" customWidth="1"/>
    <col min="4609" max="4634" width="3.6328125" customWidth="1"/>
    <col min="4865" max="4890" width="3.6328125" customWidth="1"/>
    <col min="5121" max="5146" width="3.6328125" customWidth="1"/>
    <col min="5377" max="5402" width="3.6328125" customWidth="1"/>
    <col min="5633" max="5658" width="3.6328125" customWidth="1"/>
    <col min="5889" max="5914" width="3.6328125" customWidth="1"/>
    <col min="6145" max="6170" width="3.6328125" customWidth="1"/>
    <col min="6401" max="6426" width="3.6328125" customWidth="1"/>
    <col min="6657" max="6682" width="3.6328125" customWidth="1"/>
    <col min="6913" max="6938" width="3.6328125" customWidth="1"/>
    <col min="7169" max="7194" width="3.6328125" customWidth="1"/>
    <col min="7425" max="7450" width="3.6328125" customWidth="1"/>
    <col min="7681" max="7706" width="3.6328125" customWidth="1"/>
    <col min="7937" max="7962" width="3.6328125" customWidth="1"/>
    <col min="8193" max="8218" width="3.6328125" customWidth="1"/>
    <col min="8449" max="8474" width="3.6328125" customWidth="1"/>
    <col min="8705" max="8730" width="3.6328125" customWidth="1"/>
    <col min="8961" max="8986" width="3.6328125" customWidth="1"/>
    <col min="9217" max="9242" width="3.6328125" customWidth="1"/>
    <col min="9473" max="9498" width="3.6328125" customWidth="1"/>
    <col min="9729" max="9754" width="3.6328125" customWidth="1"/>
    <col min="9985" max="10010" width="3.6328125" customWidth="1"/>
    <col min="10241" max="10266" width="3.6328125" customWidth="1"/>
    <col min="10497" max="10522" width="3.6328125" customWidth="1"/>
    <col min="10753" max="10778" width="3.6328125" customWidth="1"/>
    <col min="11009" max="11034" width="3.6328125" customWidth="1"/>
    <col min="11265" max="11290" width="3.6328125" customWidth="1"/>
    <col min="11521" max="11546" width="3.6328125" customWidth="1"/>
    <col min="11777" max="11802" width="3.6328125" customWidth="1"/>
    <col min="12033" max="12058" width="3.6328125" customWidth="1"/>
    <col min="12289" max="12314" width="3.6328125" customWidth="1"/>
    <col min="12545" max="12570" width="3.6328125" customWidth="1"/>
    <col min="12801" max="12826" width="3.6328125" customWidth="1"/>
    <col min="13057" max="13082" width="3.6328125" customWidth="1"/>
    <col min="13313" max="13338" width="3.6328125" customWidth="1"/>
    <col min="13569" max="13594" width="3.6328125" customWidth="1"/>
    <col min="13825" max="13850" width="3.6328125" customWidth="1"/>
    <col min="14081" max="14106" width="3.6328125" customWidth="1"/>
    <col min="14337" max="14362" width="3.6328125" customWidth="1"/>
    <col min="14593" max="14618" width="3.6328125" customWidth="1"/>
    <col min="14849" max="14874" width="3.6328125" customWidth="1"/>
    <col min="15105" max="15130" width="3.6328125" customWidth="1"/>
    <col min="15361" max="15386" width="3.6328125" customWidth="1"/>
    <col min="15617" max="15642" width="3.6328125" customWidth="1"/>
    <col min="15873" max="15898" width="3.6328125" customWidth="1"/>
    <col min="16129" max="16154" width="3.6328125" customWidth="1"/>
  </cols>
  <sheetData>
    <row r="1" spans="1:32" ht="8" customHeight="1" x14ac:dyDescent="0.2">
      <c r="A1" s="55">
        <v>45413</v>
      </c>
      <c r="B1" s="85">
        <v>45413</v>
      </c>
      <c r="AB1" s="55"/>
      <c r="AC1" s="57"/>
    </row>
    <row r="2" spans="1:32" ht="8" customHeight="1" x14ac:dyDescent="0.2">
      <c r="A2" s="3"/>
      <c r="B2" s="3"/>
      <c r="C2" s="3"/>
      <c r="D2" s="3"/>
      <c r="E2" s="3"/>
      <c r="F2" s="3"/>
      <c r="G2" s="3"/>
      <c r="H2" s="3"/>
      <c r="I2" s="3"/>
      <c r="J2" s="4"/>
      <c r="K2" s="4"/>
      <c r="L2" s="5"/>
      <c r="M2" s="6"/>
      <c r="N2" s="6"/>
      <c r="O2" s="6"/>
      <c r="P2" s="4"/>
      <c r="X2" t="s">
        <v>66</v>
      </c>
      <c r="Y2" s="361">
        <f>LOOKUP(10^10,Ver管理!C3:C33)</f>
        <v>6</v>
      </c>
      <c r="Z2" s="361"/>
    </row>
    <row r="3" spans="1:32" ht="10" customHeight="1" thickBot="1" x14ac:dyDescent="0.25">
      <c r="A3" s="362">
        <f ca="1">+VLOOKUP(AB5,テーブル!L:M,2,0)</f>
        <v>46327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2"/>
      <c r="R3" s="362"/>
      <c r="S3" s="362"/>
      <c r="T3" s="362"/>
      <c r="U3" s="362"/>
      <c r="V3" s="362"/>
      <c r="W3" s="362"/>
      <c r="X3" s="362"/>
      <c r="Y3" s="362"/>
      <c r="Z3" s="362"/>
    </row>
    <row r="4" spans="1:32" ht="10" customHeight="1" x14ac:dyDescent="0.2">
      <c r="A4" s="362"/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B4" s="68"/>
      <c r="AC4" s="69"/>
      <c r="AD4" s="70"/>
    </row>
    <row r="5" spans="1:32" ht="14.15" customHeight="1" x14ac:dyDescent="0.2">
      <c r="A5" s="363" t="s">
        <v>202</v>
      </c>
      <c r="B5" s="363"/>
      <c r="C5" s="363"/>
      <c r="D5" s="363"/>
      <c r="E5" s="364" t="str">
        <f>+'10月'!$E$5</f>
        <v>NMHT　社員</v>
      </c>
      <c r="F5" s="364"/>
      <c r="G5" s="364"/>
      <c r="H5" s="364"/>
      <c r="I5" s="364"/>
      <c r="J5" s="7"/>
      <c r="K5" s="7"/>
      <c r="L5" s="7"/>
      <c r="M5" s="7"/>
      <c r="N5" s="7"/>
      <c r="O5" s="7"/>
      <c r="P5" s="7" t="str">
        <f ca="1">IF(_xlfn.XLOOKUP(当月,テーブル!U:U,テーブル!V:V,0,FALSE)+_xlfn.XLOOKUP(当月,テーブル!U:U,テーブル!W:W,0,FALSE)&lt;&gt;_xlfn.XLOOKUP(AB6,テーブル!U:U,テーブル!V:V,0,FALSE)+_xlfn.XLOOKUP(AB6,テーブル!U:U,テーブル!W:W,0,FALSE),"基給+手当1に前月と差異があります。","")</f>
        <v/>
      </c>
      <c r="Q5" s="7"/>
      <c r="R5" s="8"/>
      <c r="S5" s="8"/>
      <c r="T5" s="8"/>
      <c r="U5" s="8"/>
      <c r="AB5" s="71" t="str" cm="1">
        <f t="array" aca="1" ref="AB5" ca="1">RIGHT(CELL("filename",A1),LEN(CELL("filename",A1))-FIND("]",CELL("filename",A1)))</f>
        <v>11月</v>
      </c>
      <c r="AC5" t="s">
        <v>158</v>
      </c>
      <c r="AD5" s="72"/>
    </row>
    <row r="6" spans="1:32" ht="14.15" customHeight="1" x14ac:dyDescent="0.25">
      <c r="A6" s="366">
        <f>+'10月'!$A$6</f>
        <v>2000002</v>
      </c>
      <c r="B6" s="366"/>
      <c r="C6" s="366"/>
      <c r="D6" s="366"/>
      <c r="E6" s="365"/>
      <c r="F6" s="365"/>
      <c r="G6" s="365"/>
      <c r="H6" s="365"/>
      <c r="I6" s="365"/>
      <c r="J6" s="9" t="s">
        <v>98</v>
      </c>
      <c r="K6" s="108" t="str">
        <f ca="1">HYPERLINK(LEFT(TEXT(CELL("filename",B2),0),SEARCH("\[",TEXT(CELL("filename",B2),0),1)-1)&amp;"\")</f>
        <v>Z:\マクロ保管場所谷津用\2月控除分\</v>
      </c>
      <c r="L6" s="5"/>
      <c r="M6" s="6"/>
      <c r="N6" s="6"/>
      <c r="O6" s="6"/>
      <c r="P6" s="4"/>
      <c r="AB6" s="71" t="str">
        <f ca="1">+IF(SUBSTITUTE(当月,"月","")-1=0,12,SUBSTITUTE(当月,"月","")-1) &amp; "月"</f>
        <v>10月</v>
      </c>
      <c r="AC6" s="74" t="s">
        <v>170</v>
      </c>
      <c r="AD6" s="72"/>
    </row>
    <row r="7" spans="1:32" ht="14.15" customHeight="1" x14ac:dyDescent="0.2">
      <c r="I7" s="3"/>
      <c r="K7" s="11"/>
      <c r="N7" s="368"/>
      <c r="O7" s="368"/>
      <c r="P7" s="367" t="s">
        <v>272</v>
      </c>
      <c r="Q7" s="358"/>
      <c r="R7" s="358"/>
      <c r="S7" s="358"/>
      <c r="T7" s="358"/>
      <c r="U7" s="358"/>
      <c r="V7" s="358"/>
      <c r="W7" s="358"/>
      <c r="X7" s="358"/>
      <c r="Y7" s="358"/>
      <c r="Z7" s="358"/>
      <c r="AB7" s="73"/>
      <c r="AC7" s="56">
        <v>0.91666666666666663</v>
      </c>
      <c r="AD7" s="72"/>
    </row>
    <row r="8" spans="1:32" ht="14.15" hidden="1" customHeight="1" thickBot="1" x14ac:dyDescent="0.25">
      <c r="A8" s="163" t="s">
        <v>99</v>
      </c>
      <c r="B8" s="120"/>
      <c r="C8" s="350" t="str">
        <f>+'10月'!C8</f>
        <v>株式会社エヌエム・ヒューマテック</v>
      </c>
      <c r="D8" s="351"/>
      <c r="E8" s="351"/>
      <c r="F8" s="351"/>
      <c r="G8" s="351"/>
      <c r="H8" s="351"/>
      <c r="I8" s="352"/>
      <c r="J8" s="353"/>
      <c r="K8" s="11"/>
      <c r="L8" s="1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B8" s="75">
        <f ca="1">+IF(給与体系="管理監督者",0,IF(給与体系="月給制",1,2))</f>
        <v>2</v>
      </c>
      <c r="AC8" s="76">
        <v>0.20833333333333334</v>
      </c>
      <c r="AD8" s="77"/>
    </row>
    <row r="9" spans="1:32" ht="14.15" hidden="1" customHeight="1" x14ac:dyDescent="0.2">
      <c r="A9" s="166"/>
      <c r="B9" s="123"/>
      <c r="C9" s="354"/>
      <c r="D9" s="355"/>
      <c r="E9" s="355"/>
      <c r="F9" s="355"/>
      <c r="G9" s="355"/>
      <c r="H9" s="355"/>
      <c r="I9" s="356"/>
      <c r="J9" s="357"/>
      <c r="K9" s="13"/>
      <c r="P9" s="53"/>
      <c r="Q9" s="54" t="s">
        <v>269</v>
      </c>
      <c r="R9" s="52"/>
      <c r="S9" s="52"/>
      <c r="T9" s="358" t="s">
        <v>270</v>
      </c>
      <c r="U9" s="358"/>
      <c r="V9" s="358"/>
      <c r="W9" s="358"/>
      <c r="X9" s="358"/>
      <c r="Y9" s="358"/>
      <c r="Z9" s="358"/>
    </row>
    <row r="10" spans="1:32" ht="14.15" hidden="1" customHeight="1" x14ac:dyDescent="0.2">
      <c r="A10" s="163" t="s">
        <v>100</v>
      </c>
      <c r="B10" s="120"/>
      <c r="C10" s="359" t="str">
        <f>+'10月'!C10</f>
        <v>管理部</v>
      </c>
      <c r="D10" s="332"/>
      <c r="E10" s="332"/>
      <c r="F10" s="332"/>
      <c r="G10" s="332"/>
      <c r="H10" s="332"/>
      <c r="I10" s="333"/>
      <c r="J10" s="334"/>
      <c r="K10" s="13"/>
      <c r="P10" s="53"/>
      <c r="Q10" s="52"/>
      <c r="R10" s="52"/>
      <c r="S10" s="52"/>
      <c r="T10" s="360" t="s">
        <v>271</v>
      </c>
      <c r="U10" s="360"/>
      <c r="V10" s="360"/>
      <c r="W10" s="360"/>
      <c r="X10" s="360"/>
      <c r="Y10" s="360"/>
      <c r="Z10" s="360"/>
    </row>
    <row r="11" spans="1:32" ht="14.15" hidden="1" customHeight="1" x14ac:dyDescent="0.2">
      <c r="A11" s="166"/>
      <c r="B11" s="123"/>
      <c r="C11" s="335"/>
      <c r="D11" s="336"/>
      <c r="E11" s="336"/>
      <c r="F11" s="336"/>
      <c r="G11" s="336"/>
      <c r="H11" s="336"/>
      <c r="I11" s="337"/>
      <c r="J11" s="338"/>
      <c r="K11" s="4"/>
      <c r="L11" s="4"/>
      <c r="P11" s="52"/>
      <c r="Q11" s="54" t="s">
        <v>96</v>
      </c>
      <c r="R11" s="54"/>
      <c r="S11" s="53"/>
      <c r="T11" s="54"/>
      <c r="U11" s="53"/>
      <c r="V11" s="54" t="s">
        <v>97</v>
      </c>
      <c r="W11" s="54"/>
      <c r="X11" s="52"/>
      <c r="Y11" s="52"/>
      <c r="Z11" s="52"/>
      <c r="AE11" t="s">
        <v>178</v>
      </c>
    </row>
    <row r="12" spans="1:32" ht="14.15" hidden="1" customHeight="1" x14ac:dyDescent="0.2">
      <c r="A12" s="163" t="s">
        <v>101</v>
      </c>
      <c r="B12" s="120"/>
      <c r="C12" s="331"/>
      <c r="D12" s="332"/>
      <c r="E12" s="332"/>
      <c r="F12" s="332"/>
      <c r="G12" s="332"/>
      <c r="H12" s="332"/>
      <c r="I12" s="333"/>
      <c r="J12" s="334"/>
      <c r="K12" s="13"/>
      <c r="M12" s="15"/>
      <c r="N12" s="15"/>
      <c r="O12" s="14"/>
      <c r="P12" s="14"/>
      <c r="Q12" s="14"/>
      <c r="R12" s="14"/>
      <c r="S12" s="14"/>
      <c r="T12" s="14"/>
      <c r="U12" s="14"/>
      <c r="V12" s="8"/>
      <c r="W12" s="8"/>
      <c r="AF12">
        <f ca="1">+IFERROR(((MAX(0,超過勤務時間計+深夜残業時間計-60)*1.5+MIN(60,超過勤務時間計+深夜残業時間計)*1.25))/(超過勤務時間計),0)</f>
        <v>0</v>
      </c>
    </row>
    <row r="13" spans="1:32" ht="14.15" hidden="1" customHeight="1" x14ac:dyDescent="0.2">
      <c r="A13" s="166"/>
      <c r="B13" s="123"/>
      <c r="C13" s="335"/>
      <c r="D13" s="336"/>
      <c r="E13" s="336"/>
      <c r="F13" s="336"/>
      <c r="G13" s="336"/>
      <c r="H13" s="336"/>
      <c r="I13" s="337"/>
      <c r="J13" s="338"/>
      <c r="K13" s="13"/>
      <c r="M13" s="16"/>
      <c r="N13" s="15"/>
      <c r="O13" s="14"/>
      <c r="P13" s="14"/>
      <c r="Q13" s="14"/>
      <c r="R13" s="14"/>
      <c r="S13" s="14">
        <f>+'10月'!S13</f>
        <v>0</v>
      </c>
    </row>
    <row r="14" spans="1:32" ht="14.15" hidden="1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4"/>
      <c r="K14" s="4"/>
      <c r="L14" s="4"/>
      <c r="M14" s="4"/>
      <c r="N14" s="17"/>
      <c r="O14" s="4"/>
      <c r="P14" s="4"/>
      <c r="U14" s="18"/>
    </row>
    <row r="15" spans="1:32" ht="14.15" customHeight="1" x14ac:dyDescent="0.2">
      <c r="A15" s="339" t="s">
        <v>5</v>
      </c>
      <c r="B15" s="340"/>
      <c r="C15" s="339" t="s">
        <v>6</v>
      </c>
      <c r="D15" s="312" t="s">
        <v>36</v>
      </c>
      <c r="E15" s="343"/>
      <c r="F15" s="343"/>
      <c r="G15" s="313"/>
      <c r="H15" s="344" t="s">
        <v>37</v>
      </c>
      <c r="I15" s="345"/>
      <c r="J15" s="345" t="s">
        <v>7</v>
      </c>
      <c r="K15" s="348"/>
      <c r="L15" s="314" t="s">
        <v>8</v>
      </c>
      <c r="M15" s="325"/>
      <c r="N15" s="328" t="s">
        <v>9</v>
      </c>
      <c r="O15" s="315"/>
      <c r="P15" s="314" t="s">
        <v>10</v>
      </c>
      <c r="Q15" s="315"/>
      <c r="R15" s="314" t="s">
        <v>11</v>
      </c>
      <c r="S15" s="315"/>
      <c r="T15" s="314" t="s">
        <v>12</v>
      </c>
      <c r="U15" s="315"/>
      <c r="V15" s="314" t="s">
        <v>43</v>
      </c>
      <c r="W15" s="315"/>
      <c r="X15" s="304" t="s">
        <v>122</v>
      </c>
      <c r="Y15" s="305"/>
      <c r="Z15" s="306"/>
      <c r="AA15" s="310" t="s">
        <v>107</v>
      </c>
      <c r="AB15" t="s">
        <v>32</v>
      </c>
    </row>
    <row r="16" spans="1:32" ht="14.15" customHeight="1" x14ac:dyDescent="0.2">
      <c r="A16" s="341"/>
      <c r="B16" s="342"/>
      <c r="C16" s="341"/>
      <c r="D16" s="312" t="s">
        <v>14</v>
      </c>
      <c r="E16" s="313"/>
      <c r="F16" s="312" t="s">
        <v>15</v>
      </c>
      <c r="G16" s="313"/>
      <c r="H16" s="346"/>
      <c r="I16" s="347"/>
      <c r="J16" s="347"/>
      <c r="K16" s="349"/>
      <c r="L16" s="326"/>
      <c r="M16" s="327"/>
      <c r="N16" s="329"/>
      <c r="O16" s="317"/>
      <c r="P16" s="316"/>
      <c r="Q16" s="317"/>
      <c r="R16" s="316"/>
      <c r="S16" s="317"/>
      <c r="T16" s="316"/>
      <c r="U16" s="317"/>
      <c r="V16" s="316"/>
      <c r="W16" s="317"/>
      <c r="X16" s="307"/>
      <c r="Y16" s="308"/>
      <c r="Z16" s="309"/>
      <c r="AA16" s="311"/>
      <c r="AB16" t="s">
        <v>210</v>
      </c>
      <c r="AC16" s="59"/>
    </row>
    <row r="17" spans="1:30" s="59" customFormat="1" ht="14.15" customHeight="1" x14ac:dyDescent="0.2">
      <c r="A17" s="318">
        <f ca="1">A3</f>
        <v>46327</v>
      </c>
      <c r="B17" s="319"/>
      <c r="C17" s="78">
        <f ca="1">IF(A17="","",IF(WEEKDAY(A17,1)=1,1,IF(COUNTIF(祝日管理!B:B,A17)=1,"祝",WEEKDAY(A17,1))))</f>
        <v>1</v>
      </c>
      <c r="D17" s="320"/>
      <c r="E17" s="320"/>
      <c r="F17" s="320"/>
      <c r="G17" s="320"/>
      <c r="H17" s="320"/>
      <c r="I17" s="321"/>
      <c r="J17" s="322">
        <f>IF(OR(D17="",F17="",H17=""),0,IF(F17&gt;D17,F17,F17+24)-D17-H17)</f>
        <v>0</v>
      </c>
      <c r="K17" s="323"/>
      <c r="L17" s="299">
        <f>IF(J17="",0,(HOUR(J17))+(ROUNDDOWN(MINUTE(J17)/60,2)*1))</f>
        <v>0</v>
      </c>
      <c r="M17" s="324"/>
      <c r="N17" s="330">
        <f ca="1">+IF(ISERROR(IF(A17="",0,IF(OR(X17="法休",X17="所休")=1,0,IF(L17=0,0,MIN(8,L17-R17))))),"",IF(A17="","",IF(OR(X17="法休",X17="所休"),0,IF(L17=0,0,MIN(8,L17-R17)))))</f>
        <v>0</v>
      </c>
      <c r="O17" s="300"/>
      <c r="P17" s="299">
        <f ca="1">+IF(ISERROR(IF(A17="","",IF(X17="法休",0,MAX(0,L17-N17-R17)))),0,IF(A17="","",IF(X17="法休",0,MAX(0,L17-N17-R17))))</f>
        <v>0</v>
      </c>
      <c r="Q17" s="300"/>
      <c r="R17" s="299">
        <f ca="1">+IF(A17="",0,IF(X17="法休",0,NOT(OR(D17="",F17=""))*MIN(7,(MAX(0,MIN(F17,$AC$8)-D17)+MAX(0,F17-$AC$7+(D17&gt;F17)))*24)))</f>
        <v>0</v>
      </c>
      <c r="S17" s="300"/>
      <c r="T17" s="299">
        <f t="shared" ref="T17" ca="1" si="0">+IF(A17="",0,IF(X17="法休",L17-V17,0))</f>
        <v>0</v>
      </c>
      <c r="U17" s="300"/>
      <c r="V17" s="299">
        <f t="shared" ref="V17" ca="1" si="1">+IF(A17="",0,IF(X17&lt;&gt;"法休",0,NOT(OR(D17="",F17=""))*MIN(7,(MAX(0,MIN(F17,$AC$8)-D17)+MAX(0,F17-$AC$7+(D17&gt;F17)))*24)))</f>
        <v>0</v>
      </c>
      <c r="W17" s="300"/>
      <c r="X17" s="301" t="s">
        <v>187</v>
      </c>
      <c r="Y17" s="302"/>
      <c r="Z17" s="303"/>
      <c r="AA17" s="79"/>
      <c r="AB17" s="93">
        <f t="shared" ref="AB17:AB46" ca="1" si="2">IF(ISERROR((X17="")*(7.5-N17)),0,(X17="")*(7.5-N17))</f>
        <v>0</v>
      </c>
      <c r="AD17" s="67"/>
    </row>
    <row r="18" spans="1:30" ht="14.15" customHeight="1" x14ac:dyDescent="0.2">
      <c r="A18" s="290">
        <f t="shared" ref="A18:A44" ca="1" si="3">A17+1</f>
        <v>46328</v>
      </c>
      <c r="B18" s="291"/>
      <c r="C18" s="80">
        <f ca="1">IF(A18="","",IF(WEEKDAY(A18,1)=1,1,IF(COUNTIF(祝日管理!B:B,A18)=1,"祝",WEEKDAY(A18,1))))</f>
        <v>2</v>
      </c>
      <c r="D18" s="292"/>
      <c r="E18" s="292"/>
      <c r="F18" s="292"/>
      <c r="G18" s="292"/>
      <c r="H18" s="292"/>
      <c r="I18" s="293"/>
      <c r="J18" s="298">
        <f t="shared" ref="J18:J47" si="4">IF(OR(D18="",F18="",H18=""),0,IF(F18&gt;D18,F18,F18+24)-D18-H18)</f>
        <v>0</v>
      </c>
      <c r="K18" s="294"/>
      <c r="L18" s="285">
        <f t="shared" ref="L18:L47" si="5">IF(J18="",0,(HOUR(J18))+(ROUNDDOWN(MINUTE(J18)/60,2)*1))</f>
        <v>0</v>
      </c>
      <c r="M18" s="296"/>
      <c r="N18" s="297">
        <f t="shared" ref="N18:N47" ca="1" si="6">+IF(ISERROR(IF(A18="",0,IF(OR(X18="法休",X18="所休")=1,0,IF(L18=0,0,MIN(8,L18-R18))))),"",IF(A18="","",IF(OR(X18="法休",X18="所休"),0,IF(L18=0,0,MIN(8,L18-R18)))))</f>
        <v>0</v>
      </c>
      <c r="O18" s="286"/>
      <c r="P18" s="285">
        <f t="shared" ref="P18:P47" ca="1" si="7">+IF(ISERROR(IF(A18="","",IF(X18="法休",0,MAX(0,L18-N18-R18)))),0,IF(A18="","",IF(X18="法休",0,MAX(0,L18-N18-R18))))</f>
        <v>0</v>
      </c>
      <c r="Q18" s="286"/>
      <c r="R18" s="285">
        <f t="shared" ref="R18:R47" ca="1" si="8">+IF(A18="",0,IF(X18="法休",0,NOT(OR(D18="",F18=""))*MIN(7,(MAX(0,MIN(F18,$AC$8)-D18)+MAX(0,F18-$AC$7+(D18&gt;F18)))*24)))</f>
        <v>0</v>
      </c>
      <c r="S18" s="286"/>
      <c r="T18" s="285">
        <f t="shared" ref="T18:T47" ca="1" si="9">+IF(A18="",0,IF(X18="法休",L18-V18,0))</f>
        <v>0</v>
      </c>
      <c r="U18" s="286"/>
      <c r="V18" s="285">
        <f t="shared" ref="V18:V47" ca="1" si="10">+IF(A18="",0,IF(X18&lt;&gt;"法休",0,NOT(OR(D18="",F18=""))*MIN(7,(MAX(0,MIN(F18,$AC$8)-D18)+MAX(0,F18-$AC$7+(D18&gt;F18)))*24)))</f>
        <v>0</v>
      </c>
      <c r="W18" s="286"/>
      <c r="X18" s="287" t="s">
        <v>185</v>
      </c>
      <c r="Y18" s="288"/>
      <c r="Z18" s="289"/>
      <c r="AA18" s="81"/>
      <c r="AB18" s="93">
        <f t="shared" ca="1" si="2"/>
        <v>0</v>
      </c>
      <c r="AC18" s="59"/>
      <c r="AD18" t="s">
        <v>175</v>
      </c>
    </row>
    <row r="19" spans="1:30" ht="14.15" customHeight="1" x14ac:dyDescent="0.2">
      <c r="A19" s="290">
        <f t="shared" ca="1" si="3"/>
        <v>46329</v>
      </c>
      <c r="B19" s="291"/>
      <c r="C19" s="80">
        <f ca="1">IF(A19="","",IF(WEEKDAY(A19,1)=1,1,IF(COUNTIF(祝日管理!B:B,A19)=1,"祝",WEEKDAY(A19,1))))</f>
        <v>3</v>
      </c>
      <c r="D19" s="292"/>
      <c r="E19" s="292"/>
      <c r="F19" s="292"/>
      <c r="G19" s="292"/>
      <c r="H19" s="292"/>
      <c r="I19" s="293"/>
      <c r="J19" s="298">
        <f t="shared" si="4"/>
        <v>0</v>
      </c>
      <c r="K19" s="294"/>
      <c r="L19" s="285">
        <f t="shared" si="5"/>
        <v>0</v>
      </c>
      <c r="M19" s="296"/>
      <c r="N19" s="297">
        <f t="shared" ca="1" si="6"/>
        <v>0</v>
      </c>
      <c r="O19" s="286"/>
      <c r="P19" s="285">
        <f t="shared" ca="1" si="7"/>
        <v>0</v>
      </c>
      <c r="Q19" s="286"/>
      <c r="R19" s="285">
        <f t="shared" ca="1" si="8"/>
        <v>0</v>
      </c>
      <c r="S19" s="286"/>
      <c r="T19" s="285">
        <f t="shared" ca="1" si="9"/>
        <v>0</v>
      </c>
      <c r="U19" s="286"/>
      <c r="V19" s="285">
        <f t="shared" ca="1" si="10"/>
        <v>0</v>
      </c>
      <c r="W19" s="286"/>
      <c r="X19" s="287" t="s">
        <v>187</v>
      </c>
      <c r="Y19" s="288"/>
      <c r="Z19" s="289"/>
      <c r="AA19" s="81"/>
      <c r="AB19" s="93">
        <f t="shared" ca="1" si="2"/>
        <v>0</v>
      </c>
      <c r="AC19" s="59"/>
    </row>
    <row r="20" spans="1:30" ht="14.15" customHeight="1" x14ac:dyDescent="0.2">
      <c r="A20" s="290">
        <f t="shared" ca="1" si="3"/>
        <v>46330</v>
      </c>
      <c r="B20" s="291"/>
      <c r="C20" s="80">
        <f ca="1">IF(A20="","",IF(WEEKDAY(A20,1)=1,1,IF(COUNTIF(祝日管理!B:B,A20)=1,"祝",WEEKDAY(A20,1))))</f>
        <v>4</v>
      </c>
      <c r="D20" s="292"/>
      <c r="E20" s="292"/>
      <c r="F20" s="292"/>
      <c r="G20" s="292"/>
      <c r="H20" s="292"/>
      <c r="I20" s="293"/>
      <c r="J20" s="298">
        <f t="shared" si="4"/>
        <v>0</v>
      </c>
      <c r="K20" s="294"/>
      <c r="L20" s="285">
        <f t="shared" si="5"/>
        <v>0</v>
      </c>
      <c r="M20" s="296"/>
      <c r="N20" s="297">
        <f t="shared" ca="1" si="6"/>
        <v>0</v>
      </c>
      <c r="O20" s="286"/>
      <c r="P20" s="285">
        <f t="shared" ca="1" si="7"/>
        <v>0</v>
      </c>
      <c r="Q20" s="286"/>
      <c r="R20" s="285">
        <f t="shared" ca="1" si="8"/>
        <v>0</v>
      </c>
      <c r="S20" s="286"/>
      <c r="T20" s="285">
        <f t="shared" ca="1" si="9"/>
        <v>0</v>
      </c>
      <c r="U20" s="286"/>
      <c r="V20" s="285">
        <f t="shared" ca="1" si="10"/>
        <v>0</v>
      </c>
      <c r="W20" s="286"/>
      <c r="X20" s="287" t="s">
        <v>187</v>
      </c>
      <c r="Y20" s="288"/>
      <c r="Z20" s="289"/>
      <c r="AA20" s="81"/>
      <c r="AB20" s="93">
        <f t="shared" ca="1" si="2"/>
        <v>0</v>
      </c>
      <c r="AC20" s="59"/>
    </row>
    <row r="21" spans="1:30" ht="14.15" customHeight="1" x14ac:dyDescent="0.2">
      <c r="A21" s="290">
        <f t="shared" ca="1" si="3"/>
        <v>46331</v>
      </c>
      <c r="B21" s="291"/>
      <c r="C21" s="80">
        <f ca="1">IF(A21="","",IF(WEEKDAY(A21,1)=1,1,IF(COUNTIF(祝日管理!B:B,A21)=1,"祝",WEEKDAY(A21,1))))</f>
        <v>5</v>
      </c>
      <c r="D21" s="292"/>
      <c r="E21" s="292"/>
      <c r="F21" s="292"/>
      <c r="G21" s="292"/>
      <c r="H21" s="292"/>
      <c r="I21" s="293"/>
      <c r="J21" s="298">
        <f t="shared" si="4"/>
        <v>0</v>
      </c>
      <c r="K21" s="294"/>
      <c r="L21" s="285">
        <f t="shared" si="5"/>
        <v>0</v>
      </c>
      <c r="M21" s="296"/>
      <c r="N21" s="297">
        <f t="shared" ca="1" si="6"/>
        <v>0</v>
      </c>
      <c r="O21" s="286"/>
      <c r="P21" s="285">
        <f t="shared" ca="1" si="7"/>
        <v>0</v>
      </c>
      <c r="Q21" s="286"/>
      <c r="R21" s="285">
        <f t="shared" ca="1" si="8"/>
        <v>0</v>
      </c>
      <c r="S21" s="286"/>
      <c r="T21" s="285">
        <f t="shared" ca="1" si="9"/>
        <v>0</v>
      </c>
      <c r="U21" s="286"/>
      <c r="V21" s="285">
        <f t="shared" ca="1" si="10"/>
        <v>0</v>
      </c>
      <c r="W21" s="286"/>
      <c r="X21" s="287"/>
      <c r="Y21" s="288"/>
      <c r="Z21" s="289"/>
      <c r="AA21" s="81"/>
      <c r="AB21" s="93">
        <f t="shared" ca="1" si="2"/>
        <v>7.5</v>
      </c>
      <c r="AC21" s="59"/>
      <c r="AD21" t="s">
        <v>176</v>
      </c>
    </row>
    <row r="22" spans="1:30" s="59" customFormat="1" ht="14.15" customHeight="1" x14ac:dyDescent="0.2">
      <c r="A22" s="290">
        <f t="shared" ca="1" si="3"/>
        <v>46332</v>
      </c>
      <c r="B22" s="291"/>
      <c r="C22" s="80">
        <f ca="1">IF(A22="","",IF(WEEKDAY(A22,1)=1,1,IF(COUNTIF(祝日管理!B:B,A22)=1,"祝",WEEKDAY(A22,1))))</f>
        <v>6</v>
      </c>
      <c r="D22" s="292"/>
      <c r="E22" s="292"/>
      <c r="F22" s="292"/>
      <c r="G22" s="292"/>
      <c r="H22" s="292"/>
      <c r="I22" s="293"/>
      <c r="J22" s="298">
        <f t="shared" si="4"/>
        <v>0</v>
      </c>
      <c r="K22" s="294"/>
      <c r="L22" s="285">
        <f t="shared" si="5"/>
        <v>0</v>
      </c>
      <c r="M22" s="296"/>
      <c r="N22" s="297">
        <f t="shared" ca="1" si="6"/>
        <v>0</v>
      </c>
      <c r="O22" s="286"/>
      <c r="P22" s="285">
        <f t="shared" ca="1" si="7"/>
        <v>0</v>
      </c>
      <c r="Q22" s="286"/>
      <c r="R22" s="285">
        <f t="shared" ca="1" si="8"/>
        <v>0</v>
      </c>
      <c r="S22" s="286"/>
      <c r="T22" s="285">
        <f t="shared" ca="1" si="9"/>
        <v>0</v>
      </c>
      <c r="U22" s="286"/>
      <c r="V22" s="285">
        <f t="shared" ca="1" si="10"/>
        <v>0</v>
      </c>
      <c r="W22" s="286"/>
      <c r="X22" s="287"/>
      <c r="Y22" s="288"/>
      <c r="Z22" s="289"/>
      <c r="AA22" s="81"/>
      <c r="AB22" s="93">
        <f t="shared" ca="1" si="2"/>
        <v>7.5</v>
      </c>
    </row>
    <row r="23" spans="1:30" ht="14.15" customHeight="1" x14ac:dyDescent="0.2">
      <c r="A23" s="290">
        <f t="shared" ca="1" si="3"/>
        <v>46333</v>
      </c>
      <c r="B23" s="291"/>
      <c r="C23" s="80">
        <f ca="1">IF(A23="","",IF(WEEKDAY(A23,1)=1,1,IF(COUNTIF(祝日管理!B:B,A23)=1,"祝",WEEKDAY(A23,1))))</f>
        <v>7</v>
      </c>
      <c r="D23" s="292"/>
      <c r="E23" s="292"/>
      <c r="F23" s="292"/>
      <c r="G23" s="292"/>
      <c r="H23" s="292"/>
      <c r="I23" s="293"/>
      <c r="J23" s="298">
        <f t="shared" si="4"/>
        <v>0</v>
      </c>
      <c r="K23" s="294"/>
      <c r="L23" s="285">
        <f t="shared" si="5"/>
        <v>0</v>
      </c>
      <c r="M23" s="296"/>
      <c r="N23" s="297">
        <f t="shared" ca="1" si="6"/>
        <v>0</v>
      </c>
      <c r="O23" s="286"/>
      <c r="P23" s="285">
        <f t="shared" ca="1" si="7"/>
        <v>0</v>
      </c>
      <c r="Q23" s="286"/>
      <c r="R23" s="285">
        <f t="shared" ca="1" si="8"/>
        <v>0</v>
      </c>
      <c r="S23" s="286"/>
      <c r="T23" s="285">
        <f t="shared" ca="1" si="9"/>
        <v>0</v>
      </c>
      <c r="U23" s="286"/>
      <c r="V23" s="285">
        <f t="shared" ca="1" si="10"/>
        <v>0</v>
      </c>
      <c r="W23" s="286"/>
      <c r="X23" s="287"/>
      <c r="Y23" s="288"/>
      <c r="Z23" s="289"/>
      <c r="AA23" s="81"/>
      <c r="AB23" s="93">
        <f t="shared" ca="1" si="2"/>
        <v>7.5</v>
      </c>
    </row>
    <row r="24" spans="1:30" ht="14.15" customHeight="1" x14ac:dyDescent="0.2">
      <c r="A24" s="290">
        <f t="shared" ca="1" si="3"/>
        <v>46334</v>
      </c>
      <c r="B24" s="291"/>
      <c r="C24" s="80">
        <f ca="1">IF(A24="","",IF(WEEKDAY(A24,1)=1,1,IF(COUNTIF(祝日管理!B:B,A24)=1,"祝",WEEKDAY(A24,1))))</f>
        <v>1</v>
      </c>
      <c r="D24" s="292"/>
      <c r="E24" s="292"/>
      <c r="F24" s="292"/>
      <c r="G24" s="292"/>
      <c r="H24" s="292"/>
      <c r="I24" s="293"/>
      <c r="J24" s="298">
        <f t="shared" si="4"/>
        <v>0</v>
      </c>
      <c r="K24" s="294"/>
      <c r="L24" s="285">
        <f t="shared" si="5"/>
        <v>0</v>
      </c>
      <c r="M24" s="296"/>
      <c r="N24" s="297">
        <f t="shared" ca="1" si="6"/>
        <v>0</v>
      </c>
      <c r="O24" s="286"/>
      <c r="P24" s="285">
        <f t="shared" ca="1" si="7"/>
        <v>0</v>
      </c>
      <c r="Q24" s="286"/>
      <c r="R24" s="285">
        <f t="shared" ca="1" si="8"/>
        <v>0</v>
      </c>
      <c r="S24" s="286"/>
      <c r="T24" s="285">
        <f t="shared" ca="1" si="9"/>
        <v>0</v>
      </c>
      <c r="U24" s="286"/>
      <c r="V24" s="285">
        <f t="shared" ca="1" si="10"/>
        <v>0</v>
      </c>
      <c r="W24" s="286"/>
      <c r="X24" s="287" t="s">
        <v>187</v>
      </c>
      <c r="Y24" s="288"/>
      <c r="Z24" s="289"/>
      <c r="AA24" s="81"/>
      <c r="AB24" s="93">
        <f t="shared" ca="1" si="2"/>
        <v>0</v>
      </c>
      <c r="AD24" t="s">
        <v>177</v>
      </c>
    </row>
    <row r="25" spans="1:30" ht="14.15" customHeight="1" x14ac:dyDescent="0.2">
      <c r="A25" s="290">
        <f t="shared" ca="1" si="3"/>
        <v>46335</v>
      </c>
      <c r="B25" s="291"/>
      <c r="C25" s="80">
        <f ca="1">IF(A25="","",IF(WEEKDAY(A25,1)=1,1,IF(COUNTIF(祝日管理!B:B,A25)=1,"祝",WEEKDAY(A25,1))))</f>
        <v>2</v>
      </c>
      <c r="D25" s="292"/>
      <c r="E25" s="292"/>
      <c r="F25" s="292"/>
      <c r="G25" s="292"/>
      <c r="H25" s="292"/>
      <c r="I25" s="293"/>
      <c r="J25" s="298">
        <f t="shared" si="4"/>
        <v>0</v>
      </c>
      <c r="K25" s="294"/>
      <c r="L25" s="285">
        <f t="shared" si="5"/>
        <v>0</v>
      </c>
      <c r="M25" s="296"/>
      <c r="N25" s="297">
        <f t="shared" ca="1" si="6"/>
        <v>0</v>
      </c>
      <c r="O25" s="286"/>
      <c r="P25" s="285">
        <f t="shared" ca="1" si="7"/>
        <v>0</v>
      </c>
      <c r="Q25" s="286"/>
      <c r="R25" s="285">
        <f t="shared" ca="1" si="8"/>
        <v>0</v>
      </c>
      <c r="S25" s="286"/>
      <c r="T25" s="285">
        <f t="shared" ca="1" si="9"/>
        <v>0</v>
      </c>
      <c r="U25" s="286"/>
      <c r="V25" s="285">
        <f t="shared" ca="1" si="10"/>
        <v>0</v>
      </c>
      <c r="W25" s="286"/>
      <c r="X25" s="287" t="s">
        <v>185</v>
      </c>
      <c r="Y25" s="288"/>
      <c r="Z25" s="289"/>
      <c r="AA25" s="81"/>
      <c r="AB25" s="93">
        <f t="shared" ca="1" si="2"/>
        <v>0</v>
      </c>
    </row>
    <row r="26" spans="1:30" ht="14.15" customHeight="1" x14ac:dyDescent="0.2">
      <c r="A26" s="290">
        <f t="shared" ca="1" si="3"/>
        <v>46336</v>
      </c>
      <c r="B26" s="291"/>
      <c r="C26" s="80">
        <f ca="1">IF(A26="","",IF(WEEKDAY(A26,1)=1,1,IF(COUNTIF(祝日管理!B:B,A26)=1,"祝",WEEKDAY(A26,1))))</f>
        <v>3</v>
      </c>
      <c r="D26" s="292"/>
      <c r="E26" s="292"/>
      <c r="F26" s="292"/>
      <c r="G26" s="292"/>
      <c r="H26" s="292"/>
      <c r="I26" s="293"/>
      <c r="J26" s="298">
        <f t="shared" si="4"/>
        <v>0</v>
      </c>
      <c r="K26" s="294"/>
      <c r="L26" s="285">
        <f t="shared" si="5"/>
        <v>0</v>
      </c>
      <c r="M26" s="296"/>
      <c r="N26" s="297">
        <f t="shared" ca="1" si="6"/>
        <v>0</v>
      </c>
      <c r="O26" s="286"/>
      <c r="P26" s="285">
        <f t="shared" ca="1" si="7"/>
        <v>0</v>
      </c>
      <c r="Q26" s="286"/>
      <c r="R26" s="285">
        <f t="shared" ca="1" si="8"/>
        <v>0</v>
      </c>
      <c r="S26" s="286"/>
      <c r="T26" s="285">
        <f t="shared" ca="1" si="9"/>
        <v>0</v>
      </c>
      <c r="U26" s="286"/>
      <c r="V26" s="285">
        <f t="shared" ca="1" si="10"/>
        <v>0</v>
      </c>
      <c r="W26" s="286"/>
      <c r="X26" s="287"/>
      <c r="Y26" s="288"/>
      <c r="Z26" s="289"/>
      <c r="AA26" s="81"/>
      <c r="AB26" s="93">
        <f t="shared" ca="1" si="2"/>
        <v>7.5</v>
      </c>
      <c r="AD26" t="s">
        <v>213</v>
      </c>
    </row>
    <row r="27" spans="1:30" ht="14.15" customHeight="1" x14ac:dyDescent="0.2">
      <c r="A27" s="290">
        <f t="shared" ca="1" si="3"/>
        <v>46337</v>
      </c>
      <c r="B27" s="291"/>
      <c r="C27" s="80">
        <f ca="1">IF(A27="","",IF(WEEKDAY(A27,1)=1,1,IF(COUNTIF(祝日管理!B:B,A27)=1,"祝",WEEKDAY(A27,1))))</f>
        <v>4</v>
      </c>
      <c r="D27" s="292"/>
      <c r="E27" s="292"/>
      <c r="F27" s="292"/>
      <c r="G27" s="292"/>
      <c r="H27" s="292"/>
      <c r="I27" s="293"/>
      <c r="J27" s="298">
        <f t="shared" si="4"/>
        <v>0</v>
      </c>
      <c r="K27" s="294"/>
      <c r="L27" s="285">
        <f t="shared" si="5"/>
        <v>0</v>
      </c>
      <c r="M27" s="296"/>
      <c r="N27" s="297">
        <f t="shared" ca="1" si="6"/>
        <v>0</v>
      </c>
      <c r="O27" s="286"/>
      <c r="P27" s="285">
        <f t="shared" ca="1" si="7"/>
        <v>0</v>
      </c>
      <c r="Q27" s="286"/>
      <c r="R27" s="285">
        <f t="shared" ca="1" si="8"/>
        <v>0</v>
      </c>
      <c r="S27" s="286"/>
      <c r="T27" s="285">
        <f t="shared" ca="1" si="9"/>
        <v>0</v>
      </c>
      <c r="U27" s="286"/>
      <c r="V27" s="285">
        <f t="shared" ca="1" si="10"/>
        <v>0</v>
      </c>
      <c r="W27" s="286"/>
      <c r="X27" s="287"/>
      <c r="Y27" s="288"/>
      <c r="Z27" s="289"/>
      <c r="AA27" s="81"/>
      <c r="AB27" s="93">
        <f t="shared" ca="1" si="2"/>
        <v>7.5</v>
      </c>
    </row>
    <row r="28" spans="1:30" ht="14.15" customHeight="1" x14ac:dyDescent="0.2">
      <c r="A28" s="290">
        <f t="shared" ca="1" si="3"/>
        <v>46338</v>
      </c>
      <c r="B28" s="291"/>
      <c r="C28" s="80">
        <f ca="1">IF(A28="","",IF(WEEKDAY(A28,1)=1,1,IF(COUNTIF(祝日管理!B:B,A28)=1,"祝",WEEKDAY(A28,1))))</f>
        <v>5</v>
      </c>
      <c r="D28" s="292"/>
      <c r="E28" s="292"/>
      <c r="F28" s="292"/>
      <c r="G28" s="292"/>
      <c r="H28" s="292"/>
      <c r="I28" s="293"/>
      <c r="J28" s="298">
        <f t="shared" si="4"/>
        <v>0</v>
      </c>
      <c r="K28" s="294"/>
      <c r="L28" s="285">
        <f t="shared" si="5"/>
        <v>0</v>
      </c>
      <c r="M28" s="296"/>
      <c r="N28" s="297">
        <f t="shared" ca="1" si="6"/>
        <v>0</v>
      </c>
      <c r="O28" s="286"/>
      <c r="P28" s="285">
        <f t="shared" ca="1" si="7"/>
        <v>0</v>
      </c>
      <c r="Q28" s="286"/>
      <c r="R28" s="285">
        <f t="shared" ca="1" si="8"/>
        <v>0</v>
      </c>
      <c r="S28" s="286"/>
      <c r="T28" s="285">
        <f t="shared" ca="1" si="9"/>
        <v>0</v>
      </c>
      <c r="U28" s="286"/>
      <c r="V28" s="285">
        <f t="shared" ca="1" si="10"/>
        <v>0</v>
      </c>
      <c r="W28" s="286"/>
      <c r="X28" s="287"/>
      <c r="Y28" s="288"/>
      <c r="Z28" s="289"/>
      <c r="AA28" s="81"/>
      <c r="AB28" s="93">
        <f t="shared" ca="1" si="2"/>
        <v>7.5</v>
      </c>
    </row>
    <row r="29" spans="1:30" s="59" customFormat="1" ht="14.15" customHeight="1" x14ac:dyDescent="0.2">
      <c r="A29" s="290">
        <f t="shared" ca="1" si="3"/>
        <v>46339</v>
      </c>
      <c r="B29" s="291"/>
      <c r="C29" s="80">
        <f ca="1">IF(A29="","",IF(WEEKDAY(A29,1)=1,1,IF(COUNTIF(祝日管理!B:B,A29)=1,"祝",WEEKDAY(A29,1))))</f>
        <v>6</v>
      </c>
      <c r="D29" s="292"/>
      <c r="E29" s="292"/>
      <c r="F29" s="292"/>
      <c r="G29" s="292"/>
      <c r="H29" s="292"/>
      <c r="I29" s="293"/>
      <c r="J29" s="298">
        <f t="shared" si="4"/>
        <v>0</v>
      </c>
      <c r="K29" s="294"/>
      <c r="L29" s="285">
        <f t="shared" si="5"/>
        <v>0</v>
      </c>
      <c r="M29" s="296"/>
      <c r="N29" s="297">
        <f t="shared" ca="1" si="6"/>
        <v>0</v>
      </c>
      <c r="O29" s="286"/>
      <c r="P29" s="285">
        <f t="shared" ca="1" si="7"/>
        <v>0</v>
      </c>
      <c r="Q29" s="286"/>
      <c r="R29" s="285">
        <f t="shared" ca="1" si="8"/>
        <v>0</v>
      </c>
      <c r="S29" s="286"/>
      <c r="T29" s="285">
        <f t="shared" ca="1" si="9"/>
        <v>0</v>
      </c>
      <c r="U29" s="286"/>
      <c r="V29" s="285">
        <f t="shared" ca="1" si="10"/>
        <v>0</v>
      </c>
      <c r="W29" s="286"/>
      <c r="X29" s="287"/>
      <c r="Y29" s="288"/>
      <c r="Z29" s="289"/>
      <c r="AA29" s="81"/>
      <c r="AB29" s="93">
        <f t="shared" ca="1" si="2"/>
        <v>7.5</v>
      </c>
      <c r="AC29" s="59" t="s">
        <v>207</v>
      </c>
    </row>
    <row r="30" spans="1:30" ht="14.15" customHeight="1" x14ac:dyDescent="0.2">
      <c r="A30" s="290">
        <f t="shared" ca="1" si="3"/>
        <v>46340</v>
      </c>
      <c r="B30" s="291"/>
      <c r="C30" s="80">
        <f ca="1">IF(A30="","",IF(WEEKDAY(A30,1)=1,1,IF(COUNTIF(祝日管理!B:B,A30)=1,"祝",WEEKDAY(A30,1))))</f>
        <v>7</v>
      </c>
      <c r="D30" s="292"/>
      <c r="E30" s="292"/>
      <c r="F30" s="292"/>
      <c r="G30" s="292"/>
      <c r="H30" s="292"/>
      <c r="I30" s="293"/>
      <c r="J30" s="298">
        <f t="shared" si="4"/>
        <v>0</v>
      </c>
      <c r="K30" s="294"/>
      <c r="L30" s="285">
        <f t="shared" si="5"/>
        <v>0</v>
      </c>
      <c r="M30" s="296"/>
      <c r="N30" s="297">
        <f t="shared" ca="1" si="6"/>
        <v>0</v>
      </c>
      <c r="O30" s="286"/>
      <c r="P30" s="285">
        <f t="shared" ca="1" si="7"/>
        <v>0</v>
      </c>
      <c r="Q30" s="286"/>
      <c r="R30" s="285">
        <f t="shared" ca="1" si="8"/>
        <v>0</v>
      </c>
      <c r="S30" s="286"/>
      <c r="T30" s="285">
        <f t="shared" ca="1" si="9"/>
        <v>0</v>
      </c>
      <c r="U30" s="286"/>
      <c r="V30" s="285">
        <f t="shared" ca="1" si="10"/>
        <v>0</v>
      </c>
      <c r="W30" s="286"/>
      <c r="X30" s="287"/>
      <c r="Y30" s="288"/>
      <c r="Z30" s="289"/>
      <c r="AA30" s="81"/>
      <c r="AB30" s="93">
        <f t="shared" ca="1" si="2"/>
        <v>7.5</v>
      </c>
      <c r="AC30" t="s">
        <v>208</v>
      </c>
    </row>
    <row r="31" spans="1:30" ht="14.15" customHeight="1" x14ac:dyDescent="0.2">
      <c r="A31" s="290">
        <f t="shared" ca="1" si="3"/>
        <v>46341</v>
      </c>
      <c r="B31" s="291"/>
      <c r="C31" s="80">
        <f ca="1">IF(A31="","",IF(WEEKDAY(A31,1)=1,1,IF(COUNTIF(祝日管理!B:B,A31)=1,"祝",WEEKDAY(A31,1))))</f>
        <v>1</v>
      </c>
      <c r="D31" s="292"/>
      <c r="E31" s="292"/>
      <c r="F31" s="292"/>
      <c r="G31" s="292"/>
      <c r="H31" s="292"/>
      <c r="I31" s="293"/>
      <c r="J31" s="298">
        <f t="shared" si="4"/>
        <v>0</v>
      </c>
      <c r="K31" s="294"/>
      <c r="L31" s="285">
        <f t="shared" si="5"/>
        <v>0</v>
      </c>
      <c r="M31" s="296"/>
      <c r="N31" s="297">
        <f t="shared" ca="1" si="6"/>
        <v>0</v>
      </c>
      <c r="O31" s="286"/>
      <c r="P31" s="285">
        <f t="shared" ca="1" si="7"/>
        <v>0</v>
      </c>
      <c r="Q31" s="286"/>
      <c r="R31" s="285">
        <f t="shared" ca="1" si="8"/>
        <v>0</v>
      </c>
      <c r="S31" s="286"/>
      <c r="T31" s="285">
        <f t="shared" ca="1" si="9"/>
        <v>0</v>
      </c>
      <c r="U31" s="286"/>
      <c r="V31" s="285">
        <f t="shared" ca="1" si="10"/>
        <v>0</v>
      </c>
      <c r="W31" s="286"/>
      <c r="X31" s="287" t="s">
        <v>187</v>
      </c>
      <c r="Y31" s="288"/>
      <c r="Z31" s="289"/>
      <c r="AA31" s="81"/>
      <c r="AB31" s="93">
        <f t="shared" ca="1" si="2"/>
        <v>0</v>
      </c>
      <c r="AC31" t="s">
        <v>209</v>
      </c>
    </row>
    <row r="32" spans="1:30" ht="14.15" customHeight="1" x14ac:dyDescent="0.2">
      <c r="A32" s="290">
        <f t="shared" ca="1" si="3"/>
        <v>46342</v>
      </c>
      <c r="B32" s="291"/>
      <c r="C32" s="80">
        <f ca="1">IF(A32="","",IF(WEEKDAY(A32,1)=1,1,IF(COUNTIF(祝日管理!B:B,A32)=1,"祝",WEEKDAY(A32,1))))</f>
        <v>2</v>
      </c>
      <c r="D32" s="292"/>
      <c r="E32" s="292"/>
      <c r="F32" s="292"/>
      <c r="G32" s="292"/>
      <c r="H32" s="292"/>
      <c r="I32" s="293"/>
      <c r="J32" s="298">
        <f t="shared" si="4"/>
        <v>0</v>
      </c>
      <c r="K32" s="294"/>
      <c r="L32" s="285">
        <f t="shared" si="5"/>
        <v>0</v>
      </c>
      <c r="M32" s="296"/>
      <c r="N32" s="297">
        <f t="shared" ca="1" si="6"/>
        <v>0</v>
      </c>
      <c r="O32" s="286"/>
      <c r="P32" s="285">
        <f t="shared" ca="1" si="7"/>
        <v>0</v>
      </c>
      <c r="Q32" s="286"/>
      <c r="R32" s="285">
        <f t="shared" ca="1" si="8"/>
        <v>0</v>
      </c>
      <c r="S32" s="286"/>
      <c r="T32" s="285">
        <f t="shared" ca="1" si="9"/>
        <v>0</v>
      </c>
      <c r="U32" s="286"/>
      <c r="V32" s="285">
        <f t="shared" ca="1" si="10"/>
        <v>0</v>
      </c>
      <c r="W32" s="286"/>
      <c r="X32" s="287" t="s">
        <v>185</v>
      </c>
      <c r="Y32" s="288"/>
      <c r="Z32" s="289"/>
      <c r="AA32" s="81"/>
      <c r="AB32" s="93">
        <f t="shared" ca="1" si="2"/>
        <v>0</v>
      </c>
    </row>
    <row r="33" spans="1:32" ht="14.15" customHeight="1" x14ac:dyDescent="0.2">
      <c r="A33" s="290">
        <f t="shared" ca="1" si="3"/>
        <v>46343</v>
      </c>
      <c r="B33" s="291"/>
      <c r="C33" s="80">
        <f ca="1">IF(A33="","",IF(WEEKDAY(A33,1)=1,1,IF(COUNTIF(祝日管理!B:B,A33)=1,"祝",WEEKDAY(A33,1))))</f>
        <v>3</v>
      </c>
      <c r="D33" s="292"/>
      <c r="E33" s="292"/>
      <c r="F33" s="292"/>
      <c r="G33" s="292"/>
      <c r="H33" s="292"/>
      <c r="I33" s="293"/>
      <c r="J33" s="298">
        <f t="shared" si="4"/>
        <v>0</v>
      </c>
      <c r="K33" s="294"/>
      <c r="L33" s="285">
        <f t="shared" si="5"/>
        <v>0</v>
      </c>
      <c r="M33" s="296"/>
      <c r="N33" s="297">
        <f t="shared" ca="1" si="6"/>
        <v>0</v>
      </c>
      <c r="O33" s="286"/>
      <c r="P33" s="285">
        <f t="shared" ca="1" si="7"/>
        <v>0</v>
      </c>
      <c r="Q33" s="286"/>
      <c r="R33" s="285">
        <f t="shared" ca="1" si="8"/>
        <v>0</v>
      </c>
      <c r="S33" s="286"/>
      <c r="T33" s="285">
        <f t="shared" ca="1" si="9"/>
        <v>0</v>
      </c>
      <c r="U33" s="286"/>
      <c r="V33" s="285">
        <f t="shared" ca="1" si="10"/>
        <v>0</v>
      </c>
      <c r="W33" s="286"/>
      <c r="X33" s="287"/>
      <c r="Y33" s="288"/>
      <c r="Z33" s="289"/>
      <c r="AA33" s="81"/>
      <c r="AB33" s="93">
        <f t="shared" ca="1" si="2"/>
        <v>7.5</v>
      </c>
      <c r="AD33" t="s">
        <v>214</v>
      </c>
    </row>
    <row r="34" spans="1:32" ht="14.15" customHeight="1" x14ac:dyDescent="0.2">
      <c r="A34" s="290">
        <f t="shared" ca="1" si="3"/>
        <v>46344</v>
      </c>
      <c r="B34" s="291"/>
      <c r="C34" s="80">
        <f ca="1">IF(A34="","",IF(WEEKDAY(A34,1)=1,1,IF(COUNTIF(祝日管理!B:B,A34)=1,"祝",WEEKDAY(A34,1))))</f>
        <v>4</v>
      </c>
      <c r="D34" s="292"/>
      <c r="E34" s="292"/>
      <c r="F34" s="292"/>
      <c r="G34" s="292"/>
      <c r="H34" s="292"/>
      <c r="I34" s="293"/>
      <c r="J34" s="298">
        <f t="shared" si="4"/>
        <v>0</v>
      </c>
      <c r="K34" s="294"/>
      <c r="L34" s="285">
        <f t="shared" si="5"/>
        <v>0</v>
      </c>
      <c r="M34" s="296"/>
      <c r="N34" s="297">
        <f t="shared" ca="1" si="6"/>
        <v>0</v>
      </c>
      <c r="O34" s="286"/>
      <c r="P34" s="285">
        <f t="shared" ca="1" si="7"/>
        <v>0</v>
      </c>
      <c r="Q34" s="286"/>
      <c r="R34" s="285">
        <f t="shared" ca="1" si="8"/>
        <v>0</v>
      </c>
      <c r="S34" s="286"/>
      <c r="T34" s="285">
        <f t="shared" ca="1" si="9"/>
        <v>0</v>
      </c>
      <c r="U34" s="286"/>
      <c r="V34" s="285">
        <f t="shared" ca="1" si="10"/>
        <v>0</v>
      </c>
      <c r="W34" s="286"/>
      <c r="X34" s="287"/>
      <c r="Y34" s="288"/>
      <c r="Z34" s="289"/>
      <c r="AA34" s="81"/>
      <c r="AB34" s="93">
        <f ca="1">IF(ISERROR((X34="")*(7.5-N34)),0,(X34="")*(7.5-N34))</f>
        <v>7.5</v>
      </c>
      <c r="AD34" t="s">
        <v>215</v>
      </c>
    </row>
    <row r="35" spans="1:32" ht="14.15" customHeight="1" x14ac:dyDescent="0.2">
      <c r="A35" s="290">
        <f t="shared" ca="1" si="3"/>
        <v>46345</v>
      </c>
      <c r="B35" s="291"/>
      <c r="C35" s="80">
        <f ca="1">IF(A35="","",IF(WEEKDAY(A35,1)=1,1,IF(COUNTIF(祝日管理!B:B,A35)=1,"祝",WEEKDAY(A35,1))))</f>
        <v>5</v>
      </c>
      <c r="D35" s="292"/>
      <c r="E35" s="292"/>
      <c r="F35" s="292"/>
      <c r="G35" s="292"/>
      <c r="H35" s="292"/>
      <c r="I35" s="293"/>
      <c r="J35" s="298">
        <f t="shared" si="4"/>
        <v>0</v>
      </c>
      <c r="K35" s="294"/>
      <c r="L35" s="285">
        <f t="shared" si="5"/>
        <v>0</v>
      </c>
      <c r="M35" s="296"/>
      <c r="N35" s="297">
        <f t="shared" ca="1" si="6"/>
        <v>0</v>
      </c>
      <c r="O35" s="286"/>
      <c r="P35" s="285">
        <f t="shared" ca="1" si="7"/>
        <v>0</v>
      </c>
      <c r="Q35" s="286"/>
      <c r="R35" s="285">
        <f t="shared" ca="1" si="8"/>
        <v>0</v>
      </c>
      <c r="S35" s="286"/>
      <c r="T35" s="285">
        <f t="shared" ca="1" si="9"/>
        <v>0</v>
      </c>
      <c r="U35" s="286"/>
      <c r="V35" s="285">
        <f t="shared" ca="1" si="10"/>
        <v>0</v>
      </c>
      <c r="W35" s="286"/>
      <c r="X35" s="287"/>
      <c r="Y35" s="288"/>
      <c r="Z35" s="289"/>
      <c r="AA35" s="81"/>
      <c r="AB35" s="93">
        <f ca="1">IF(ISERROR((X35="")*(7.5-N35)),0,(X35="")*(7.5-N35))</f>
        <v>7.5</v>
      </c>
    </row>
    <row r="36" spans="1:32" ht="14.15" customHeight="1" x14ac:dyDescent="0.2">
      <c r="A36" s="290">
        <f t="shared" ca="1" si="3"/>
        <v>46346</v>
      </c>
      <c r="B36" s="291"/>
      <c r="C36" s="80">
        <f ca="1">IF(A36="","",IF(WEEKDAY(A36,1)=1,1,IF(COUNTIF(祝日管理!B:B,A36)=1,"祝",WEEKDAY(A36,1))))</f>
        <v>6</v>
      </c>
      <c r="D36" s="292"/>
      <c r="E36" s="292"/>
      <c r="F36" s="292"/>
      <c r="G36" s="292"/>
      <c r="H36" s="292"/>
      <c r="I36" s="293"/>
      <c r="J36" s="298">
        <f t="shared" si="4"/>
        <v>0</v>
      </c>
      <c r="K36" s="294"/>
      <c r="L36" s="285">
        <f t="shared" si="5"/>
        <v>0</v>
      </c>
      <c r="M36" s="296"/>
      <c r="N36" s="297">
        <f t="shared" ca="1" si="6"/>
        <v>0</v>
      </c>
      <c r="O36" s="286"/>
      <c r="P36" s="285">
        <f t="shared" ca="1" si="7"/>
        <v>0</v>
      </c>
      <c r="Q36" s="286"/>
      <c r="R36" s="285">
        <f t="shared" ca="1" si="8"/>
        <v>0</v>
      </c>
      <c r="S36" s="286"/>
      <c r="T36" s="285">
        <f t="shared" ca="1" si="9"/>
        <v>0</v>
      </c>
      <c r="U36" s="286"/>
      <c r="V36" s="285">
        <f t="shared" ca="1" si="10"/>
        <v>0</v>
      </c>
      <c r="W36" s="286"/>
      <c r="X36" s="287"/>
      <c r="Y36" s="288"/>
      <c r="Z36" s="289"/>
      <c r="AA36" s="81"/>
      <c r="AB36" s="93">
        <f t="shared" ca="1" si="2"/>
        <v>7.5</v>
      </c>
    </row>
    <row r="37" spans="1:32" ht="14.15" customHeight="1" x14ac:dyDescent="0.2">
      <c r="A37" s="290">
        <f t="shared" ca="1" si="3"/>
        <v>46347</v>
      </c>
      <c r="B37" s="291"/>
      <c r="C37" s="80">
        <f ca="1">IF(A37="","",IF(WEEKDAY(A37,1)=1,1,IF(COUNTIF(祝日管理!B:B,A37)=1,"祝",WEEKDAY(A37,1))))</f>
        <v>7</v>
      </c>
      <c r="D37" s="292"/>
      <c r="E37" s="292"/>
      <c r="F37" s="292"/>
      <c r="G37" s="292"/>
      <c r="H37" s="292"/>
      <c r="I37" s="293"/>
      <c r="J37" s="298">
        <f t="shared" si="4"/>
        <v>0</v>
      </c>
      <c r="K37" s="294"/>
      <c r="L37" s="285">
        <f t="shared" si="5"/>
        <v>0</v>
      </c>
      <c r="M37" s="296"/>
      <c r="N37" s="297">
        <f t="shared" ca="1" si="6"/>
        <v>0</v>
      </c>
      <c r="O37" s="286"/>
      <c r="P37" s="285">
        <f t="shared" ca="1" si="7"/>
        <v>0</v>
      </c>
      <c r="Q37" s="286"/>
      <c r="R37" s="285">
        <f t="shared" ca="1" si="8"/>
        <v>0</v>
      </c>
      <c r="S37" s="286"/>
      <c r="T37" s="285">
        <f t="shared" ca="1" si="9"/>
        <v>0</v>
      </c>
      <c r="U37" s="286"/>
      <c r="V37" s="285">
        <f t="shared" ca="1" si="10"/>
        <v>0</v>
      </c>
      <c r="W37" s="286"/>
      <c r="X37" s="287"/>
      <c r="Y37" s="288"/>
      <c r="Z37" s="289"/>
      <c r="AA37" s="81"/>
      <c r="AB37" s="93">
        <f t="shared" ca="1" si="2"/>
        <v>7.5</v>
      </c>
    </row>
    <row r="38" spans="1:32" ht="14.15" customHeight="1" x14ac:dyDescent="0.2">
      <c r="A38" s="290">
        <f t="shared" ca="1" si="3"/>
        <v>46348</v>
      </c>
      <c r="B38" s="291"/>
      <c r="C38" s="80">
        <f ca="1">IF(A38="","",IF(WEEKDAY(A38,1)=1,1,IF(COUNTIF(祝日管理!B:B,A38)=1,"祝",WEEKDAY(A38,1))))</f>
        <v>1</v>
      </c>
      <c r="D38" s="292"/>
      <c r="E38" s="292"/>
      <c r="F38" s="292"/>
      <c r="G38" s="292"/>
      <c r="H38" s="292"/>
      <c r="I38" s="293"/>
      <c r="J38" s="298">
        <f t="shared" si="4"/>
        <v>0</v>
      </c>
      <c r="K38" s="294"/>
      <c r="L38" s="285">
        <f t="shared" si="5"/>
        <v>0</v>
      </c>
      <c r="M38" s="296"/>
      <c r="N38" s="297">
        <f t="shared" ca="1" si="6"/>
        <v>0</v>
      </c>
      <c r="O38" s="286"/>
      <c r="P38" s="285">
        <f t="shared" ca="1" si="7"/>
        <v>0</v>
      </c>
      <c r="Q38" s="286"/>
      <c r="R38" s="285">
        <f t="shared" ca="1" si="8"/>
        <v>0</v>
      </c>
      <c r="S38" s="286"/>
      <c r="T38" s="285">
        <f t="shared" ca="1" si="9"/>
        <v>0</v>
      </c>
      <c r="U38" s="286"/>
      <c r="V38" s="285">
        <f t="shared" ca="1" si="10"/>
        <v>0</v>
      </c>
      <c r="W38" s="286"/>
      <c r="X38" s="287" t="s">
        <v>187</v>
      </c>
      <c r="Y38" s="288"/>
      <c r="Z38" s="289"/>
      <c r="AA38" s="81"/>
      <c r="AB38" s="93">
        <f t="shared" ca="1" si="2"/>
        <v>0</v>
      </c>
    </row>
    <row r="39" spans="1:32" ht="14.15" customHeight="1" x14ac:dyDescent="0.2">
      <c r="A39" s="290">
        <f t="shared" ca="1" si="3"/>
        <v>46349</v>
      </c>
      <c r="B39" s="291"/>
      <c r="C39" s="80">
        <f ca="1">IF(A39="","",IF(WEEKDAY(A39,1)=1,1,IF(COUNTIF(祝日管理!B:B,A39)=1,"祝",WEEKDAY(A39,1))))</f>
        <v>2</v>
      </c>
      <c r="D39" s="292"/>
      <c r="E39" s="292"/>
      <c r="F39" s="292"/>
      <c r="G39" s="292"/>
      <c r="H39" s="292"/>
      <c r="I39" s="293"/>
      <c r="J39" s="298">
        <f t="shared" si="4"/>
        <v>0</v>
      </c>
      <c r="K39" s="294"/>
      <c r="L39" s="285">
        <f t="shared" si="5"/>
        <v>0</v>
      </c>
      <c r="M39" s="296"/>
      <c r="N39" s="297">
        <f t="shared" ca="1" si="6"/>
        <v>0</v>
      </c>
      <c r="O39" s="286"/>
      <c r="P39" s="285">
        <f t="shared" ca="1" si="7"/>
        <v>0</v>
      </c>
      <c r="Q39" s="286"/>
      <c r="R39" s="285">
        <f t="shared" ca="1" si="8"/>
        <v>0</v>
      </c>
      <c r="S39" s="286"/>
      <c r="T39" s="285">
        <f t="shared" ca="1" si="9"/>
        <v>0</v>
      </c>
      <c r="U39" s="286"/>
      <c r="V39" s="285">
        <f t="shared" ca="1" si="10"/>
        <v>0</v>
      </c>
      <c r="W39" s="286"/>
      <c r="X39" s="287" t="s">
        <v>185</v>
      </c>
      <c r="Y39" s="288"/>
      <c r="Z39" s="289"/>
      <c r="AA39" s="81"/>
      <c r="AB39" s="93">
        <f t="shared" ca="1" si="2"/>
        <v>0</v>
      </c>
    </row>
    <row r="40" spans="1:32" ht="14.15" customHeight="1" x14ac:dyDescent="0.2">
      <c r="A40" s="290">
        <f t="shared" ca="1" si="3"/>
        <v>46350</v>
      </c>
      <c r="B40" s="291"/>
      <c r="C40" s="80">
        <f ca="1">IF(A40="","",IF(WEEKDAY(A40,1)=1,1,IF(COUNTIF(祝日管理!B:B,A40)=1,"祝",WEEKDAY(A40,1))))</f>
        <v>3</v>
      </c>
      <c r="D40" s="292"/>
      <c r="E40" s="292"/>
      <c r="F40" s="292"/>
      <c r="G40" s="292"/>
      <c r="H40" s="292"/>
      <c r="I40" s="293"/>
      <c r="J40" s="298">
        <f t="shared" si="4"/>
        <v>0</v>
      </c>
      <c r="K40" s="294"/>
      <c r="L40" s="285">
        <f t="shared" si="5"/>
        <v>0</v>
      </c>
      <c r="M40" s="296"/>
      <c r="N40" s="297">
        <f t="shared" ca="1" si="6"/>
        <v>0</v>
      </c>
      <c r="O40" s="286"/>
      <c r="P40" s="285">
        <f t="shared" ca="1" si="7"/>
        <v>0</v>
      </c>
      <c r="Q40" s="286"/>
      <c r="R40" s="285">
        <f t="shared" ca="1" si="8"/>
        <v>0</v>
      </c>
      <c r="S40" s="286"/>
      <c r="T40" s="285">
        <f t="shared" ca="1" si="9"/>
        <v>0</v>
      </c>
      <c r="U40" s="286"/>
      <c r="V40" s="285">
        <f t="shared" ca="1" si="10"/>
        <v>0</v>
      </c>
      <c r="W40" s="286"/>
      <c r="X40" s="287" t="s">
        <v>187</v>
      </c>
      <c r="Y40" s="288"/>
      <c r="Z40" s="289"/>
      <c r="AA40" s="81"/>
      <c r="AB40" s="93">
        <f t="shared" ca="1" si="2"/>
        <v>0</v>
      </c>
    </row>
    <row r="41" spans="1:32" ht="14.15" customHeight="1" x14ac:dyDescent="0.2">
      <c r="A41" s="290">
        <f t="shared" ca="1" si="3"/>
        <v>46351</v>
      </c>
      <c r="B41" s="291"/>
      <c r="C41" s="80">
        <f ca="1">IF(A41="","",IF(WEEKDAY(A41,1)=1,1,IF(COUNTIF(祝日管理!B:B,A41)=1,"祝",WEEKDAY(A41,1))))</f>
        <v>4</v>
      </c>
      <c r="D41" s="292"/>
      <c r="E41" s="292"/>
      <c r="F41" s="292"/>
      <c r="G41" s="292"/>
      <c r="H41" s="292"/>
      <c r="I41" s="293"/>
      <c r="J41" s="298">
        <f t="shared" si="4"/>
        <v>0</v>
      </c>
      <c r="K41" s="294"/>
      <c r="L41" s="285">
        <f t="shared" si="5"/>
        <v>0</v>
      </c>
      <c r="M41" s="296"/>
      <c r="N41" s="297">
        <f t="shared" ca="1" si="6"/>
        <v>0</v>
      </c>
      <c r="O41" s="286"/>
      <c r="P41" s="285">
        <f t="shared" ca="1" si="7"/>
        <v>0</v>
      </c>
      <c r="Q41" s="286"/>
      <c r="R41" s="285">
        <f t="shared" ca="1" si="8"/>
        <v>0</v>
      </c>
      <c r="S41" s="286"/>
      <c r="T41" s="285">
        <f t="shared" ca="1" si="9"/>
        <v>0</v>
      </c>
      <c r="U41" s="286"/>
      <c r="V41" s="285">
        <f t="shared" ca="1" si="10"/>
        <v>0</v>
      </c>
      <c r="W41" s="286"/>
      <c r="X41" s="287"/>
      <c r="Y41" s="288"/>
      <c r="Z41" s="289"/>
      <c r="AA41" s="81"/>
      <c r="AB41" s="93">
        <f t="shared" ca="1" si="2"/>
        <v>7.5</v>
      </c>
    </row>
    <row r="42" spans="1:32" ht="14.15" customHeight="1" x14ac:dyDescent="0.2">
      <c r="A42" s="290">
        <f t="shared" ca="1" si="3"/>
        <v>46352</v>
      </c>
      <c r="B42" s="291"/>
      <c r="C42" s="80">
        <f ca="1">IF(A42="","",IF(WEEKDAY(A42,1)=1,1,IF(COUNTIF(祝日管理!B:B,A42)=1,"祝",WEEKDAY(A42,1))))</f>
        <v>5</v>
      </c>
      <c r="D42" s="292"/>
      <c r="E42" s="292"/>
      <c r="F42" s="292"/>
      <c r="G42" s="292"/>
      <c r="H42" s="292"/>
      <c r="I42" s="293"/>
      <c r="J42" s="298">
        <f t="shared" si="4"/>
        <v>0</v>
      </c>
      <c r="K42" s="294"/>
      <c r="L42" s="285">
        <f t="shared" si="5"/>
        <v>0</v>
      </c>
      <c r="M42" s="296"/>
      <c r="N42" s="297">
        <f t="shared" ca="1" si="6"/>
        <v>0</v>
      </c>
      <c r="O42" s="286"/>
      <c r="P42" s="285">
        <f t="shared" ca="1" si="7"/>
        <v>0</v>
      </c>
      <c r="Q42" s="286"/>
      <c r="R42" s="285">
        <f t="shared" ca="1" si="8"/>
        <v>0</v>
      </c>
      <c r="S42" s="286"/>
      <c r="T42" s="285">
        <f t="shared" ca="1" si="9"/>
        <v>0</v>
      </c>
      <c r="U42" s="286"/>
      <c r="V42" s="285">
        <f t="shared" ca="1" si="10"/>
        <v>0</v>
      </c>
      <c r="W42" s="286"/>
      <c r="X42" s="287"/>
      <c r="Y42" s="288"/>
      <c r="Z42" s="289"/>
      <c r="AA42" s="81"/>
      <c r="AB42" s="93">
        <f t="shared" ca="1" si="2"/>
        <v>7.5</v>
      </c>
    </row>
    <row r="43" spans="1:32" ht="14.15" customHeight="1" x14ac:dyDescent="0.2">
      <c r="A43" s="290">
        <f t="shared" ca="1" si="3"/>
        <v>46353</v>
      </c>
      <c r="B43" s="291"/>
      <c r="C43" s="80">
        <f ca="1">IF(A43="","",IF(WEEKDAY(A43,1)=1,1,IF(COUNTIF(祝日管理!B:B,A43)=1,"祝",WEEKDAY(A43,1))))</f>
        <v>6</v>
      </c>
      <c r="D43" s="292"/>
      <c r="E43" s="292"/>
      <c r="F43" s="292"/>
      <c r="G43" s="292"/>
      <c r="H43" s="292"/>
      <c r="I43" s="293"/>
      <c r="J43" s="298">
        <f t="shared" si="4"/>
        <v>0</v>
      </c>
      <c r="K43" s="294"/>
      <c r="L43" s="285">
        <f t="shared" si="5"/>
        <v>0</v>
      </c>
      <c r="M43" s="296"/>
      <c r="N43" s="297">
        <f t="shared" ca="1" si="6"/>
        <v>0</v>
      </c>
      <c r="O43" s="286"/>
      <c r="P43" s="285">
        <f t="shared" ca="1" si="7"/>
        <v>0</v>
      </c>
      <c r="Q43" s="286"/>
      <c r="R43" s="285">
        <f t="shared" ca="1" si="8"/>
        <v>0</v>
      </c>
      <c r="S43" s="286"/>
      <c r="T43" s="285">
        <f t="shared" ca="1" si="9"/>
        <v>0</v>
      </c>
      <c r="U43" s="286"/>
      <c r="V43" s="285">
        <f t="shared" ca="1" si="10"/>
        <v>0</v>
      </c>
      <c r="W43" s="286"/>
      <c r="X43" s="287"/>
      <c r="Y43" s="288"/>
      <c r="Z43" s="289"/>
      <c r="AA43" s="81"/>
      <c r="AB43" s="93">
        <f t="shared" ca="1" si="2"/>
        <v>7.5</v>
      </c>
    </row>
    <row r="44" spans="1:32" ht="14.15" customHeight="1" x14ac:dyDescent="0.2">
      <c r="A44" s="290">
        <f t="shared" ca="1" si="3"/>
        <v>46354</v>
      </c>
      <c r="B44" s="291"/>
      <c r="C44" s="80">
        <f ca="1">IF(A44="","",IF(WEEKDAY(A44,1)=1,1,IF(COUNTIF(祝日管理!B:B,A44)=1,"祝",WEEKDAY(A44,1))))</f>
        <v>7</v>
      </c>
      <c r="D44" s="292"/>
      <c r="E44" s="292"/>
      <c r="F44" s="292"/>
      <c r="G44" s="292"/>
      <c r="H44" s="292"/>
      <c r="I44" s="293"/>
      <c r="J44" s="298">
        <f t="shared" si="4"/>
        <v>0</v>
      </c>
      <c r="K44" s="294"/>
      <c r="L44" s="285">
        <f t="shared" si="5"/>
        <v>0</v>
      </c>
      <c r="M44" s="296"/>
      <c r="N44" s="297">
        <f t="shared" ca="1" si="6"/>
        <v>0</v>
      </c>
      <c r="O44" s="286"/>
      <c r="P44" s="285">
        <f t="shared" ca="1" si="7"/>
        <v>0</v>
      </c>
      <c r="Q44" s="286"/>
      <c r="R44" s="285">
        <f t="shared" ca="1" si="8"/>
        <v>0</v>
      </c>
      <c r="S44" s="286"/>
      <c r="T44" s="285">
        <f t="shared" ca="1" si="9"/>
        <v>0</v>
      </c>
      <c r="U44" s="286"/>
      <c r="V44" s="285">
        <f t="shared" ca="1" si="10"/>
        <v>0</v>
      </c>
      <c r="W44" s="286"/>
      <c r="X44" s="287"/>
      <c r="Y44" s="288"/>
      <c r="Z44" s="289"/>
      <c r="AA44" s="81"/>
      <c r="AB44" s="93">
        <f t="shared" ca="1" si="2"/>
        <v>7.5</v>
      </c>
    </row>
    <row r="45" spans="1:32" ht="14.15" customHeight="1" x14ac:dyDescent="0.2">
      <c r="A45" s="290">
        <f ca="1">IF(DAY(A44+1)=29,A44+1,"")</f>
        <v>46355</v>
      </c>
      <c r="B45" s="291"/>
      <c r="C45" s="80">
        <f ca="1">IF(A45="","",IF(WEEKDAY(A45,1)=1,1,IF(COUNTIF(祝日管理!B:B,A45)=1,"祝",WEEKDAY(A45,1))))</f>
        <v>1</v>
      </c>
      <c r="D45" s="292"/>
      <c r="E45" s="292"/>
      <c r="F45" s="292"/>
      <c r="G45" s="292"/>
      <c r="H45" s="292"/>
      <c r="I45" s="293"/>
      <c r="J45" s="298">
        <f t="shared" si="4"/>
        <v>0</v>
      </c>
      <c r="K45" s="294"/>
      <c r="L45" s="285">
        <f t="shared" si="5"/>
        <v>0</v>
      </c>
      <c r="M45" s="296"/>
      <c r="N45" s="297">
        <f t="shared" ca="1" si="6"/>
        <v>0</v>
      </c>
      <c r="O45" s="286"/>
      <c r="P45" s="285">
        <f t="shared" ca="1" si="7"/>
        <v>0</v>
      </c>
      <c r="Q45" s="286"/>
      <c r="R45" s="285">
        <f t="shared" ca="1" si="8"/>
        <v>0</v>
      </c>
      <c r="S45" s="286"/>
      <c r="T45" s="285">
        <f t="shared" ca="1" si="9"/>
        <v>0</v>
      </c>
      <c r="U45" s="286"/>
      <c r="V45" s="285">
        <f t="shared" ca="1" si="10"/>
        <v>0</v>
      </c>
      <c r="W45" s="286"/>
      <c r="X45" s="287" t="s">
        <v>187</v>
      </c>
      <c r="Y45" s="288"/>
      <c r="Z45" s="289"/>
      <c r="AA45" s="82"/>
      <c r="AB45" s="93">
        <f t="shared" ca="1" si="2"/>
        <v>0</v>
      </c>
    </row>
    <row r="46" spans="1:32" ht="14.15" customHeight="1" x14ac:dyDescent="0.2">
      <c r="A46" s="290">
        <f ca="1">IF(A45="","",IF(DAY(A45+1)=30,A45+1,""))</f>
        <v>46356</v>
      </c>
      <c r="B46" s="291"/>
      <c r="C46" s="80">
        <f ca="1">IF(A46="","",IF(WEEKDAY(A46,1)=1,1,IF(COUNTIF(祝日管理!B:B,A46)=1,"祝",WEEKDAY(A46,1))))</f>
        <v>2</v>
      </c>
      <c r="D46" s="292"/>
      <c r="E46" s="292"/>
      <c r="F46" s="292"/>
      <c r="G46" s="292"/>
      <c r="H46" s="292"/>
      <c r="I46" s="293"/>
      <c r="J46" s="298">
        <f t="shared" si="4"/>
        <v>0</v>
      </c>
      <c r="K46" s="294"/>
      <c r="L46" s="285">
        <f t="shared" si="5"/>
        <v>0</v>
      </c>
      <c r="M46" s="296"/>
      <c r="N46" s="297">
        <f t="shared" ca="1" si="6"/>
        <v>0</v>
      </c>
      <c r="O46" s="286"/>
      <c r="P46" s="285">
        <f t="shared" ca="1" si="7"/>
        <v>0</v>
      </c>
      <c r="Q46" s="286"/>
      <c r="R46" s="285">
        <f t="shared" ca="1" si="8"/>
        <v>0</v>
      </c>
      <c r="S46" s="286"/>
      <c r="T46" s="285">
        <f t="shared" ca="1" si="9"/>
        <v>0</v>
      </c>
      <c r="U46" s="286"/>
      <c r="V46" s="285">
        <f t="shared" ca="1" si="10"/>
        <v>0</v>
      </c>
      <c r="W46" s="286"/>
      <c r="X46" s="287" t="s">
        <v>185</v>
      </c>
      <c r="Y46" s="288"/>
      <c r="Z46" s="289"/>
      <c r="AA46" s="81"/>
      <c r="AB46" s="93">
        <f t="shared" ca="1" si="2"/>
        <v>0</v>
      </c>
      <c r="AF46">
        <f>+時間・月額</f>
        <v>250000</v>
      </c>
    </row>
    <row r="47" spans="1:32" ht="14.15" customHeight="1" thickBot="1" x14ac:dyDescent="0.25">
      <c r="A47" s="290" t="str">
        <f ca="1">IF(A46="","",IF(DAY(A46+1)=31,A46+1,""))</f>
        <v/>
      </c>
      <c r="B47" s="291"/>
      <c r="C47" s="80" t="str">
        <f ca="1">IF(A47="","",IF(WEEKDAY(A47,1)=1,1,IF(COUNTIF(祝日管理!B:B,A47)=1,"祝",WEEKDAY(A47,1))))</f>
        <v/>
      </c>
      <c r="D47" s="292"/>
      <c r="E47" s="292"/>
      <c r="F47" s="292"/>
      <c r="G47" s="292"/>
      <c r="H47" s="292"/>
      <c r="I47" s="293"/>
      <c r="J47" s="294">
        <f t="shared" si="4"/>
        <v>0</v>
      </c>
      <c r="K47" s="295"/>
      <c r="L47" s="285">
        <f t="shared" si="5"/>
        <v>0</v>
      </c>
      <c r="M47" s="296"/>
      <c r="N47" s="283" t="str">
        <f t="shared" ca="1" si="6"/>
        <v/>
      </c>
      <c r="O47" s="284"/>
      <c r="P47" s="285" t="str">
        <f t="shared" ca="1" si="7"/>
        <v/>
      </c>
      <c r="Q47" s="286"/>
      <c r="R47" s="285">
        <f t="shared" ca="1" si="8"/>
        <v>0</v>
      </c>
      <c r="S47" s="286"/>
      <c r="T47" s="285">
        <f t="shared" ca="1" si="9"/>
        <v>0</v>
      </c>
      <c r="U47" s="286"/>
      <c r="V47" s="285">
        <f t="shared" ca="1" si="10"/>
        <v>0</v>
      </c>
      <c r="W47" s="286"/>
      <c r="X47" s="287"/>
      <c r="Y47" s="288"/>
      <c r="Z47" s="289"/>
      <c r="AA47" s="81"/>
      <c r="AB47" s="93">
        <f ca="1">IF(ISERROR((X47="")*(7.5-N47)),0,(X47="")*(7.5-N47))</f>
        <v>0</v>
      </c>
    </row>
    <row r="48" spans="1:32" ht="14.15" customHeight="1" thickBot="1" x14ac:dyDescent="0.25">
      <c r="A48" s="274" t="s">
        <v>56</v>
      </c>
      <c r="B48" s="275"/>
      <c r="C48" s="35"/>
      <c r="D48" s="276"/>
      <c r="E48" s="277"/>
      <c r="F48" s="276"/>
      <c r="G48" s="277"/>
      <c r="H48" s="276"/>
      <c r="I48" s="278"/>
      <c r="J48" s="279"/>
      <c r="K48" s="280"/>
      <c r="L48" s="281" t="s">
        <v>198</v>
      </c>
      <c r="M48" s="282"/>
      <c r="N48" s="265"/>
      <c r="O48" s="266"/>
      <c r="P48" s="267" t="s">
        <v>200</v>
      </c>
      <c r="Q48" s="268"/>
      <c r="R48" s="265"/>
      <c r="S48" s="266"/>
      <c r="T48" s="269"/>
      <c r="U48" s="270"/>
      <c r="V48" s="269"/>
      <c r="W48" s="270"/>
      <c r="X48" s="271"/>
      <c r="Y48" s="272"/>
      <c r="Z48" s="273"/>
      <c r="AA48" s="66"/>
      <c r="AB48" t="s">
        <v>191</v>
      </c>
    </row>
    <row r="49" spans="1:34" ht="14.15" customHeight="1" x14ac:dyDescent="0.2">
      <c r="A49" s="255" t="s">
        <v>196</v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8">
        <f>SUM(L17:M47)+N48</f>
        <v>0</v>
      </c>
      <c r="M49" s="259"/>
      <c r="N49" s="260">
        <f ca="1">ROUNDDOWN((SUM(N17:O48)+0.01)*4,0)/4</f>
        <v>0</v>
      </c>
      <c r="O49" s="261"/>
      <c r="P49" s="262">
        <f ca="1">ROUNDDOWN((SUM(P17:Q47)+0.01)*4,0)/4</f>
        <v>0</v>
      </c>
      <c r="Q49" s="263"/>
      <c r="R49" s="242">
        <f ca="1">ROUNDDOWN((SUM(R17:S47)+0.01)*4,0)/4</f>
        <v>0</v>
      </c>
      <c r="S49" s="264"/>
      <c r="T49" s="242">
        <f ca="1">ROUNDDOWN((SUM(T17:U47)+0.01)*4,0)/4</f>
        <v>0</v>
      </c>
      <c r="U49" s="243"/>
      <c r="V49" s="242">
        <f ca="1">ROUNDDOWN((SUM(V17:W47)+0.01)*4,0)/4</f>
        <v>0</v>
      </c>
      <c r="W49" s="243"/>
      <c r="X49" s="244">
        <f ca="1">SUM(通常時間計:休日深夜時間計)</f>
        <v>0</v>
      </c>
      <c r="Y49" s="245"/>
      <c r="Z49" s="245"/>
      <c r="AA49" s="64" t="s">
        <v>142</v>
      </c>
    </row>
    <row r="50" spans="1:34" ht="14.15" customHeight="1" thickBot="1" x14ac:dyDescent="0.25">
      <c r="A50" s="246" t="s">
        <v>106</v>
      </c>
      <c r="B50" s="246"/>
      <c r="C50" s="246"/>
      <c r="D50" s="246"/>
      <c r="E50" s="246"/>
      <c r="F50" s="246"/>
      <c r="G50" s="246"/>
      <c r="H50" s="246"/>
      <c r="I50" s="246"/>
      <c r="J50" s="246"/>
      <c r="K50" s="246"/>
      <c r="L50" s="247">
        <f ca="1">SUM(N50:W50)</f>
        <v>0</v>
      </c>
      <c r="M50" s="248"/>
      <c r="N50" s="249">
        <f ca="1">通常時間計</f>
        <v>0</v>
      </c>
      <c r="O50" s="250"/>
      <c r="P50" s="249">
        <f ca="1">IF(給与体系="140-160時間制",超過勤務時間計,MAX(0,超過勤務時間計+深夜残業時間計-60)*0.25+超過勤務時間計*1.25)</f>
        <v>0</v>
      </c>
      <c r="Q50" s="250"/>
      <c r="R50" s="251">
        <f ca="1">IF(給与体系="140-160時間制",深夜残業時間計,深夜残業時間計*1.5)</f>
        <v>0</v>
      </c>
      <c r="S50" s="252"/>
      <c r="T50" s="251">
        <f ca="1">IF(給与体系="140-160時間制",休日出勤時間計,休日出勤時間計*1.35)</f>
        <v>0</v>
      </c>
      <c r="U50" s="252"/>
      <c r="V50" s="251">
        <f ca="1">IF(給与体系="140-160時間制",休日深夜時間計,休日深夜時間計*1.6)</f>
        <v>0</v>
      </c>
      <c r="W50" s="252"/>
      <c r="X50" s="253">
        <f ca="1">SUM(N50:W50)</f>
        <v>0</v>
      </c>
      <c r="Y50" s="254"/>
      <c r="Z50" s="254"/>
      <c r="AA50" s="88">
        <f>+'10月'!AA50</f>
        <v>45748</v>
      </c>
      <c r="AB50" s="98">
        <f ca="1">+IFERROR(((MAX(0,超過勤務時間計+深夜残業時間計-60)*0.25+(超過勤務時間計+深夜残業時間計)*1.25))/(超過勤務時間計+深夜残業時間計),0)</f>
        <v>0</v>
      </c>
      <c r="AC50" s="2" t="s">
        <v>158</v>
      </c>
      <c r="AD50" s="2"/>
      <c r="AE50" s="231"/>
      <c r="AF50" s="231"/>
      <c r="AG50" s="60"/>
      <c r="AH50" s="61"/>
    </row>
    <row r="51" spans="1:34" ht="14.15" customHeight="1" thickTop="1" thickBot="1" x14ac:dyDescent="0.25">
      <c r="A51" s="232" t="s">
        <v>38</v>
      </c>
      <c r="B51" s="233"/>
      <c r="C51" s="234">
        <f>COUNTA(D17:D47)-W51-W52</f>
        <v>0</v>
      </c>
      <c r="D51" s="235"/>
      <c r="E51" s="236" t="s">
        <v>32</v>
      </c>
      <c r="F51" s="233"/>
      <c r="G51" s="237">
        <f>+COUNTIF($X17:$Z47,E51)</f>
        <v>0</v>
      </c>
      <c r="H51" s="238"/>
      <c r="I51" s="169" t="s">
        <v>111</v>
      </c>
      <c r="J51" s="170"/>
      <c r="K51" s="167">
        <f>+COUNTIF($X17:$Z47,I51)</f>
        <v>0</v>
      </c>
      <c r="L51" s="168"/>
      <c r="M51" s="169" t="s">
        <v>113</v>
      </c>
      <c r="N51" s="170"/>
      <c r="O51" s="167">
        <f>+COUNTIF($X17:$Z47,M51)</f>
        <v>0</v>
      </c>
      <c r="P51" s="168"/>
      <c r="Q51" s="169" t="s">
        <v>112</v>
      </c>
      <c r="R51" s="170"/>
      <c r="S51" s="167">
        <f>+COUNTIF($X17:$Z47,Q51)</f>
        <v>0</v>
      </c>
      <c r="T51" s="168"/>
      <c r="U51" s="169" t="s">
        <v>123</v>
      </c>
      <c r="V51" s="170"/>
      <c r="W51" s="171">
        <f>+K51+(O51+S51)/2</f>
        <v>0</v>
      </c>
      <c r="X51" s="172"/>
      <c r="Y51" s="208" t="s">
        <v>124</v>
      </c>
      <c r="Z51" s="209"/>
      <c r="AA51" s="63">
        <f>+AA52-W51-AA53</f>
        <v>35</v>
      </c>
      <c r="AB51" t="s">
        <v>174</v>
      </c>
    </row>
    <row r="52" spans="1:34" ht="14.15" customHeight="1" thickTop="1" thickBot="1" x14ac:dyDescent="0.25">
      <c r="A52" s="239" t="s">
        <v>153</v>
      </c>
      <c r="B52" s="239"/>
      <c r="C52" s="239"/>
      <c r="D52" s="239"/>
      <c r="E52" s="239"/>
      <c r="F52" s="240">
        <f>+'10月'!F52</f>
        <v>250000</v>
      </c>
      <c r="G52" s="240"/>
      <c r="H52" s="241"/>
      <c r="I52" s="169" t="s">
        <v>126</v>
      </c>
      <c r="J52" s="170"/>
      <c r="K52" s="167">
        <f>+COUNTIF($X17:$Z47,"*全*")-COUNTIF($X17:$Z47,"*欠勤(全*")-COUNTIF($X17:$Z47,"*振休(全*")-COUNTIF($X17:$Z47,"*代休(全*")-K51</f>
        <v>0</v>
      </c>
      <c r="L52" s="168"/>
      <c r="M52" s="169" t="s">
        <v>135</v>
      </c>
      <c r="N52" s="170"/>
      <c r="O52" s="167">
        <f>+COUNTIF($X17:$Z47,"*AM*")-COUNTIF($X17:$Z47,"*欠勤(A*")-COUNTIF($X17:$Z47,"*代休(A*")-O51</f>
        <v>0</v>
      </c>
      <c r="P52" s="168"/>
      <c r="Q52" s="169" t="s">
        <v>136</v>
      </c>
      <c r="R52" s="170"/>
      <c r="S52" s="167">
        <f>+COUNTIF($X17:$Z47,"*PM*")-COUNTIF($X17:$Z47,"*代休(P*")-S51</f>
        <v>0</v>
      </c>
      <c r="T52" s="168"/>
      <c r="U52" s="169" t="s">
        <v>127</v>
      </c>
      <c r="V52" s="170"/>
      <c r="W52" s="171">
        <f>+K52+(O52+S52)/2</f>
        <v>0</v>
      </c>
      <c r="X52" s="172"/>
      <c r="Y52" s="208" t="s">
        <v>125</v>
      </c>
      <c r="Z52" s="209"/>
      <c r="AA52" s="62">
        <f>+'10月'!AA51</f>
        <v>35</v>
      </c>
      <c r="AB52" t="s">
        <v>173</v>
      </c>
    </row>
    <row r="53" spans="1:34" ht="14.15" customHeight="1" thickTop="1" thickBot="1" x14ac:dyDescent="0.25">
      <c r="A53" s="224"/>
      <c r="B53" s="225"/>
      <c r="C53" s="226"/>
      <c r="D53" s="227" t="s">
        <v>21</v>
      </c>
      <c r="E53" s="228"/>
      <c r="F53" s="33"/>
      <c r="G53" s="228" t="s">
        <v>22</v>
      </c>
      <c r="H53" s="228"/>
      <c r="I53" s="34"/>
      <c r="J53" s="229"/>
      <c r="K53" s="225"/>
      <c r="L53" s="230"/>
      <c r="M53" s="27"/>
      <c r="N53" s="28"/>
      <c r="O53" s="32"/>
      <c r="P53" s="4"/>
      <c r="S53" s="4"/>
      <c r="Y53" s="208" t="s">
        <v>166</v>
      </c>
      <c r="Z53" s="209"/>
      <c r="AA53" s="63">
        <v>0</v>
      </c>
      <c r="AB53" t="s">
        <v>167</v>
      </c>
    </row>
    <row r="54" spans="1:34" ht="14.15" customHeight="1" thickTop="1" thickBot="1" x14ac:dyDescent="0.25">
      <c r="A54" s="217" t="s">
        <v>256</v>
      </c>
      <c r="B54" s="218"/>
      <c r="C54" s="218"/>
      <c r="D54" s="219" t="e">
        <f ca="1">ROUNDUP(IF(給与種別=0,時間・月額+手当１金額,IF(給与体系="時給制",(時間・月額+手当１金額/150),(時間・月額+手当１金額)/SUMIF(テーブル_勤務時間,給与体系,テーブル!C:C))),0)</f>
        <v>#DIV/0!</v>
      </c>
      <c r="E54" s="220"/>
      <c r="F54" s="99" t="s">
        <v>39</v>
      </c>
      <c r="G54" s="195">
        <f ca="1">+IF(給与種別=0,1,IF(給与体系&lt;&gt;"時給制",SUMIF(テーブル_勤務時間,給与体系,テーブル!K:K),通常時間計))</f>
        <v>0</v>
      </c>
      <c r="H54" s="195"/>
      <c r="I54" s="100" t="str">
        <f ca="1">IF(給与種別=2,"h","m")</f>
        <v>h</v>
      </c>
      <c r="J54" s="221">
        <f ca="1">IF(給与体系="時給制",基本給単価*基本給時間,SUMIF(テーブル!U2:U13,当月,テーブル!V2:V13))</f>
        <v>0</v>
      </c>
      <c r="K54" s="222"/>
      <c r="L54" s="223"/>
      <c r="M54" s="4"/>
      <c r="N54" s="202" t="s">
        <v>188</v>
      </c>
      <c r="O54" s="203"/>
      <c r="P54" s="203"/>
      <c r="Q54" s="204">
        <f>(合計_15分未満切捨て-(K51+K52)*7.5-(O51+O52)*3-(S51+S52)*4.5)</f>
        <v>0</v>
      </c>
      <c r="R54" s="205"/>
      <c r="S54" s="206"/>
      <c r="T54" s="207"/>
      <c r="U54" s="92" t="s">
        <v>197</v>
      </c>
      <c r="Y54" s="208" t="s">
        <v>203</v>
      </c>
      <c r="Z54" s="209"/>
      <c r="AA54" s="63">
        <f>+SUM('11月:4月'!W51:X51)</f>
        <v>0</v>
      </c>
      <c r="AB54" t="s">
        <v>204</v>
      </c>
    </row>
    <row r="55" spans="1:34" ht="14.15" customHeight="1" thickTop="1" thickBot="1" x14ac:dyDescent="0.25">
      <c r="A55" s="192" t="str">
        <f ca="1">+IF(給与体系="時給制","超過勤務","みなし給")</f>
        <v>みなし給</v>
      </c>
      <c r="B55" s="193"/>
      <c r="C55" s="194"/>
      <c r="D55" s="210" t="e">
        <f ca="1">IF(給与体系="140-160時間制",基本給単価/4,IF(時間外係数=0,基本給単価*1.25,ROUNDUP(IF(給与体系="時給制",(時間・月額+手当１金額/150)*時間外係数,(時間・月額+手当１金額)/SUMIF(テーブル_勤務時間,給与体系,テーブル!C:C)*SUMIF(テーブル_勤務時間,給与体系,テーブル!E:E)),0)))</f>
        <v>#DIV/0!</v>
      </c>
      <c r="E55" s="211"/>
      <c r="F55" s="99" t="s">
        <v>39</v>
      </c>
      <c r="G55" s="195">
        <f ca="1">+IF(給与体系="時給制",超過勤務時間計,SUMIF(テーブル_勤務時間,給与体系,テーブル_みなし時間))</f>
        <v>0</v>
      </c>
      <c r="H55" s="195"/>
      <c r="I55" s="100" t="s">
        <v>40</v>
      </c>
      <c r="J55" s="212">
        <f ca="1">IF(みなし給時間="","",IF(給与体系="時給制",みなし給単価*みなし給時間,SUMIF(テーブル!U2:U13,当月,テーブル!W2:W13)))</f>
        <v>0</v>
      </c>
      <c r="K55" s="213"/>
      <c r="L55" s="214"/>
      <c r="M55" s="4"/>
      <c r="N55" s="215" t="s">
        <v>189</v>
      </c>
      <c r="O55" s="216"/>
      <c r="P55" s="216"/>
      <c r="Q55" s="204">
        <f>+N48+R48*7.5</f>
        <v>0</v>
      </c>
      <c r="R55" s="205"/>
      <c r="S55" s="206"/>
      <c r="T55" s="207"/>
      <c r="U55" s="92" t="s">
        <v>201</v>
      </c>
      <c r="AA55" s="87" t="s">
        <v>192</v>
      </c>
    </row>
    <row r="56" spans="1:34" ht="14.15" customHeight="1" thickTop="1" thickBot="1" x14ac:dyDescent="0.25">
      <c r="A56" s="192" t="str">
        <f ca="1">+IF(給与体系="時給制","深夜残業","月額給")</f>
        <v>月額給</v>
      </c>
      <c r="B56" s="193"/>
      <c r="C56" s="194"/>
      <c r="D56" s="200" t="e">
        <f ca="1">IF(給与体系="時給制",ROUND(基本給単価*(1.5+MAX(0,時間外係数-1.25)),0),IF(給与体系="月給制","",VLOOKUP(給与体系,テーブル!B:F,5,0)))</f>
        <v>#N/A</v>
      </c>
      <c r="E56" s="201"/>
      <c r="F56" s="99" t="str">
        <f ca="1">+IF(給与体系="時給制","＊",IF(給与体系="月給制","","－"))</f>
        <v>－</v>
      </c>
      <c r="G56" s="195" t="e">
        <f ca="1">+IF(給与体系="時給制",深夜残業時間計,IF(給与体系="月給制","月額給",VLOOKUP(給与体系,テーブル!B:G,6,0)))</f>
        <v>#N/A</v>
      </c>
      <c r="H56" s="195"/>
      <c r="I56" s="100" t="str">
        <f ca="1">+IF(給与体系="時給制","h","制")</f>
        <v>制</v>
      </c>
      <c r="J56" s="179">
        <f ca="1">IF(給与体系="時給制",D56*G56,基本給+みなし給)</f>
        <v>0</v>
      </c>
      <c r="K56" s="180"/>
      <c r="L56" s="181"/>
      <c r="M56" s="4"/>
      <c r="N56" s="202" t="s">
        <v>190</v>
      </c>
      <c r="O56" s="203"/>
      <c r="P56" s="203"/>
      <c r="Q56" s="204">
        <f>+Q54-Q55</f>
        <v>0</v>
      </c>
      <c r="R56" s="205"/>
      <c r="S56" s="206"/>
      <c r="T56" s="207"/>
      <c r="U56" s="92" t="s">
        <v>199</v>
      </c>
      <c r="AA56" s="86">
        <f>IF(D62="テレワーク手当",J62/400,IF(D63="テレワーク手当",J63/400,IF(D64="テレワーク手当",J64/400,0)))</f>
        <v>0</v>
      </c>
      <c r="AB56" t="s">
        <v>193</v>
      </c>
    </row>
    <row r="57" spans="1:34" ht="14.15" customHeight="1" thickTop="1" thickBot="1" x14ac:dyDescent="0.25">
      <c r="A57" s="192" t="str">
        <f ca="1">+IF(給与体系="時給制","休日出勤","控除精算")</f>
        <v>控除精算</v>
      </c>
      <c r="B57" s="193"/>
      <c r="C57" s="194"/>
      <c r="D57" s="176" t="e">
        <f ca="1">ROUNDUP(IF(給与種別=0,0,IF(給与体系="時給制",(基本給単価)*1.35,(時間・月額)/SUMIF(テーブル_勤務時間,給与体系,テーブル!C:C))),0)</f>
        <v>#DIV/0!</v>
      </c>
      <c r="E57" s="177"/>
      <c r="F57" s="99" t="s">
        <v>39</v>
      </c>
      <c r="G57" s="195">
        <f ca="1">IF(給与体系="時給制",休日出勤時間計,IF(給与体系="月給制",-1*欠勤時間計,IF(給与体系="140-160時間制",MIN(0,時間合計-140),MIN(0,補正勤務時間合計-SUMIF(テーブル_勤務時間,給与体系,テーブル!H:H)))))</f>
        <v>0</v>
      </c>
      <c r="H57" s="195"/>
      <c r="I57" s="100" t="s">
        <v>40</v>
      </c>
      <c r="J57" s="179" t="e">
        <f ca="1">MAX(控除単価*控除時間,時間・月額*-1)</f>
        <v>#DIV/0!</v>
      </c>
      <c r="K57" s="180"/>
      <c r="L57" s="181"/>
      <c r="M57" s="4"/>
      <c r="N57" s="196" t="s">
        <v>134</v>
      </c>
      <c r="O57" s="197"/>
      <c r="P57" s="198">
        <f ca="1">_xlfn.XLOOKUP(当月,テーブル!U2:U13,テーブル!X2:X13,テーブル!$O$6,FALSE)</f>
        <v>0</v>
      </c>
      <c r="Q57" s="198"/>
      <c r="R57" s="198"/>
      <c r="S57" s="198"/>
      <c r="T57" s="198"/>
      <c r="U57" s="198"/>
      <c r="V57" s="198"/>
      <c r="W57" s="199"/>
    </row>
    <row r="58" spans="1:34" ht="14.15" customHeight="1" x14ac:dyDescent="0.2">
      <c r="A58" s="173" t="str">
        <f ca="1">+IF(給与体系="時給制","休日深夜","超過精算")</f>
        <v>超過精算</v>
      </c>
      <c r="B58" s="174"/>
      <c r="C58" s="175"/>
      <c r="D58" s="176" t="e">
        <f ca="1">ROUNDUP(IF(給与種別=0,((時間・月額+手当１金額)/150),IF(給与体系="時給制",(基本給単価)*1.6,(時間・月額)/SUMIF(テーブル_勤務時間,給与体系,テーブル!C:C))),0)</f>
        <v>#DIV/0!</v>
      </c>
      <c r="E58" s="177"/>
      <c r="F58" s="101" t="s">
        <v>39</v>
      </c>
      <c r="G58" s="178">
        <f ca="1">IF(給与体系="時給制",休日深夜時間計,IF(給与体系="140-160時間制",MAX(0,時間合計-160)*1.25+MAX(0,深夜残業時間計-80)*0.25,(IF(給与体系="管理監督者",(深夜残業時間計+休日深夜時間計)*0.25,MAX(0,補正勤務時間合計-SUMIF(テーブル_勤務時間,給与体系,テーブル!I:I))))))</f>
        <v>0</v>
      </c>
      <c r="H58" s="178"/>
      <c r="I58" s="102" t="s">
        <v>40</v>
      </c>
      <c r="J58" s="179" t="e">
        <f ca="1">超過単価*超過時間</f>
        <v>#DIV/0!</v>
      </c>
      <c r="K58" s="180"/>
      <c r="L58" s="181"/>
      <c r="M58" s="4"/>
      <c r="N58" s="182" t="s">
        <v>157</v>
      </c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94" t="s">
        <v>211</v>
      </c>
    </row>
    <row r="59" spans="1:34" ht="14.15" customHeight="1" thickBot="1" x14ac:dyDescent="0.25">
      <c r="A59" s="183" t="s">
        <v>227</v>
      </c>
      <c r="B59" s="184"/>
      <c r="C59" s="185"/>
      <c r="D59" s="186"/>
      <c r="E59" s="187"/>
      <c r="F59" s="83"/>
      <c r="G59" s="188" t="s">
        <v>255</v>
      </c>
      <c r="H59" s="188"/>
      <c r="I59" s="84"/>
      <c r="J59" s="189" t="str">
        <f>+IF(ISERROR(過不足調整単価*過不足調整時間),"",過不足調整単価*過不足調整時間)</f>
        <v/>
      </c>
      <c r="K59" s="190"/>
      <c r="L59" s="191"/>
      <c r="M59" s="4"/>
      <c r="N59" s="154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95">
        <f ca="1">+SUM(AB17:AB47)+G51*7.5+AB59</f>
        <v>127.5</v>
      </c>
    </row>
    <row r="60" spans="1:34" ht="14.15" customHeight="1" thickTop="1" x14ac:dyDescent="0.2">
      <c r="A60" s="145"/>
      <c r="B60" s="146"/>
      <c r="C60" s="147"/>
      <c r="D60" s="148" t="s">
        <v>148</v>
      </c>
      <c r="E60" s="149"/>
      <c r="F60" s="149"/>
      <c r="G60" s="149"/>
      <c r="H60" s="149"/>
      <c r="I60" s="150"/>
      <c r="J60" s="151" t="e">
        <f ca="1">IF(給与体系="時給制",SUM(基本給:L59),SUM(J56:L59))</f>
        <v>#DIV/0!</v>
      </c>
      <c r="K60" s="152"/>
      <c r="L60" s="153"/>
      <c r="M60" s="4"/>
      <c r="N60" s="154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6"/>
      <c r="AB60" t="s">
        <v>229</v>
      </c>
    </row>
    <row r="61" spans="1:34" ht="14.15" customHeight="1" x14ac:dyDescent="0.2">
      <c r="A61" s="157" t="s">
        <v>137</v>
      </c>
      <c r="B61" s="158" t="s">
        <v>182</v>
      </c>
      <c r="C61" s="159"/>
      <c r="D61" s="160">
        <f>'4月'!D61</f>
        <v>0</v>
      </c>
      <c r="E61" s="161"/>
      <c r="F61" s="161"/>
      <c r="G61" s="161"/>
      <c r="H61" s="161"/>
      <c r="I61" s="162"/>
      <c r="J61" s="126">
        <f>'4月'!手当１金額</f>
        <v>0</v>
      </c>
      <c r="K61" s="127"/>
      <c r="L61" s="128"/>
      <c r="M61" s="4"/>
      <c r="N61" s="115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7"/>
      <c r="AB61" t="s">
        <v>232</v>
      </c>
      <c r="AC61" t="s">
        <v>235</v>
      </c>
    </row>
    <row r="62" spans="1:34" ht="14.15" customHeight="1" x14ac:dyDescent="0.2">
      <c r="A62" s="157"/>
      <c r="B62" s="163" t="s">
        <v>183</v>
      </c>
      <c r="C62" s="120"/>
      <c r="D62" s="133"/>
      <c r="E62" s="134"/>
      <c r="F62" s="134"/>
      <c r="G62" s="134"/>
      <c r="H62" s="134"/>
      <c r="I62" s="135"/>
      <c r="J62" s="126"/>
      <c r="K62" s="127"/>
      <c r="L62" s="128"/>
      <c r="M62" s="4"/>
      <c r="N62" s="115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7"/>
      <c r="AB62" t="s">
        <v>239</v>
      </c>
      <c r="AC62" t="s">
        <v>236</v>
      </c>
    </row>
    <row r="63" spans="1:34" ht="14.15" customHeight="1" x14ac:dyDescent="0.2">
      <c r="A63" s="157"/>
      <c r="B63" s="164"/>
      <c r="C63" s="165"/>
      <c r="D63" s="133"/>
      <c r="E63" s="134"/>
      <c r="F63" s="134"/>
      <c r="G63" s="134"/>
      <c r="H63" s="134"/>
      <c r="I63" s="135"/>
      <c r="J63" s="126"/>
      <c r="K63" s="127"/>
      <c r="L63" s="128"/>
      <c r="M63" s="4"/>
      <c r="N63" s="115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7"/>
      <c r="AB63" t="s">
        <v>245</v>
      </c>
      <c r="AC63" t="s">
        <v>249</v>
      </c>
    </row>
    <row r="64" spans="1:34" ht="14.15" customHeight="1" x14ac:dyDescent="0.2">
      <c r="A64" s="157"/>
      <c r="B64" s="166"/>
      <c r="C64" s="123"/>
      <c r="D64" s="133"/>
      <c r="E64" s="134"/>
      <c r="F64" s="134"/>
      <c r="G64" s="134"/>
      <c r="H64" s="134"/>
      <c r="I64" s="135"/>
      <c r="J64" s="126"/>
      <c r="K64" s="127"/>
      <c r="L64" s="128"/>
      <c r="M64" s="4"/>
      <c r="N64" s="115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7"/>
      <c r="AB64" t="s">
        <v>247</v>
      </c>
      <c r="AC64" t="s">
        <v>237</v>
      </c>
    </row>
    <row r="65" spans="1:29" ht="14.15" customHeight="1" x14ac:dyDescent="0.2">
      <c r="A65" s="136" t="s">
        <v>28</v>
      </c>
      <c r="B65" s="137"/>
      <c r="C65" s="137"/>
      <c r="D65" s="137"/>
      <c r="E65" s="137"/>
      <c r="F65" s="137"/>
      <c r="G65" s="137"/>
      <c r="H65" s="137"/>
      <c r="I65" s="138"/>
      <c r="J65" s="139" t="e">
        <f ca="1">J60+SUM(J62:L64)</f>
        <v>#DIV/0!</v>
      </c>
      <c r="K65" s="140"/>
      <c r="L65" s="141"/>
      <c r="M65" s="4"/>
      <c r="N65" s="142" t="str">
        <f>+IF('4月'!J66=0," ※前月の通勤費がゼロのため通勤交通費が表示されない","")</f>
        <v xml:space="preserve"> ※前月の通勤費がゼロのため通勤交通費が表示されない</v>
      </c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4"/>
    </row>
    <row r="66" spans="1:29" ht="14.15" customHeight="1" x14ac:dyDescent="0.2">
      <c r="A66" s="132" t="s">
        <v>169</v>
      </c>
      <c r="B66" s="124"/>
      <c r="C66" s="124"/>
      <c r="D66" s="124"/>
      <c r="E66" s="124"/>
      <c r="F66" s="124"/>
      <c r="G66" s="124"/>
      <c r="H66" s="124"/>
      <c r="I66" s="125"/>
      <c r="J66" s="126">
        <f>+'10月'!$J$66</f>
        <v>0</v>
      </c>
      <c r="K66" s="127"/>
      <c r="L66" s="128"/>
      <c r="M66" s="4"/>
      <c r="N66" s="115" t="str">
        <f>+IF(C51=0," ※出勤がないため通勤交通費の支給は無し","")</f>
        <v xml:space="preserve"> ※出勤がないため通勤交通費の支給は無し</v>
      </c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7"/>
      <c r="AB66" t="s">
        <v>246</v>
      </c>
      <c r="AC66" t="s">
        <v>253</v>
      </c>
    </row>
    <row r="67" spans="1:29" ht="14.15" customHeight="1" x14ac:dyDescent="0.2">
      <c r="A67" s="132" t="s">
        <v>141</v>
      </c>
      <c r="B67" s="124"/>
      <c r="C67" s="125"/>
      <c r="D67" s="124" t="s">
        <v>138</v>
      </c>
      <c r="E67" s="124"/>
      <c r="F67" s="124"/>
      <c r="G67" s="124"/>
      <c r="H67" s="124"/>
      <c r="I67" s="125"/>
      <c r="J67" s="126">
        <v>0</v>
      </c>
      <c r="K67" s="127"/>
      <c r="L67" s="128"/>
      <c r="N67" s="115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7"/>
      <c r="AB67" t="s">
        <v>248</v>
      </c>
      <c r="AC67" t="s">
        <v>254</v>
      </c>
    </row>
    <row r="68" spans="1:29" ht="14.15" customHeight="1" x14ac:dyDescent="0.2">
      <c r="A68" s="118" t="s">
        <v>140</v>
      </c>
      <c r="B68" s="119"/>
      <c r="C68" s="120"/>
      <c r="D68" s="124" t="s">
        <v>138</v>
      </c>
      <c r="E68" s="124"/>
      <c r="F68" s="124"/>
      <c r="G68" s="124"/>
      <c r="H68" s="124"/>
      <c r="I68" s="125"/>
      <c r="J68" s="126">
        <v>0</v>
      </c>
      <c r="K68" s="127"/>
      <c r="L68" s="128"/>
      <c r="N68" s="115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7"/>
    </row>
    <row r="69" spans="1:29" ht="13.5" customHeight="1" x14ac:dyDescent="0.2">
      <c r="A69" s="121"/>
      <c r="B69" s="122"/>
      <c r="C69" s="123"/>
      <c r="D69" s="124" t="s">
        <v>139</v>
      </c>
      <c r="E69" s="124"/>
      <c r="F69" s="124"/>
      <c r="G69" s="124"/>
      <c r="H69" s="124"/>
      <c r="I69" s="125"/>
      <c r="J69" s="129"/>
      <c r="K69" s="130"/>
      <c r="L69" s="131"/>
      <c r="N69" s="115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7"/>
      <c r="AB69" t="s">
        <v>240</v>
      </c>
      <c r="AC69" t="s">
        <v>233</v>
      </c>
    </row>
    <row r="70" spans="1:29" ht="14.15" customHeight="1" thickBot="1" x14ac:dyDescent="0.25">
      <c r="A70" s="109" t="s">
        <v>31</v>
      </c>
      <c r="B70" s="110"/>
      <c r="C70" s="110"/>
      <c r="D70" s="110"/>
      <c r="E70" s="110"/>
      <c r="F70" s="110"/>
      <c r="G70" s="110"/>
      <c r="H70" s="110"/>
      <c r="I70" s="111"/>
      <c r="J70" s="112" t="e">
        <f ca="1">SUM(J65:L69)</f>
        <v>#DIV/0!</v>
      </c>
      <c r="K70" s="113"/>
      <c r="L70" s="114"/>
      <c r="N70" s="115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7"/>
      <c r="AB70" t="s">
        <v>242</v>
      </c>
      <c r="AC70" t="s">
        <v>241</v>
      </c>
    </row>
    <row r="71" spans="1:29" ht="13.5" thickTop="1" x14ac:dyDescent="0.2">
      <c r="T71">
        <v>0</v>
      </c>
      <c r="AB71" t="s">
        <v>230</v>
      </c>
      <c r="AC71" t="s">
        <v>231</v>
      </c>
    </row>
    <row r="73" spans="1:29" x14ac:dyDescent="0.2">
      <c r="AB73" t="s">
        <v>228</v>
      </c>
    </row>
    <row r="74" spans="1:29" x14ac:dyDescent="0.2">
      <c r="AB74" t="s">
        <v>232</v>
      </c>
      <c r="AC74" t="s">
        <v>234</v>
      </c>
    </row>
    <row r="75" spans="1:29" x14ac:dyDescent="0.2">
      <c r="AB75" t="s">
        <v>239</v>
      </c>
      <c r="AC75" t="s">
        <v>238</v>
      </c>
    </row>
    <row r="76" spans="1:29" x14ac:dyDescent="0.2">
      <c r="AB76" t="s">
        <v>245</v>
      </c>
      <c r="AC76" t="s">
        <v>250</v>
      </c>
    </row>
    <row r="79" spans="1:29" x14ac:dyDescent="0.2">
      <c r="AB79" t="s">
        <v>246</v>
      </c>
      <c r="AC79" t="s">
        <v>251</v>
      </c>
    </row>
    <row r="80" spans="1:29" x14ac:dyDescent="0.2">
      <c r="AB80" t="s">
        <v>248</v>
      </c>
      <c r="AC80" t="s">
        <v>252</v>
      </c>
    </row>
    <row r="82" spans="28:29" x14ac:dyDescent="0.2">
      <c r="AB82" t="s">
        <v>240</v>
      </c>
      <c r="AC82" t="s">
        <v>243</v>
      </c>
    </row>
    <row r="83" spans="28:29" x14ac:dyDescent="0.2">
      <c r="AB83" t="s">
        <v>242</v>
      </c>
      <c r="AC83" t="s">
        <v>244</v>
      </c>
    </row>
  </sheetData>
  <dataConsolidate/>
  <mergeCells count="534">
    <mergeCell ref="T9:Z9"/>
    <mergeCell ref="A10:B11"/>
    <mergeCell ref="C10:J11"/>
    <mergeCell ref="T10:Z10"/>
    <mergeCell ref="Y2:Z2"/>
    <mergeCell ref="A3:Z4"/>
    <mergeCell ref="A5:D5"/>
    <mergeCell ref="E5:I6"/>
    <mergeCell ref="A6:D6"/>
    <mergeCell ref="P7:Z7"/>
    <mergeCell ref="N7:O7"/>
    <mergeCell ref="A12:B13"/>
    <mergeCell ref="C12:J13"/>
    <mergeCell ref="A15:B16"/>
    <mergeCell ref="C15:C16"/>
    <mergeCell ref="D15:G15"/>
    <mergeCell ref="H15:I16"/>
    <mergeCell ref="J15:K16"/>
    <mergeCell ref="A8:B9"/>
    <mergeCell ref="C8:J9"/>
    <mergeCell ref="A17:B17"/>
    <mergeCell ref="D17:E17"/>
    <mergeCell ref="F17:G17"/>
    <mergeCell ref="H17:I17"/>
    <mergeCell ref="J17:K17"/>
    <mergeCell ref="L17:M17"/>
    <mergeCell ref="L15:M16"/>
    <mergeCell ref="N15:O16"/>
    <mergeCell ref="P15:Q16"/>
    <mergeCell ref="N17:O17"/>
    <mergeCell ref="P17:Q17"/>
    <mergeCell ref="R17:S17"/>
    <mergeCell ref="T17:U17"/>
    <mergeCell ref="V17:W17"/>
    <mergeCell ref="X17:Z17"/>
    <mergeCell ref="X15:Z16"/>
    <mergeCell ref="AA15:AA16"/>
    <mergeCell ref="D16:E16"/>
    <mergeCell ref="F16:G16"/>
    <mergeCell ref="R15:S16"/>
    <mergeCell ref="T15:U16"/>
    <mergeCell ref="V15:W16"/>
    <mergeCell ref="N18:O18"/>
    <mergeCell ref="P18:Q18"/>
    <mergeCell ref="R18:S18"/>
    <mergeCell ref="T18:U18"/>
    <mergeCell ref="V18:W18"/>
    <mergeCell ref="X18:Z18"/>
    <mergeCell ref="A18:B18"/>
    <mergeCell ref="D18:E18"/>
    <mergeCell ref="F18:G18"/>
    <mergeCell ref="H18:I18"/>
    <mergeCell ref="J18:K18"/>
    <mergeCell ref="L18:M18"/>
    <mergeCell ref="N19:O19"/>
    <mergeCell ref="P19:Q19"/>
    <mergeCell ref="R19:S19"/>
    <mergeCell ref="T19:U19"/>
    <mergeCell ref="V19:W19"/>
    <mergeCell ref="X19:Z19"/>
    <mergeCell ref="A19:B19"/>
    <mergeCell ref="D19:E19"/>
    <mergeCell ref="F19:G19"/>
    <mergeCell ref="H19:I19"/>
    <mergeCell ref="J19:K19"/>
    <mergeCell ref="L19:M19"/>
    <mergeCell ref="N20:O20"/>
    <mergeCell ref="P20:Q20"/>
    <mergeCell ref="R20:S20"/>
    <mergeCell ref="T20:U20"/>
    <mergeCell ref="V20:W20"/>
    <mergeCell ref="X20:Z20"/>
    <mergeCell ref="A20:B20"/>
    <mergeCell ref="D20:E20"/>
    <mergeCell ref="F20:G20"/>
    <mergeCell ref="H20:I20"/>
    <mergeCell ref="J20:K20"/>
    <mergeCell ref="L20:M20"/>
    <mergeCell ref="N21:O21"/>
    <mergeCell ref="P21:Q21"/>
    <mergeCell ref="R21:S21"/>
    <mergeCell ref="T21:U21"/>
    <mergeCell ref="V21:W21"/>
    <mergeCell ref="X21:Z21"/>
    <mergeCell ref="A21:B21"/>
    <mergeCell ref="D21:E21"/>
    <mergeCell ref="F21:G21"/>
    <mergeCell ref="H21:I21"/>
    <mergeCell ref="J21:K21"/>
    <mergeCell ref="L21:M21"/>
    <mergeCell ref="N22:O22"/>
    <mergeCell ref="P22:Q22"/>
    <mergeCell ref="R22:S22"/>
    <mergeCell ref="T22:U22"/>
    <mergeCell ref="V22:W22"/>
    <mergeCell ref="X22:Z22"/>
    <mergeCell ref="A22:B22"/>
    <mergeCell ref="D22:E22"/>
    <mergeCell ref="F22:G22"/>
    <mergeCell ref="H22:I22"/>
    <mergeCell ref="J22:K22"/>
    <mergeCell ref="L22:M22"/>
    <mergeCell ref="N23:O23"/>
    <mergeCell ref="P23:Q23"/>
    <mergeCell ref="R23:S23"/>
    <mergeCell ref="T23:U23"/>
    <mergeCell ref="V23:W23"/>
    <mergeCell ref="X23:Z23"/>
    <mergeCell ref="A23:B23"/>
    <mergeCell ref="D23:E23"/>
    <mergeCell ref="F23:G23"/>
    <mergeCell ref="H23:I23"/>
    <mergeCell ref="J23:K23"/>
    <mergeCell ref="L23:M23"/>
    <mergeCell ref="N24:O24"/>
    <mergeCell ref="P24:Q24"/>
    <mergeCell ref="R24:S24"/>
    <mergeCell ref="T24:U24"/>
    <mergeCell ref="V24:W24"/>
    <mergeCell ref="X24:Z24"/>
    <mergeCell ref="A24:B24"/>
    <mergeCell ref="D24:E24"/>
    <mergeCell ref="F24:G24"/>
    <mergeCell ref="H24:I24"/>
    <mergeCell ref="J24:K24"/>
    <mergeCell ref="L24:M24"/>
    <mergeCell ref="N25:O25"/>
    <mergeCell ref="P25:Q25"/>
    <mergeCell ref="R25:S25"/>
    <mergeCell ref="T25:U25"/>
    <mergeCell ref="V25:W25"/>
    <mergeCell ref="X25:Z25"/>
    <mergeCell ref="A25:B25"/>
    <mergeCell ref="D25:E25"/>
    <mergeCell ref="F25:G25"/>
    <mergeCell ref="H25:I25"/>
    <mergeCell ref="J25:K25"/>
    <mergeCell ref="L25:M25"/>
    <mergeCell ref="N26:O26"/>
    <mergeCell ref="P26:Q26"/>
    <mergeCell ref="R26:S26"/>
    <mergeCell ref="T26:U26"/>
    <mergeCell ref="V26:W26"/>
    <mergeCell ref="X26:Z26"/>
    <mergeCell ref="A26:B26"/>
    <mergeCell ref="D26:E26"/>
    <mergeCell ref="F26:G26"/>
    <mergeCell ref="H26:I26"/>
    <mergeCell ref="J26:K26"/>
    <mergeCell ref="L26:M26"/>
    <mergeCell ref="N27:O27"/>
    <mergeCell ref="P27:Q27"/>
    <mergeCell ref="R27:S27"/>
    <mergeCell ref="T27:U27"/>
    <mergeCell ref="V27:W27"/>
    <mergeCell ref="X27:Z27"/>
    <mergeCell ref="A27:B27"/>
    <mergeCell ref="D27:E27"/>
    <mergeCell ref="F27:G27"/>
    <mergeCell ref="H27:I27"/>
    <mergeCell ref="J27:K27"/>
    <mergeCell ref="L27:M27"/>
    <mergeCell ref="N28:O28"/>
    <mergeCell ref="P28:Q28"/>
    <mergeCell ref="R28:S28"/>
    <mergeCell ref="T28:U28"/>
    <mergeCell ref="V28:W28"/>
    <mergeCell ref="X28:Z28"/>
    <mergeCell ref="A28:B28"/>
    <mergeCell ref="D28:E28"/>
    <mergeCell ref="F28:G28"/>
    <mergeCell ref="H28:I28"/>
    <mergeCell ref="J28:K28"/>
    <mergeCell ref="L28:M28"/>
    <mergeCell ref="N29:O29"/>
    <mergeCell ref="P29:Q29"/>
    <mergeCell ref="R29:S29"/>
    <mergeCell ref="T29:U29"/>
    <mergeCell ref="V29:W29"/>
    <mergeCell ref="X29:Z29"/>
    <mergeCell ref="A29:B29"/>
    <mergeCell ref="D29:E29"/>
    <mergeCell ref="F29:G29"/>
    <mergeCell ref="H29:I29"/>
    <mergeCell ref="J29:K29"/>
    <mergeCell ref="L29:M29"/>
    <mergeCell ref="N30:O30"/>
    <mergeCell ref="P30:Q30"/>
    <mergeCell ref="R30:S30"/>
    <mergeCell ref="T30:U30"/>
    <mergeCell ref="V30:W30"/>
    <mergeCell ref="X30:Z30"/>
    <mergeCell ref="A30:B30"/>
    <mergeCell ref="D30:E30"/>
    <mergeCell ref="F30:G30"/>
    <mergeCell ref="H30:I30"/>
    <mergeCell ref="J30:K30"/>
    <mergeCell ref="L30:M30"/>
    <mergeCell ref="N31:O31"/>
    <mergeCell ref="P31:Q31"/>
    <mergeCell ref="R31:S31"/>
    <mergeCell ref="T31:U31"/>
    <mergeCell ref="V31:W31"/>
    <mergeCell ref="X31:Z31"/>
    <mergeCell ref="A31:B31"/>
    <mergeCell ref="D31:E31"/>
    <mergeCell ref="F31:G31"/>
    <mergeCell ref="H31:I31"/>
    <mergeCell ref="J31:K31"/>
    <mergeCell ref="L31:M31"/>
    <mergeCell ref="N32:O32"/>
    <mergeCell ref="P32:Q32"/>
    <mergeCell ref="R32:S32"/>
    <mergeCell ref="T32:U32"/>
    <mergeCell ref="V32:W32"/>
    <mergeCell ref="X32:Z32"/>
    <mergeCell ref="A32:B32"/>
    <mergeCell ref="D32:E32"/>
    <mergeCell ref="F32:G32"/>
    <mergeCell ref="H32:I32"/>
    <mergeCell ref="J32:K32"/>
    <mergeCell ref="L32:M32"/>
    <mergeCell ref="N33:O33"/>
    <mergeCell ref="P33:Q33"/>
    <mergeCell ref="R33:S33"/>
    <mergeCell ref="T33:U33"/>
    <mergeCell ref="V33:W33"/>
    <mergeCell ref="X33:Z33"/>
    <mergeCell ref="A33:B33"/>
    <mergeCell ref="D33:E33"/>
    <mergeCell ref="F33:G33"/>
    <mergeCell ref="H33:I33"/>
    <mergeCell ref="J33:K33"/>
    <mergeCell ref="L33:M33"/>
    <mergeCell ref="N34:O34"/>
    <mergeCell ref="P34:Q34"/>
    <mergeCell ref="R34:S34"/>
    <mergeCell ref="T34:U34"/>
    <mergeCell ref="V34:W34"/>
    <mergeCell ref="X34:Z34"/>
    <mergeCell ref="A34:B34"/>
    <mergeCell ref="D34:E34"/>
    <mergeCell ref="F34:G34"/>
    <mergeCell ref="H34:I34"/>
    <mergeCell ref="J34:K34"/>
    <mergeCell ref="L34:M34"/>
    <mergeCell ref="N35:O35"/>
    <mergeCell ref="P35:Q35"/>
    <mergeCell ref="R35:S35"/>
    <mergeCell ref="T35:U35"/>
    <mergeCell ref="V35:W35"/>
    <mergeCell ref="X35:Z35"/>
    <mergeCell ref="A35:B35"/>
    <mergeCell ref="D35:E35"/>
    <mergeCell ref="F35:G35"/>
    <mergeCell ref="H35:I35"/>
    <mergeCell ref="J35:K35"/>
    <mergeCell ref="L35:M35"/>
    <mergeCell ref="N36:O36"/>
    <mergeCell ref="P36:Q36"/>
    <mergeCell ref="R36:S36"/>
    <mergeCell ref="T36:U36"/>
    <mergeCell ref="V36:W36"/>
    <mergeCell ref="X36:Z36"/>
    <mergeCell ref="A36:B36"/>
    <mergeCell ref="D36:E36"/>
    <mergeCell ref="F36:G36"/>
    <mergeCell ref="H36:I36"/>
    <mergeCell ref="J36:K36"/>
    <mergeCell ref="L36:M36"/>
    <mergeCell ref="N37:O37"/>
    <mergeCell ref="P37:Q37"/>
    <mergeCell ref="R37:S37"/>
    <mergeCell ref="T37:U37"/>
    <mergeCell ref="V37:W37"/>
    <mergeCell ref="X37:Z37"/>
    <mergeCell ref="A37:B37"/>
    <mergeCell ref="D37:E37"/>
    <mergeCell ref="F37:G37"/>
    <mergeCell ref="H37:I37"/>
    <mergeCell ref="J37:K37"/>
    <mergeCell ref="L37:M37"/>
    <mergeCell ref="N38:O38"/>
    <mergeCell ref="P38:Q38"/>
    <mergeCell ref="R38:S38"/>
    <mergeCell ref="T38:U38"/>
    <mergeCell ref="V38:W38"/>
    <mergeCell ref="X38:Z38"/>
    <mergeCell ref="A38:B38"/>
    <mergeCell ref="D38:E38"/>
    <mergeCell ref="F38:G38"/>
    <mergeCell ref="H38:I38"/>
    <mergeCell ref="J38:K38"/>
    <mergeCell ref="L38:M38"/>
    <mergeCell ref="N39:O39"/>
    <mergeCell ref="P39:Q39"/>
    <mergeCell ref="R39:S39"/>
    <mergeCell ref="T39:U39"/>
    <mergeCell ref="V39:W39"/>
    <mergeCell ref="X39:Z39"/>
    <mergeCell ref="A39:B39"/>
    <mergeCell ref="D39:E39"/>
    <mergeCell ref="F39:G39"/>
    <mergeCell ref="H39:I39"/>
    <mergeCell ref="J39:K39"/>
    <mergeCell ref="L39:M39"/>
    <mergeCell ref="N40:O40"/>
    <mergeCell ref="P40:Q40"/>
    <mergeCell ref="R40:S40"/>
    <mergeCell ref="T40:U40"/>
    <mergeCell ref="V40:W40"/>
    <mergeCell ref="X40:Z40"/>
    <mergeCell ref="A40:B40"/>
    <mergeCell ref="D40:E40"/>
    <mergeCell ref="F40:G40"/>
    <mergeCell ref="H40:I40"/>
    <mergeCell ref="J40:K40"/>
    <mergeCell ref="L40:M40"/>
    <mergeCell ref="N41:O41"/>
    <mergeCell ref="P41:Q41"/>
    <mergeCell ref="R41:S41"/>
    <mergeCell ref="T41:U41"/>
    <mergeCell ref="V41:W41"/>
    <mergeCell ref="X41:Z41"/>
    <mergeCell ref="A41:B41"/>
    <mergeCell ref="D41:E41"/>
    <mergeCell ref="F41:G41"/>
    <mergeCell ref="H41:I41"/>
    <mergeCell ref="J41:K41"/>
    <mergeCell ref="L41:M41"/>
    <mergeCell ref="N42:O42"/>
    <mergeCell ref="P42:Q42"/>
    <mergeCell ref="R42:S42"/>
    <mergeCell ref="T42:U42"/>
    <mergeCell ref="V42:W42"/>
    <mergeCell ref="X42:Z42"/>
    <mergeCell ref="A42:B42"/>
    <mergeCell ref="D42:E42"/>
    <mergeCell ref="F42:G42"/>
    <mergeCell ref="H42:I42"/>
    <mergeCell ref="J42:K42"/>
    <mergeCell ref="L42:M42"/>
    <mergeCell ref="N43:O43"/>
    <mergeCell ref="P43:Q43"/>
    <mergeCell ref="R43:S43"/>
    <mergeCell ref="T43:U43"/>
    <mergeCell ref="V43:W43"/>
    <mergeCell ref="X43:Z43"/>
    <mergeCell ref="A43:B43"/>
    <mergeCell ref="D43:E43"/>
    <mergeCell ref="F43:G43"/>
    <mergeCell ref="H43:I43"/>
    <mergeCell ref="J43:K43"/>
    <mergeCell ref="L43:M43"/>
    <mergeCell ref="N44:O44"/>
    <mergeCell ref="P44:Q44"/>
    <mergeCell ref="R44:S44"/>
    <mergeCell ref="T44:U44"/>
    <mergeCell ref="V44:W44"/>
    <mergeCell ref="X44:Z44"/>
    <mergeCell ref="A44:B44"/>
    <mergeCell ref="D44:E44"/>
    <mergeCell ref="F44:G44"/>
    <mergeCell ref="H44:I44"/>
    <mergeCell ref="J44:K44"/>
    <mergeCell ref="L44:M44"/>
    <mergeCell ref="N45:O45"/>
    <mergeCell ref="P45:Q45"/>
    <mergeCell ref="R45:S45"/>
    <mergeCell ref="T45:U45"/>
    <mergeCell ref="V45:W45"/>
    <mergeCell ref="X45:Z45"/>
    <mergeCell ref="A45:B45"/>
    <mergeCell ref="D45:E45"/>
    <mergeCell ref="F45:G45"/>
    <mergeCell ref="H45:I45"/>
    <mergeCell ref="J45:K45"/>
    <mergeCell ref="L45:M45"/>
    <mergeCell ref="N46:O46"/>
    <mergeCell ref="P46:Q46"/>
    <mergeCell ref="R46:S46"/>
    <mergeCell ref="T46:U46"/>
    <mergeCell ref="V46:W46"/>
    <mergeCell ref="X46:Z46"/>
    <mergeCell ref="A46:B46"/>
    <mergeCell ref="D46:E46"/>
    <mergeCell ref="F46:G46"/>
    <mergeCell ref="H46:I46"/>
    <mergeCell ref="J46:K46"/>
    <mergeCell ref="L46:M46"/>
    <mergeCell ref="N47:O47"/>
    <mergeCell ref="P47:Q47"/>
    <mergeCell ref="R47:S47"/>
    <mergeCell ref="T47:U47"/>
    <mergeCell ref="V47:W47"/>
    <mergeCell ref="X47:Z47"/>
    <mergeCell ref="A47:B47"/>
    <mergeCell ref="D47:E47"/>
    <mergeCell ref="F47:G47"/>
    <mergeCell ref="H47:I47"/>
    <mergeCell ref="J47:K47"/>
    <mergeCell ref="L47:M47"/>
    <mergeCell ref="N48:O48"/>
    <mergeCell ref="P48:Q48"/>
    <mergeCell ref="R48:S48"/>
    <mergeCell ref="T48:U48"/>
    <mergeCell ref="V48:W48"/>
    <mergeCell ref="X48:Z48"/>
    <mergeCell ref="A48:B48"/>
    <mergeCell ref="D48:E48"/>
    <mergeCell ref="F48:G48"/>
    <mergeCell ref="H48:I48"/>
    <mergeCell ref="J48:K48"/>
    <mergeCell ref="L48:M48"/>
    <mergeCell ref="Y52:Z52"/>
    <mergeCell ref="A52:E52"/>
    <mergeCell ref="F52:H52"/>
    <mergeCell ref="I52:J52"/>
    <mergeCell ref="V49:W49"/>
    <mergeCell ref="X49:Z49"/>
    <mergeCell ref="A50:K50"/>
    <mergeCell ref="L50:M50"/>
    <mergeCell ref="N50:O50"/>
    <mergeCell ref="P50:Q50"/>
    <mergeCell ref="R50:S50"/>
    <mergeCell ref="T50:U50"/>
    <mergeCell ref="V50:W50"/>
    <mergeCell ref="X50:Z50"/>
    <mergeCell ref="A49:K49"/>
    <mergeCell ref="L49:M49"/>
    <mergeCell ref="N49:O49"/>
    <mergeCell ref="P49:Q49"/>
    <mergeCell ref="R49:S49"/>
    <mergeCell ref="T49:U49"/>
    <mergeCell ref="K52:L52"/>
    <mergeCell ref="M52:N52"/>
    <mergeCell ref="O52:P52"/>
    <mergeCell ref="Q52:R52"/>
    <mergeCell ref="AE50:AF50"/>
    <mergeCell ref="A51:B51"/>
    <mergeCell ref="C51:D51"/>
    <mergeCell ref="E51:F51"/>
    <mergeCell ref="G51:H51"/>
    <mergeCell ref="I51:J51"/>
    <mergeCell ref="K51:L51"/>
    <mergeCell ref="M51:N51"/>
    <mergeCell ref="O51:P51"/>
    <mergeCell ref="Q51:R51"/>
    <mergeCell ref="S51:T51"/>
    <mergeCell ref="U51:V51"/>
    <mergeCell ref="W51:X51"/>
    <mergeCell ref="Y51:Z51"/>
    <mergeCell ref="Q56:T56"/>
    <mergeCell ref="Y53:Z53"/>
    <mergeCell ref="Y54:Z54"/>
    <mergeCell ref="A55:C55"/>
    <mergeCell ref="D55:E55"/>
    <mergeCell ref="G55:H55"/>
    <mergeCell ref="J55:L55"/>
    <mergeCell ref="N55:P55"/>
    <mergeCell ref="Q55:T55"/>
    <mergeCell ref="A54:C54"/>
    <mergeCell ref="D54:E54"/>
    <mergeCell ref="G54:H54"/>
    <mergeCell ref="J54:L54"/>
    <mergeCell ref="N54:P54"/>
    <mergeCell ref="Q54:T54"/>
    <mergeCell ref="A53:C53"/>
    <mergeCell ref="D53:E53"/>
    <mergeCell ref="G53:H53"/>
    <mergeCell ref="J53:L53"/>
    <mergeCell ref="S52:T52"/>
    <mergeCell ref="U52:V52"/>
    <mergeCell ref="W52:X52"/>
    <mergeCell ref="A58:C58"/>
    <mergeCell ref="D58:E58"/>
    <mergeCell ref="G58:H58"/>
    <mergeCell ref="J58:L58"/>
    <mergeCell ref="N58:Z58"/>
    <mergeCell ref="A59:C59"/>
    <mergeCell ref="D59:E59"/>
    <mergeCell ref="G59:H59"/>
    <mergeCell ref="J59:L59"/>
    <mergeCell ref="N59:Z59"/>
    <mergeCell ref="A57:C57"/>
    <mergeCell ref="D57:E57"/>
    <mergeCell ref="G57:H57"/>
    <mergeCell ref="J57:L57"/>
    <mergeCell ref="N57:O57"/>
    <mergeCell ref="P57:W57"/>
    <mergeCell ref="A56:C56"/>
    <mergeCell ref="D56:E56"/>
    <mergeCell ref="G56:H56"/>
    <mergeCell ref="J56:L56"/>
    <mergeCell ref="N56:P56"/>
    <mergeCell ref="D62:I62"/>
    <mergeCell ref="J62:L62"/>
    <mergeCell ref="N62:Z62"/>
    <mergeCell ref="D63:I63"/>
    <mergeCell ref="J63:L63"/>
    <mergeCell ref="N63:Z63"/>
    <mergeCell ref="A60:C60"/>
    <mergeCell ref="D60:I60"/>
    <mergeCell ref="J60:L60"/>
    <mergeCell ref="N60:Z60"/>
    <mergeCell ref="A61:A64"/>
    <mergeCell ref="B61:C61"/>
    <mergeCell ref="D61:I61"/>
    <mergeCell ref="J61:L61"/>
    <mergeCell ref="N61:Z61"/>
    <mergeCell ref="B62:C64"/>
    <mergeCell ref="A66:I66"/>
    <mergeCell ref="J66:L66"/>
    <mergeCell ref="N66:Z66"/>
    <mergeCell ref="A67:C67"/>
    <mergeCell ref="D67:I67"/>
    <mergeCell ref="J67:L67"/>
    <mergeCell ref="N67:Z67"/>
    <mergeCell ref="D64:I64"/>
    <mergeCell ref="J64:L64"/>
    <mergeCell ref="N64:Z64"/>
    <mergeCell ref="A65:I65"/>
    <mergeCell ref="J65:L65"/>
    <mergeCell ref="N65:Z65"/>
    <mergeCell ref="A70:I70"/>
    <mergeCell ref="J70:L70"/>
    <mergeCell ref="N70:Z70"/>
    <mergeCell ref="A68:C69"/>
    <mergeCell ref="D68:I68"/>
    <mergeCell ref="J68:L68"/>
    <mergeCell ref="N68:Z68"/>
    <mergeCell ref="D69:I69"/>
    <mergeCell ref="J69:L69"/>
    <mergeCell ref="N69:Z69"/>
  </mergeCells>
  <phoneticPr fontId="3"/>
  <conditionalFormatting sqref="A17:AA47">
    <cfRule type="expression" dxfId="2509" priority="312" stopIfTrue="1">
      <formula>$X17="所休"</formula>
    </cfRule>
    <cfRule type="expression" dxfId="2508" priority="311">
      <formula>$X17="法休"</formula>
    </cfRule>
  </conditionalFormatting>
  <conditionalFormatting sqref="J17:K17">
    <cfRule type="cellIs" dxfId="2507" priority="310" stopIfTrue="1" operator="equal">
      <formula>0</formula>
    </cfRule>
  </conditionalFormatting>
  <conditionalFormatting sqref="L17:M17">
    <cfRule type="cellIs" dxfId="2506" priority="309" stopIfTrue="1" operator="equal">
      <formula>0</formula>
    </cfRule>
  </conditionalFormatting>
  <conditionalFormatting sqref="N17:O17">
    <cfRule type="cellIs" dxfId="2505" priority="308" stopIfTrue="1" operator="equal">
      <formula>0</formula>
    </cfRule>
  </conditionalFormatting>
  <conditionalFormatting sqref="P17:Q17">
    <cfRule type="cellIs" dxfId="2504" priority="307" stopIfTrue="1" operator="equal">
      <formula>0</formula>
    </cfRule>
  </conditionalFormatting>
  <conditionalFormatting sqref="R17:S17">
    <cfRule type="cellIs" dxfId="2503" priority="306" stopIfTrue="1" operator="equal">
      <formula>0</formula>
    </cfRule>
  </conditionalFormatting>
  <conditionalFormatting sqref="T17:U17">
    <cfRule type="cellIs" dxfId="2502" priority="305" stopIfTrue="1" operator="equal">
      <formula>0</formula>
    </cfRule>
  </conditionalFormatting>
  <conditionalFormatting sqref="V17:W17">
    <cfRule type="cellIs" dxfId="2501" priority="304" stopIfTrue="1" operator="equal">
      <formula>0</formula>
    </cfRule>
  </conditionalFormatting>
  <conditionalFormatting sqref="J18:K18">
    <cfRule type="cellIs" dxfId="2500" priority="303" stopIfTrue="1" operator="equal">
      <formula>0</formula>
    </cfRule>
  </conditionalFormatting>
  <conditionalFormatting sqref="L18:M18">
    <cfRule type="cellIs" dxfId="2499" priority="302" stopIfTrue="1" operator="equal">
      <formula>0</formula>
    </cfRule>
  </conditionalFormatting>
  <conditionalFormatting sqref="N18:O18">
    <cfRule type="cellIs" dxfId="2498" priority="301" stopIfTrue="1" operator="equal">
      <formula>0</formula>
    </cfRule>
  </conditionalFormatting>
  <conditionalFormatting sqref="P18:Q18">
    <cfRule type="cellIs" dxfId="2497" priority="300" stopIfTrue="1" operator="equal">
      <formula>0</formula>
    </cfRule>
  </conditionalFormatting>
  <conditionalFormatting sqref="R18:S18">
    <cfRule type="cellIs" dxfId="2496" priority="299" stopIfTrue="1" operator="equal">
      <formula>0</formula>
    </cfRule>
  </conditionalFormatting>
  <conditionalFormatting sqref="T18:U18">
    <cfRule type="cellIs" dxfId="2495" priority="298" stopIfTrue="1" operator="equal">
      <formula>0</formula>
    </cfRule>
  </conditionalFormatting>
  <conditionalFormatting sqref="V18:W18">
    <cfRule type="cellIs" dxfId="2494" priority="297" stopIfTrue="1" operator="equal">
      <formula>0</formula>
    </cfRule>
  </conditionalFormatting>
  <conditionalFormatting sqref="J19:K19">
    <cfRule type="cellIs" dxfId="2493" priority="296" stopIfTrue="1" operator="equal">
      <formula>0</formula>
    </cfRule>
  </conditionalFormatting>
  <conditionalFormatting sqref="L19:M19">
    <cfRule type="cellIs" dxfId="2492" priority="295" stopIfTrue="1" operator="equal">
      <formula>0</formula>
    </cfRule>
  </conditionalFormatting>
  <conditionalFormatting sqref="N19:O19">
    <cfRule type="cellIs" dxfId="2491" priority="294" stopIfTrue="1" operator="equal">
      <formula>0</formula>
    </cfRule>
  </conditionalFormatting>
  <conditionalFormatting sqref="P19:Q19">
    <cfRule type="cellIs" dxfId="2490" priority="293" stopIfTrue="1" operator="equal">
      <formula>0</formula>
    </cfRule>
  </conditionalFormatting>
  <conditionalFormatting sqref="R19:S19">
    <cfRule type="cellIs" dxfId="2489" priority="292" stopIfTrue="1" operator="equal">
      <formula>0</formula>
    </cfRule>
  </conditionalFormatting>
  <conditionalFormatting sqref="T19:U19">
    <cfRule type="cellIs" dxfId="2488" priority="291" stopIfTrue="1" operator="equal">
      <formula>0</formula>
    </cfRule>
  </conditionalFormatting>
  <conditionalFormatting sqref="V19:W19">
    <cfRule type="cellIs" dxfId="2487" priority="290" stopIfTrue="1" operator="equal">
      <formula>0</formula>
    </cfRule>
  </conditionalFormatting>
  <conditionalFormatting sqref="J20:K20">
    <cfRule type="cellIs" dxfId="2486" priority="289" stopIfTrue="1" operator="equal">
      <formula>0</formula>
    </cfRule>
  </conditionalFormatting>
  <conditionalFormatting sqref="L20:M20">
    <cfRule type="cellIs" dxfId="2485" priority="288" stopIfTrue="1" operator="equal">
      <formula>0</formula>
    </cfRule>
  </conditionalFormatting>
  <conditionalFormatting sqref="N20:O20">
    <cfRule type="cellIs" dxfId="2484" priority="287" stopIfTrue="1" operator="equal">
      <formula>0</formula>
    </cfRule>
  </conditionalFormatting>
  <conditionalFormatting sqref="P20:Q20">
    <cfRule type="cellIs" dxfId="2483" priority="286" stopIfTrue="1" operator="equal">
      <formula>0</formula>
    </cfRule>
  </conditionalFormatting>
  <conditionalFormatting sqref="R20:S20">
    <cfRule type="cellIs" dxfId="2482" priority="285" stopIfTrue="1" operator="equal">
      <formula>0</formula>
    </cfRule>
  </conditionalFormatting>
  <conditionalFormatting sqref="T20:U20">
    <cfRule type="cellIs" dxfId="2481" priority="284" stopIfTrue="1" operator="equal">
      <formula>0</formula>
    </cfRule>
  </conditionalFormatting>
  <conditionalFormatting sqref="V20:W20">
    <cfRule type="cellIs" dxfId="2480" priority="283" stopIfTrue="1" operator="equal">
      <formula>0</formula>
    </cfRule>
  </conditionalFormatting>
  <conditionalFormatting sqref="J21:K21">
    <cfRule type="cellIs" dxfId="2479" priority="282" stopIfTrue="1" operator="equal">
      <formula>0</formula>
    </cfRule>
  </conditionalFormatting>
  <conditionalFormatting sqref="L21:M21">
    <cfRule type="cellIs" dxfId="2478" priority="281" stopIfTrue="1" operator="equal">
      <formula>0</formula>
    </cfRule>
  </conditionalFormatting>
  <conditionalFormatting sqref="N21:O21">
    <cfRule type="cellIs" dxfId="2477" priority="280" stopIfTrue="1" operator="equal">
      <formula>0</formula>
    </cfRule>
  </conditionalFormatting>
  <conditionalFormatting sqref="P21:Q21">
    <cfRule type="cellIs" dxfId="2476" priority="279" stopIfTrue="1" operator="equal">
      <formula>0</formula>
    </cfRule>
  </conditionalFormatting>
  <conditionalFormatting sqref="R21:S21">
    <cfRule type="cellIs" dxfId="2475" priority="278" stopIfTrue="1" operator="equal">
      <formula>0</formula>
    </cfRule>
  </conditionalFormatting>
  <conditionalFormatting sqref="T21:U21">
    <cfRule type="cellIs" dxfId="2474" priority="277" stopIfTrue="1" operator="equal">
      <formula>0</formula>
    </cfRule>
  </conditionalFormatting>
  <conditionalFormatting sqref="V21:W21">
    <cfRule type="cellIs" dxfId="2473" priority="276" stopIfTrue="1" operator="equal">
      <formula>0</formula>
    </cfRule>
  </conditionalFormatting>
  <conditionalFormatting sqref="J22:K22">
    <cfRule type="cellIs" dxfId="2472" priority="275" stopIfTrue="1" operator="equal">
      <formula>0</formula>
    </cfRule>
  </conditionalFormatting>
  <conditionalFormatting sqref="L22:M22">
    <cfRule type="cellIs" dxfId="2471" priority="274" stopIfTrue="1" operator="equal">
      <formula>0</formula>
    </cfRule>
  </conditionalFormatting>
  <conditionalFormatting sqref="N22:O22">
    <cfRule type="cellIs" dxfId="2470" priority="273" stopIfTrue="1" operator="equal">
      <formula>0</formula>
    </cfRule>
  </conditionalFormatting>
  <conditionalFormatting sqref="P22:Q22">
    <cfRule type="cellIs" dxfId="2469" priority="272" stopIfTrue="1" operator="equal">
      <formula>0</formula>
    </cfRule>
  </conditionalFormatting>
  <conditionalFormatting sqref="R22:S22">
    <cfRule type="cellIs" dxfId="2468" priority="271" stopIfTrue="1" operator="equal">
      <formula>0</formula>
    </cfRule>
  </conditionalFormatting>
  <conditionalFormatting sqref="T22:U22">
    <cfRule type="cellIs" dxfId="2467" priority="270" stopIfTrue="1" operator="equal">
      <formula>0</formula>
    </cfRule>
  </conditionalFormatting>
  <conditionalFormatting sqref="V22:W22">
    <cfRule type="cellIs" dxfId="2466" priority="269" stopIfTrue="1" operator="equal">
      <formula>0</formula>
    </cfRule>
  </conditionalFormatting>
  <conditionalFormatting sqref="J23:K23">
    <cfRule type="cellIs" dxfId="2465" priority="268" stopIfTrue="1" operator="equal">
      <formula>0</formula>
    </cfRule>
  </conditionalFormatting>
  <conditionalFormatting sqref="L23:M23">
    <cfRule type="cellIs" dxfId="2464" priority="267" stopIfTrue="1" operator="equal">
      <formula>0</formula>
    </cfRule>
  </conditionalFormatting>
  <conditionalFormatting sqref="N23:O23">
    <cfRule type="cellIs" dxfId="2463" priority="266" stopIfTrue="1" operator="equal">
      <formula>0</formula>
    </cfRule>
  </conditionalFormatting>
  <conditionalFormatting sqref="P23:Q23">
    <cfRule type="cellIs" dxfId="2462" priority="265" stopIfTrue="1" operator="equal">
      <formula>0</formula>
    </cfRule>
  </conditionalFormatting>
  <conditionalFormatting sqref="R23:S23">
    <cfRule type="cellIs" dxfId="2461" priority="264" stopIfTrue="1" operator="equal">
      <formula>0</formula>
    </cfRule>
  </conditionalFormatting>
  <conditionalFormatting sqref="T23:U23">
    <cfRule type="cellIs" dxfId="2460" priority="263" stopIfTrue="1" operator="equal">
      <formula>0</formula>
    </cfRule>
  </conditionalFormatting>
  <conditionalFormatting sqref="V23:W23">
    <cfRule type="cellIs" dxfId="2459" priority="262" stopIfTrue="1" operator="equal">
      <formula>0</formula>
    </cfRule>
  </conditionalFormatting>
  <conditionalFormatting sqref="J24:K24">
    <cfRule type="cellIs" dxfId="2458" priority="261" stopIfTrue="1" operator="equal">
      <formula>0</formula>
    </cfRule>
  </conditionalFormatting>
  <conditionalFormatting sqref="L24:M24">
    <cfRule type="cellIs" dxfId="2457" priority="260" stopIfTrue="1" operator="equal">
      <formula>0</formula>
    </cfRule>
  </conditionalFormatting>
  <conditionalFormatting sqref="N24:O24">
    <cfRule type="cellIs" dxfId="2456" priority="259" stopIfTrue="1" operator="equal">
      <formula>0</formula>
    </cfRule>
  </conditionalFormatting>
  <conditionalFormatting sqref="P24:Q24">
    <cfRule type="cellIs" dxfId="2455" priority="258" stopIfTrue="1" operator="equal">
      <formula>0</formula>
    </cfRule>
  </conditionalFormatting>
  <conditionalFormatting sqref="R24:S24">
    <cfRule type="cellIs" dxfId="2454" priority="257" stopIfTrue="1" operator="equal">
      <formula>0</formula>
    </cfRule>
  </conditionalFormatting>
  <conditionalFormatting sqref="T24:U24">
    <cfRule type="cellIs" dxfId="2453" priority="256" stopIfTrue="1" operator="equal">
      <formula>0</formula>
    </cfRule>
  </conditionalFormatting>
  <conditionalFormatting sqref="V24:W24">
    <cfRule type="cellIs" dxfId="2452" priority="255" stopIfTrue="1" operator="equal">
      <formula>0</formula>
    </cfRule>
  </conditionalFormatting>
  <conditionalFormatting sqref="J25:K25">
    <cfRule type="cellIs" dxfId="2451" priority="254" stopIfTrue="1" operator="equal">
      <formula>0</formula>
    </cfRule>
  </conditionalFormatting>
  <conditionalFormatting sqref="L25:M25">
    <cfRule type="cellIs" dxfId="2450" priority="253" stopIfTrue="1" operator="equal">
      <formula>0</formula>
    </cfRule>
  </conditionalFormatting>
  <conditionalFormatting sqref="N25:O25">
    <cfRule type="cellIs" dxfId="2449" priority="252" stopIfTrue="1" operator="equal">
      <formula>0</formula>
    </cfRule>
  </conditionalFormatting>
  <conditionalFormatting sqref="P25:Q25">
    <cfRule type="cellIs" dxfId="2448" priority="251" stopIfTrue="1" operator="equal">
      <formula>0</formula>
    </cfRule>
  </conditionalFormatting>
  <conditionalFormatting sqref="R25:S25">
    <cfRule type="cellIs" dxfId="2447" priority="250" stopIfTrue="1" operator="equal">
      <formula>0</formula>
    </cfRule>
  </conditionalFormatting>
  <conditionalFormatting sqref="T25:U25">
    <cfRule type="cellIs" dxfId="2446" priority="249" stopIfTrue="1" operator="equal">
      <formula>0</formula>
    </cfRule>
  </conditionalFormatting>
  <conditionalFormatting sqref="V25:W25">
    <cfRule type="cellIs" dxfId="2445" priority="248" stopIfTrue="1" operator="equal">
      <formula>0</formula>
    </cfRule>
  </conditionalFormatting>
  <conditionalFormatting sqref="J26:K26">
    <cfRule type="cellIs" dxfId="2444" priority="247" stopIfTrue="1" operator="equal">
      <formula>0</formula>
    </cfRule>
  </conditionalFormatting>
  <conditionalFormatting sqref="L26:M26">
    <cfRule type="cellIs" dxfId="2443" priority="246" stopIfTrue="1" operator="equal">
      <formula>0</formula>
    </cfRule>
  </conditionalFormatting>
  <conditionalFormatting sqref="N26:O26">
    <cfRule type="cellIs" dxfId="2442" priority="245" stopIfTrue="1" operator="equal">
      <formula>0</formula>
    </cfRule>
  </conditionalFormatting>
  <conditionalFormatting sqref="P26:Q26">
    <cfRule type="cellIs" dxfId="2441" priority="244" stopIfTrue="1" operator="equal">
      <formula>0</formula>
    </cfRule>
  </conditionalFormatting>
  <conditionalFormatting sqref="R26:S26">
    <cfRule type="cellIs" dxfId="2440" priority="243" stopIfTrue="1" operator="equal">
      <formula>0</formula>
    </cfRule>
  </conditionalFormatting>
  <conditionalFormatting sqref="T26:U26">
    <cfRule type="cellIs" dxfId="2439" priority="242" stopIfTrue="1" operator="equal">
      <formula>0</formula>
    </cfRule>
  </conditionalFormatting>
  <conditionalFormatting sqref="V26:W26">
    <cfRule type="cellIs" dxfId="2438" priority="241" stopIfTrue="1" operator="equal">
      <formula>0</formula>
    </cfRule>
  </conditionalFormatting>
  <conditionalFormatting sqref="J27:K27">
    <cfRule type="cellIs" dxfId="2437" priority="240" stopIfTrue="1" operator="equal">
      <formula>0</formula>
    </cfRule>
  </conditionalFormatting>
  <conditionalFormatting sqref="L27:M27">
    <cfRule type="cellIs" dxfId="2436" priority="239" stopIfTrue="1" operator="equal">
      <formula>0</formula>
    </cfRule>
  </conditionalFormatting>
  <conditionalFormatting sqref="N27:O27">
    <cfRule type="cellIs" dxfId="2435" priority="238" stopIfTrue="1" operator="equal">
      <formula>0</formula>
    </cfRule>
  </conditionalFormatting>
  <conditionalFormatting sqref="P27:Q27">
    <cfRule type="cellIs" dxfId="2434" priority="237" stopIfTrue="1" operator="equal">
      <formula>0</formula>
    </cfRule>
  </conditionalFormatting>
  <conditionalFormatting sqref="R27:S27">
    <cfRule type="cellIs" dxfId="2433" priority="236" stopIfTrue="1" operator="equal">
      <formula>0</formula>
    </cfRule>
  </conditionalFormatting>
  <conditionalFormatting sqref="T27:U27">
    <cfRule type="cellIs" dxfId="2432" priority="235" stopIfTrue="1" operator="equal">
      <formula>0</formula>
    </cfRule>
  </conditionalFormatting>
  <conditionalFormatting sqref="V27:W27">
    <cfRule type="cellIs" dxfId="2431" priority="234" stopIfTrue="1" operator="equal">
      <formula>0</formula>
    </cfRule>
  </conditionalFormatting>
  <conditionalFormatting sqref="J28:K28">
    <cfRule type="cellIs" dxfId="2430" priority="233" stopIfTrue="1" operator="equal">
      <formula>0</formula>
    </cfRule>
  </conditionalFormatting>
  <conditionalFormatting sqref="L28:M28">
    <cfRule type="cellIs" dxfId="2429" priority="232" stopIfTrue="1" operator="equal">
      <formula>0</formula>
    </cfRule>
  </conditionalFormatting>
  <conditionalFormatting sqref="N28:O28">
    <cfRule type="cellIs" dxfId="2428" priority="231" stopIfTrue="1" operator="equal">
      <formula>0</formula>
    </cfRule>
  </conditionalFormatting>
  <conditionalFormatting sqref="P28:Q28">
    <cfRule type="cellIs" dxfId="2427" priority="230" stopIfTrue="1" operator="equal">
      <formula>0</formula>
    </cfRule>
  </conditionalFormatting>
  <conditionalFormatting sqref="R28:S28">
    <cfRule type="cellIs" dxfId="2426" priority="229" stopIfTrue="1" operator="equal">
      <formula>0</formula>
    </cfRule>
  </conditionalFormatting>
  <conditionalFormatting sqref="T28:U28">
    <cfRule type="cellIs" dxfId="2425" priority="228" stopIfTrue="1" operator="equal">
      <formula>0</formula>
    </cfRule>
  </conditionalFormatting>
  <conditionalFormatting sqref="V28:W28">
    <cfRule type="cellIs" dxfId="2424" priority="227" stopIfTrue="1" operator="equal">
      <formula>0</formula>
    </cfRule>
  </conditionalFormatting>
  <conditionalFormatting sqref="J29:K29">
    <cfRule type="cellIs" dxfId="2423" priority="226" stopIfTrue="1" operator="equal">
      <formula>0</formula>
    </cfRule>
  </conditionalFormatting>
  <conditionalFormatting sqref="L29:M29">
    <cfRule type="cellIs" dxfId="2422" priority="225" stopIfTrue="1" operator="equal">
      <formula>0</formula>
    </cfRule>
  </conditionalFormatting>
  <conditionalFormatting sqref="N29:O29">
    <cfRule type="cellIs" dxfId="2421" priority="224" stopIfTrue="1" operator="equal">
      <formula>0</formula>
    </cfRule>
  </conditionalFormatting>
  <conditionalFormatting sqref="P29:Q29">
    <cfRule type="cellIs" dxfId="2420" priority="223" stopIfTrue="1" operator="equal">
      <formula>0</formula>
    </cfRule>
  </conditionalFormatting>
  <conditionalFormatting sqref="R29:S29">
    <cfRule type="cellIs" dxfId="2419" priority="222" stopIfTrue="1" operator="equal">
      <formula>0</formula>
    </cfRule>
  </conditionalFormatting>
  <conditionalFormatting sqref="T29:U29">
    <cfRule type="cellIs" dxfId="2418" priority="221" stopIfTrue="1" operator="equal">
      <formula>0</formula>
    </cfRule>
  </conditionalFormatting>
  <conditionalFormatting sqref="V29:W29">
    <cfRule type="cellIs" dxfId="2417" priority="220" stopIfTrue="1" operator="equal">
      <formula>0</formula>
    </cfRule>
  </conditionalFormatting>
  <conditionalFormatting sqref="J30:K30">
    <cfRule type="cellIs" dxfId="2416" priority="219" stopIfTrue="1" operator="equal">
      <formula>0</formula>
    </cfRule>
  </conditionalFormatting>
  <conditionalFormatting sqref="L30:M30">
    <cfRule type="cellIs" dxfId="2415" priority="218" stopIfTrue="1" operator="equal">
      <formula>0</formula>
    </cfRule>
  </conditionalFormatting>
  <conditionalFormatting sqref="N30:O30">
    <cfRule type="cellIs" dxfId="2414" priority="217" stopIfTrue="1" operator="equal">
      <formula>0</formula>
    </cfRule>
  </conditionalFormatting>
  <conditionalFormatting sqref="P30:Q30">
    <cfRule type="cellIs" dxfId="2413" priority="216" stopIfTrue="1" operator="equal">
      <formula>0</formula>
    </cfRule>
  </conditionalFormatting>
  <conditionalFormatting sqref="R30:S30">
    <cfRule type="cellIs" dxfId="2412" priority="215" stopIfTrue="1" operator="equal">
      <formula>0</formula>
    </cfRule>
  </conditionalFormatting>
  <conditionalFormatting sqref="T30:U30">
    <cfRule type="cellIs" dxfId="2411" priority="214" stopIfTrue="1" operator="equal">
      <formula>0</formula>
    </cfRule>
  </conditionalFormatting>
  <conditionalFormatting sqref="V30:W30">
    <cfRule type="cellIs" dxfId="2410" priority="213" stopIfTrue="1" operator="equal">
      <formula>0</formula>
    </cfRule>
  </conditionalFormatting>
  <conditionalFormatting sqref="J31:K31">
    <cfRule type="cellIs" dxfId="2409" priority="212" stopIfTrue="1" operator="equal">
      <formula>0</formula>
    </cfRule>
  </conditionalFormatting>
  <conditionalFormatting sqref="L31:M31">
    <cfRule type="cellIs" dxfId="2408" priority="211" stopIfTrue="1" operator="equal">
      <formula>0</formula>
    </cfRule>
  </conditionalFormatting>
  <conditionalFormatting sqref="N31:O31">
    <cfRule type="cellIs" dxfId="2407" priority="210" stopIfTrue="1" operator="equal">
      <formula>0</formula>
    </cfRule>
  </conditionalFormatting>
  <conditionalFormatting sqref="P31:Q31">
    <cfRule type="cellIs" dxfId="2406" priority="209" stopIfTrue="1" operator="equal">
      <formula>0</formula>
    </cfRule>
  </conditionalFormatting>
  <conditionalFormatting sqref="R31:S31">
    <cfRule type="cellIs" dxfId="2405" priority="208" stopIfTrue="1" operator="equal">
      <formula>0</formula>
    </cfRule>
  </conditionalFormatting>
  <conditionalFormatting sqref="T31:U31">
    <cfRule type="cellIs" dxfId="2404" priority="207" stopIfTrue="1" operator="equal">
      <formula>0</formula>
    </cfRule>
  </conditionalFormatting>
  <conditionalFormatting sqref="V31:W31">
    <cfRule type="cellIs" dxfId="2403" priority="206" stopIfTrue="1" operator="equal">
      <formula>0</formula>
    </cfRule>
  </conditionalFormatting>
  <conditionalFormatting sqref="J32:K32">
    <cfRule type="cellIs" dxfId="2402" priority="205" stopIfTrue="1" operator="equal">
      <formula>0</formula>
    </cfRule>
  </conditionalFormatting>
  <conditionalFormatting sqref="L32:M32">
    <cfRule type="cellIs" dxfId="2401" priority="204" stopIfTrue="1" operator="equal">
      <formula>0</formula>
    </cfRule>
  </conditionalFormatting>
  <conditionalFormatting sqref="N32:O32">
    <cfRule type="cellIs" dxfId="2400" priority="203" stopIfTrue="1" operator="equal">
      <formula>0</formula>
    </cfRule>
  </conditionalFormatting>
  <conditionalFormatting sqref="P32:Q32">
    <cfRule type="cellIs" dxfId="2399" priority="202" stopIfTrue="1" operator="equal">
      <formula>0</formula>
    </cfRule>
  </conditionalFormatting>
  <conditionalFormatting sqref="R32:S32">
    <cfRule type="cellIs" dxfId="2398" priority="201" stopIfTrue="1" operator="equal">
      <formula>0</formula>
    </cfRule>
  </conditionalFormatting>
  <conditionalFormatting sqref="T32:U32">
    <cfRule type="cellIs" dxfId="2397" priority="200" stopIfTrue="1" operator="equal">
      <formula>0</formula>
    </cfRule>
  </conditionalFormatting>
  <conditionalFormatting sqref="V32:W32">
    <cfRule type="cellIs" dxfId="2396" priority="199" stopIfTrue="1" operator="equal">
      <formula>0</formula>
    </cfRule>
  </conditionalFormatting>
  <conditionalFormatting sqref="J33:K33">
    <cfRule type="cellIs" dxfId="2395" priority="198" stopIfTrue="1" operator="equal">
      <formula>0</formula>
    </cfRule>
  </conditionalFormatting>
  <conditionalFormatting sqref="L33:M33">
    <cfRule type="cellIs" dxfId="2394" priority="197" stopIfTrue="1" operator="equal">
      <formula>0</formula>
    </cfRule>
  </conditionalFormatting>
  <conditionalFormatting sqref="N33:O33">
    <cfRule type="cellIs" dxfId="2393" priority="196" stopIfTrue="1" operator="equal">
      <formula>0</formula>
    </cfRule>
  </conditionalFormatting>
  <conditionalFormatting sqref="P33:Q33">
    <cfRule type="cellIs" dxfId="2392" priority="195" stopIfTrue="1" operator="equal">
      <formula>0</formula>
    </cfRule>
  </conditionalFormatting>
  <conditionalFormatting sqref="R33:S33">
    <cfRule type="cellIs" dxfId="2391" priority="194" stopIfTrue="1" operator="equal">
      <formula>0</formula>
    </cfRule>
  </conditionalFormatting>
  <conditionalFormatting sqref="T33:U33">
    <cfRule type="cellIs" dxfId="2390" priority="193" stopIfTrue="1" operator="equal">
      <formula>0</formula>
    </cfRule>
  </conditionalFormatting>
  <conditionalFormatting sqref="V33:W33">
    <cfRule type="cellIs" dxfId="2389" priority="192" stopIfTrue="1" operator="equal">
      <formula>0</formula>
    </cfRule>
  </conditionalFormatting>
  <conditionalFormatting sqref="J34:K34">
    <cfRule type="cellIs" dxfId="2388" priority="191" stopIfTrue="1" operator="equal">
      <formula>0</formula>
    </cfRule>
  </conditionalFormatting>
  <conditionalFormatting sqref="L34:M34">
    <cfRule type="cellIs" dxfId="2387" priority="190" stopIfTrue="1" operator="equal">
      <formula>0</formula>
    </cfRule>
  </conditionalFormatting>
  <conditionalFormatting sqref="N34:O34">
    <cfRule type="cellIs" dxfId="2386" priority="189" stopIfTrue="1" operator="equal">
      <formula>0</formula>
    </cfRule>
  </conditionalFormatting>
  <conditionalFormatting sqref="P34:Q34">
    <cfRule type="cellIs" dxfId="2385" priority="188" stopIfTrue="1" operator="equal">
      <formula>0</formula>
    </cfRule>
  </conditionalFormatting>
  <conditionalFormatting sqref="R34:S34">
    <cfRule type="cellIs" dxfId="2384" priority="187" stopIfTrue="1" operator="equal">
      <formula>0</formula>
    </cfRule>
  </conditionalFormatting>
  <conditionalFormatting sqref="T34:U34">
    <cfRule type="cellIs" dxfId="2383" priority="186" stopIfTrue="1" operator="equal">
      <formula>0</formula>
    </cfRule>
  </conditionalFormatting>
  <conditionalFormatting sqref="V34:W34">
    <cfRule type="cellIs" dxfId="2382" priority="185" stopIfTrue="1" operator="equal">
      <formula>0</formula>
    </cfRule>
  </conditionalFormatting>
  <conditionalFormatting sqref="J35:K35">
    <cfRule type="cellIs" dxfId="2381" priority="184" stopIfTrue="1" operator="equal">
      <formula>0</formula>
    </cfRule>
  </conditionalFormatting>
  <conditionalFormatting sqref="L35:M35">
    <cfRule type="cellIs" dxfId="2380" priority="183" stopIfTrue="1" operator="equal">
      <formula>0</formula>
    </cfRule>
  </conditionalFormatting>
  <conditionalFormatting sqref="N35:O35">
    <cfRule type="cellIs" dxfId="2379" priority="182" stopIfTrue="1" operator="equal">
      <formula>0</formula>
    </cfRule>
  </conditionalFormatting>
  <conditionalFormatting sqref="P35:Q35">
    <cfRule type="cellIs" dxfId="2378" priority="181" stopIfTrue="1" operator="equal">
      <formula>0</formula>
    </cfRule>
  </conditionalFormatting>
  <conditionalFormatting sqref="R35:S35">
    <cfRule type="cellIs" dxfId="2377" priority="180" stopIfTrue="1" operator="equal">
      <formula>0</formula>
    </cfRule>
  </conditionalFormatting>
  <conditionalFormatting sqref="T35:U35">
    <cfRule type="cellIs" dxfId="2376" priority="179" stopIfTrue="1" operator="equal">
      <formula>0</formula>
    </cfRule>
  </conditionalFormatting>
  <conditionalFormatting sqref="V35:W35">
    <cfRule type="cellIs" dxfId="2375" priority="178" stopIfTrue="1" operator="equal">
      <formula>0</formula>
    </cfRule>
  </conditionalFormatting>
  <conditionalFormatting sqref="J36:K36">
    <cfRule type="cellIs" dxfId="2374" priority="177" stopIfTrue="1" operator="equal">
      <formula>0</formula>
    </cfRule>
  </conditionalFormatting>
  <conditionalFormatting sqref="L36:M36">
    <cfRule type="cellIs" dxfId="2373" priority="176" stopIfTrue="1" operator="equal">
      <formula>0</formula>
    </cfRule>
  </conditionalFormatting>
  <conditionalFormatting sqref="N36:O36">
    <cfRule type="cellIs" dxfId="2372" priority="175" stopIfTrue="1" operator="equal">
      <formula>0</formula>
    </cfRule>
  </conditionalFormatting>
  <conditionalFormatting sqref="P36:Q36">
    <cfRule type="cellIs" dxfId="2371" priority="174" stopIfTrue="1" operator="equal">
      <formula>0</formula>
    </cfRule>
  </conditionalFormatting>
  <conditionalFormatting sqref="R36:S36">
    <cfRule type="cellIs" dxfId="2370" priority="173" stopIfTrue="1" operator="equal">
      <formula>0</formula>
    </cfRule>
  </conditionalFormatting>
  <conditionalFormatting sqref="T36:U36">
    <cfRule type="cellIs" dxfId="2369" priority="172" stopIfTrue="1" operator="equal">
      <formula>0</formula>
    </cfRule>
  </conditionalFormatting>
  <conditionalFormatting sqref="V36:W36">
    <cfRule type="cellIs" dxfId="2368" priority="171" stopIfTrue="1" operator="equal">
      <formula>0</formula>
    </cfRule>
  </conditionalFormatting>
  <conditionalFormatting sqref="J37:K37">
    <cfRule type="cellIs" dxfId="2367" priority="170" stopIfTrue="1" operator="equal">
      <formula>0</formula>
    </cfRule>
  </conditionalFormatting>
  <conditionalFormatting sqref="L37:M37">
    <cfRule type="cellIs" dxfId="2366" priority="169" stopIfTrue="1" operator="equal">
      <formula>0</formula>
    </cfRule>
  </conditionalFormatting>
  <conditionalFormatting sqref="N37:O37">
    <cfRule type="cellIs" dxfId="2365" priority="168" stopIfTrue="1" operator="equal">
      <formula>0</formula>
    </cfRule>
  </conditionalFormatting>
  <conditionalFormatting sqref="P37:Q37">
    <cfRule type="cellIs" dxfId="2364" priority="167" stopIfTrue="1" operator="equal">
      <formula>0</formula>
    </cfRule>
  </conditionalFormatting>
  <conditionalFormatting sqref="R37:S37">
    <cfRule type="cellIs" dxfId="2363" priority="166" stopIfTrue="1" operator="equal">
      <formula>0</formula>
    </cfRule>
  </conditionalFormatting>
  <conditionalFormatting sqref="T37:U37">
    <cfRule type="cellIs" dxfId="2362" priority="165" stopIfTrue="1" operator="equal">
      <formula>0</formula>
    </cfRule>
  </conditionalFormatting>
  <conditionalFormatting sqref="V37:W37">
    <cfRule type="cellIs" dxfId="2361" priority="164" stopIfTrue="1" operator="equal">
      <formula>0</formula>
    </cfRule>
  </conditionalFormatting>
  <conditionalFormatting sqref="J38:K38">
    <cfRule type="cellIs" dxfId="2360" priority="163" stopIfTrue="1" operator="equal">
      <formula>0</formula>
    </cfRule>
  </conditionalFormatting>
  <conditionalFormatting sqref="L38:M38">
    <cfRule type="cellIs" dxfId="2359" priority="162" stopIfTrue="1" operator="equal">
      <formula>0</formula>
    </cfRule>
  </conditionalFormatting>
  <conditionalFormatting sqref="N38:O38">
    <cfRule type="cellIs" dxfId="2358" priority="161" stopIfTrue="1" operator="equal">
      <formula>0</formula>
    </cfRule>
  </conditionalFormatting>
  <conditionalFormatting sqref="P38:Q38">
    <cfRule type="cellIs" dxfId="2357" priority="160" stopIfTrue="1" operator="equal">
      <formula>0</formula>
    </cfRule>
  </conditionalFormatting>
  <conditionalFormatting sqref="R38:S38">
    <cfRule type="cellIs" dxfId="2356" priority="159" stopIfTrue="1" operator="equal">
      <formula>0</formula>
    </cfRule>
  </conditionalFormatting>
  <conditionalFormatting sqref="T38:U38">
    <cfRule type="cellIs" dxfId="2355" priority="158" stopIfTrue="1" operator="equal">
      <formula>0</formula>
    </cfRule>
  </conditionalFormatting>
  <conditionalFormatting sqref="V38:W38">
    <cfRule type="cellIs" dxfId="2354" priority="157" stopIfTrue="1" operator="equal">
      <formula>0</formula>
    </cfRule>
  </conditionalFormatting>
  <conditionalFormatting sqref="J39:K39">
    <cfRule type="cellIs" dxfId="2353" priority="156" stopIfTrue="1" operator="equal">
      <formula>0</formula>
    </cfRule>
  </conditionalFormatting>
  <conditionalFormatting sqref="L39:M39">
    <cfRule type="cellIs" dxfId="2352" priority="155" stopIfTrue="1" operator="equal">
      <formula>0</formula>
    </cfRule>
  </conditionalFormatting>
  <conditionalFormatting sqref="N39:O39">
    <cfRule type="cellIs" dxfId="2351" priority="154" stopIfTrue="1" operator="equal">
      <formula>0</formula>
    </cfRule>
  </conditionalFormatting>
  <conditionalFormatting sqref="P39:Q39">
    <cfRule type="cellIs" dxfId="2350" priority="153" stopIfTrue="1" operator="equal">
      <formula>0</formula>
    </cfRule>
  </conditionalFormatting>
  <conditionalFormatting sqref="R39:S39">
    <cfRule type="cellIs" dxfId="2349" priority="152" stopIfTrue="1" operator="equal">
      <formula>0</formula>
    </cfRule>
  </conditionalFormatting>
  <conditionalFormatting sqref="T39:U39">
    <cfRule type="cellIs" dxfId="2348" priority="151" stopIfTrue="1" operator="equal">
      <formula>0</formula>
    </cfRule>
  </conditionalFormatting>
  <conditionalFormatting sqref="V39:W39">
    <cfRule type="cellIs" dxfId="2347" priority="150" stopIfTrue="1" operator="equal">
      <formula>0</formula>
    </cfRule>
  </conditionalFormatting>
  <conditionalFormatting sqref="J40:K40">
    <cfRule type="cellIs" dxfId="2346" priority="149" stopIfTrue="1" operator="equal">
      <formula>0</formula>
    </cfRule>
  </conditionalFormatting>
  <conditionalFormatting sqref="L40:M40">
    <cfRule type="cellIs" dxfId="2345" priority="148" stopIfTrue="1" operator="equal">
      <formula>0</formula>
    </cfRule>
  </conditionalFormatting>
  <conditionalFormatting sqref="N40:O40">
    <cfRule type="cellIs" dxfId="2344" priority="147" stopIfTrue="1" operator="equal">
      <formula>0</formula>
    </cfRule>
  </conditionalFormatting>
  <conditionalFormatting sqref="P40:Q40">
    <cfRule type="cellIs" dxfId="2343" priority="146" stopIfTrue="1" operator="equal">
      <formula>0</formula>
    </cfRule>
  </conditionalFormatting>
  <conditionalFormatting sqref="R40:S40">
    <cfRule type="cellIs" dxfId="2342" priority="145" stopIfTrue="1" operator="equal">
      <formula>0</formula>
    </cfRule>
  </conditionalFormatting>
  <conditionalFormatting sqref="T40:U40">
    <cfRule type="cellIs" dxfId="2341" priority="144" stopIfTrue="1" operator="equal">
      <formula>0</formula>
    </cfRule>
  </conditionalFormatting>
  <conditionalFormatting sqref="V40:W40">
    <cfRule type="cellIs" dxfId="2340" priority="143" stopIfTrue="1" operator="equal">
      <formula>0</formula>
    </cfRule>
  </conditionalFormatting>
  <conditionalFormatting sqref="J41:K41">
    <cfRule type="cellIs" dxfId="2339" priority="142" stopIfTrue="1" operator="equal">
      <formula>0</formula>
    </cfRule>
  </conditionalFormatting>
  <conditionalFormatting sqref="L41:M41">
    <cfRule type="cellIs" dxfId="2338" priority="141" stopIfTrue="1" operator="equal">
      <formula>0</formula>
    </cfRule>
  </conditionalFormatting>
  <conditionalFormatting sqref="N41:O41">
    <cfRule type="cellIs" dxfId="2337" priority="140" stopIfTrue="1" operator="equal">
      <formula>0</formula>
    </cfRule>
  </conditionalFormatting>
  <conditionalFormatting sqref="P41:Q41">
    <cfRule type="cellIs" dxfId="2336" priority="139" stopIfTrue="1" operator="equal">
      <formula>0</formula>
    </cfRule>
  </conditionalFormatting>
  <conditionalFormatting sqref="R41:S41">
    <cfRule type="cellIs" dxfId="2335" priority="138" stopIfTrue="1" operator="equal">
      <formula>0</formula>
    </cfRule>
  </conditionalFormatting>
  <conditionalFormatting sqref="T41:U41">
    <cfRule type="cellIs" dxfId="2334" priority="137" stopIfTrue="1" operator="equal">
      <formula>0</formula>
    </cfRule>
  </conditionalFormatting>
  <conditionalFormatting sqref="V41:W41">
    <cfRule type="cellIs" dxfId="2333" priority="136" stopIfTrue="1" operator="equal">
      <formula>0</formula>
    </cfRule>
  </conditionalFormatting>
  <conditionalFormatting sqref="J42:K42">
    <cfRule type="cellIs" dxfId="2332" priority="135" stopIfTrue="1" operator="equal">
      <formula>0</formula>
    </cfRule>
  </conditionalFormatting>
  <conditionalFormatting sqref="L42:M42">
    <cfRule type="cellIs" dxfId="2331" priority="134" stopIfTrue="1" operator="equal">
      <formula>0</formula>
    </cfRule>
  </conditionalFormatting>
  <conditionalFormatting sqref="N42:O42">
    <cfRule type="cellIs" dxfId="2330" priority="133" stopIfTrue="1" operator="equal">
      <formula>0</formula>
    </cfRule>
  </conditionalFormatting>
  <conditionalFormatting sqref="P42:Q42">
    <cfRule type="cellIs" dxfId="2329" priority="132" stopIfTrue="1" operator="equal">
      <formula>0</formula>
    </cfRule>
  </conditionalFormatting>
  <conditionalFormatting sqref="R42:S42">
    <cfRule type="cellIs" dxfId="2328" priority="131" stopIfTrue="1" operator="equal">
      <formula>0</formula>
    </cfRule>
  </conditionalFormatting>
  <conditionalFormatting sqref="T42:U42">
    <cfRule type="cellIs" dxfId="2327" priority="130" stopIfTrue="1" operator="equal">
      <formula>0</formula>
    </cfRule>
  </conditionalFormatting>
  <conditionalFormatting sqref="V42:W42">
    <cfRule type="cellIs" dxfId="2326" priority="129" stopIfTrue="1" operator="equal">
      <formula>0</formula>
    </cfRule>
  </conditionalFormatting>
  <conditionalFormatting sqref="J43:K43">
    <cfRule type="cellIs" dxfId="2325" priority="128" stopIfTrue="1" operator="equal">
      <formula>0</formula>
    </cfRule>
  </conditionalFormatting>
  <conditionalFormatting sqref="L43:M43">
    <cfRule type="cellIs" dxfId="2324" priority="127" stopIfTrue="1" operator="equal">
      <formula>0</formula>
    </cfRule>
  </conditionalFormatting>
  <conditionalFormatting sqref="N43:O43">
    <cfRule type="cellIs" dxfId="2323" priority="126" stopIfTrue="1" operator="equal">
      <formula>0</formula>
    </cfRule>
  </conditionalFormatting>
  <conditionalFormatting sqref="P43:Q43">
    <cfRule type="cellIs" dxfId="2322" priority="125" stopIfTrue="1" operator="equal">
      <formula>0</formula>
    </cfRule>
  </conditionalFormatting>
  <conditionalFormatting sqref="R43:S43">
    <cfRule type="cellIs" dxfId="2321" priority="124" stopIfTrue="1" operator="equal">
      <formula>0</formula>
    </cfRule>
  </conditionalFormatting>
  <conditionalFormatting sqref="T43:U43">
    <cfRule type="cellIs" dxfId="2320" priority="123" stopIfTrue="1" operator="equal">
      <formula>0</formula>
    </cfRule>
  </conditionalFormatting>
  <conditionalFormatting sqref="V43:W43">
    <cfRule type="cellIs" dxfId="2319" priority="122" stopIfTrue="1" operator="equal">
      <formula>0</formula>
    </cfRule>
  </conditionalFormatting>
  <conditionalFormatting sqref="J44:K44">
    <cfRule type="cellIs" dxfId="2318" priority="121" stopIfTrue="1" operator="equal">
      <formula>0</formula>
    </cfRule>
  </conditionalFormatting>
  <conditionalFormatting sqref="L44:M44">
    <cfRule type="cellIs" dxfId="2317" priority="120" stopIfTrue="1" operator="equal">
      <formula>0</formula>
    </cfRule>
  </conditionalFormatting>
  <conditionalFormatting sqref="N44:O44">
    <cfRule type="cellIs" dxfId="2316" priority="119" stopIfTrue="1" operator="equal">
      <formula>0</formula>
    </cfRule>
  </conditionalFormatting>
  <conditionalFormatting sqref="P44:Q44">
    <cfRule type="cellIs" dxfId="2315" priority="118" stopIfTrue="1" operator="equal">
      <formula>0</formula>
    </cfRule>
  </conditionalFormatting>
  <conditionalFormatting sqref="R44:S44">
    <cfRule type="cellIs" dxfId="2314" priority="117" stopIfTrue="1" operator="equal">
      <formula>0</formula>
    </cfRule>
  </conditionalFormatting>
  <conditionalFormatting sqref="T44:U44">
    <cfRule type="cellIs" dxfId="2313" priority="116" stopIfTrue="1" operator="equal">
      <formula>0</formula>
    </cfRule>
  </conditionalFormatting>
  <conditionalFormatting sqref="V44:W44">
    <cfRule type="cellIs" dxfId="2312" priority="115" stopIfTrue="1" operator="equal">
      <formula>0</formula>
    </cfRule>
  </conditionalFormatting>
  <conditionalFormatting sqref="J45:K45">
    <cfRule type="cellIs" dxfId="2311" priority="114" stopIfTrue="1" operator="equal">
      <formula>0</formula>
    </cfRule>
  </conditionalFormatting>
  <conditionalFormatting sqref="L45:M45">
    <cfRule type="cellIs" dxfId="2310" priority="113" stopIfTrue="1" operator="equal">
      <formula>0</formula>
    </cfRule>
  </conditionalFormatting>
  <conditionalFormatting sqref="N45:O45">
    <cfRule type="cellIs" dxfId="2309" priority="112" stopIfTrue="1" operator="equal">
      <formula>0</formula>
    </cfRule>
  </conditionalFormatting>
  <conditionalFormatting sqref="P45:Q45">
    <cfRule type="cellIs" dxfId="2308" priority="111" stopIfTrue="1" operator="equal">
      <formula>0</formula>
    </cfRule>
  </conditionalFormatting>
  <conditionalFormatting sqref="R45:S45">
    <cfRule type="cellIs" dxfId="2307" priority="110" stopIfTrue="1" operator="equal">
      <formula>0</formula>
    </cfRule>
  </conditionalFormatting>
  <conditionalFormatting sqref="T45:U45">
    <cfRule type="cellIs" dxfId="2306" priority="109" stopIfTrue="1" operator="equal">
      <formula>0</formula>
    </cfRule>
  </conditionalFormatting>
  <conditionalFormatting sqref="V45:W45">
    <cfRule type="cellIs" dxfId="2305" priority="108" stopIfTrue="1" operator="equal">
      <formula>0</formula>
    </cfRule>
  </conditionalFormatting>
  <conditionalFormatting sqref="J46:K46">
    <cfRule type="cellIs" dxfId="2304" priority="107" stopIfTrue="1" operator="equal">
      <formula>0</formula>
    </cfRule>
  </conditionalFormatting>
  <conditionalFormatting sqref="L46:M46">
    <cfRule type="cellIs" dxfId="2303" priority="106" stopIfTrue="1" operator="equal">
      <formula>0</formula>
    </cfRule>
  </conditionalFormatting>
  <conditionalFormatting sqref="N46:O46">
    <cfRule type="cellIs" dxfId="2302" priority="105" stopIfTrue="1" operator="equal">
      <formula>0</formula>
    </cfRule>
  </conditionalFormatting>
  <conditionalFormatting sqref="P46:Q46">
    <cfRule type="cellIs" dxfId="2301" priority="104" stopIfTrue="1" operator="equal">
      <formula>0</formula>
    </cfRule>
  </conditionalFormatting>
  <conditionalFormatting sqref="R46:S46">
    <cfRule type="cellIs" dxfId="2300" priority="103" stopIfTrue="1" operator="equal">
      <formula>0</formula>
    </cfRule>
  </conditionalFormatting>
  <conditionalFormatting sqref="T46:U46">
    <cfRule type="cellIs" dxfId="2299" priority="102" stopIfTrue="1" operator="equal">
      <formula>0</formula>
    </cfRule>
  </conditionalFormatting>
  <conditionalFormatting sqref="V46:W46">
    <cfRule type="cellIs" dxfId="2298" priority="101" stopIfTrue="1" operator="equal">
      <formula>0</formula>
    </cfRule>
  </conditionalFormatting>
  <conditionalFormatting sqref="J47:K47">
    <cfRule type="cellIs" dxfId="2297" priority="100" stopIfTrue="1" operator="equal">
      <formula>0</formula>
    </cfRule>
  </conditionalFormatting>
  <conditionalFormatting sqref="L47:M47">
    <cfRule type="cellIs" dxfId="2296" priority="99" stopIfTrue="1" operator="equal">
      <formula>0</formula>
    </cfRule>
  </conditionalFormatting>
  <conditionalFormatting sqref="R47:S47">
    <cfRule type="cellIs" dxfId="2295" priority="98" stopIfTrue="1" operator="equal">
      <formula>0</formula>
    </cfRule>
  </conditionalFormatting>
  <conditionalFormatting sqref="T47:U47">
    <cfRule type="cellIs" dxfId="2294" priority="97" stopIfTrue="1" operator="equal">
      <formula>0</formula>
    </cfRule>
  </conditionalFormatting>
  <conditionalFormatting sqref="V47:W47">
    <cfRule type="cellIs" dxfId="2293" priority="96" stopIfTrue="1" operator="equal">
      <formula>0</formula>
    </cfRule>
  </conditionalFormatting>
  <conditionalFormatting sqref="D54:L59">
    <cfRule type="expression" dxfId="2292" priority="95">
      <formula>$AB$8=0</formula>
    </cfRule>
  </conditionalFormatting>
  <conditionalFormatting sqref="D54:I56">
    <cfRule type="expression" dxfId="2291" priority="94">
      <formula>$AB$8=1</formula>
    </cfRule>
  </conditionalFormatting>
  <printOptions horizontalCentered="1"/>
  <pageMargins left="0.7" right="0.7" top="0.39370078740157477" bottom="0.39370078740157477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Button 1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5" name="Button 2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9" r:id="rId6" name="Button 3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0" r:id="rId7" name="Button 4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1" r:id="rId8" name="Button 5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2" r:id="rId9" name="Button 6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3" r:id="rId10" name="Button 7">
              <controlPr defaultSize="0" print="0" autoFill="0" autoPict="0" macro="[0]!休日初期化">
                <anchor moveWithCells="1" sizeWithCells="1">
                  <from>
                    <xdr:col>27</xdr:col>
                    <xdr:colOff>488950</xdr:colOff>
                    <xdr:row>25</xdr:row>
                    <xdr:rowOff>69850</xdr:rowOff>
                  </from>
                  <to>
                    <xdr:col>28</xdr:col>
                    <xdr:colOff>266700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4" r:id="rId11" name="Button 8">
              <controlPr defaultSize="0" print="0" autoFill="0" autoPict="0" macro="[0]!初期状態">
                <anchor moveWithCells="1" sizeWithCells="1">
                  <from>
                    <xdr:col>27</xdr:col>
                    <xdr:colOff>533400</xdr:colOff>
                    <xdr:row>32</xdr:row>
                    <xdr:rowOff>31750</xdr:rowOff>
                  </from>
                  <to>
                    <xdr:col>28</xdr:col>
                    <xdr:colOff>419100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5" r:id="rId12" name="Button 9">
              <controlPr defaultSize="0" print="0" autoFill="0" autoPict="0" macro="[0]!ws_add">
                <anchor moveWithCells="1" sizeWithCells="1">
                  <from>
                    <xdr:col>27</xdr:col>
                    <xdr:colOff>488950</xdr:colOff>
                    <xdr:row>35</xdr:row>
                    <xdr:rowOff>69850</xdr:rowOff>
                  </from>
                  <to>
                    <xdr:col>29</xdr:col>
                    <xdr:colOff>603250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6" r:id="rId13" name="Button 10">
              <controlPr defaultSize="0" print="0" autoFill="0" autoPict="0" macro="[0]!統合">
                <anchor moveWithCells="1" sizeWithCells="1">
                  <from>
                    <xdr:col>26</xdr:col>
                    <xdr:colOff>63500</xdr:colOff>
                    <xdr:row>59</xdr:row>
                    <xdr:rowOff>19050</xdr:rowOff>
                  </from>
                  <to>
                    <xdr:col>26</xdr:col>
                    <xdr:colOff>673100</xdr:colOff>
                    <xdr:row>60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7" r:id="rId14" name="Button 11">
              <controlPr defaultSize="0" print="0" autoFill="0" autoPict="0" macro="[0]!休暇処理">
                <anchor moveWithCells="1" sizeWithCells="1">
                  <from>
                    <xdr:col>26</xdr:col>
                    <xdr:colOff>63500</xdr:colOff>
                    <xdr:row>61</xdr:row>
                    <xdr:rowOff>19050</xdr:rowOff>
                  </from>
                  <to>
                    <xdr:col>26</xdr:col>
                    <xdr:colOff>673100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8" r:id="rId15" name="Button 12">
              <controlPr defaultSize="0" print="0" autoFill="0" autoPict="0" macro="[0]!化粧直し">
                <anchor moveWithCells="1" sizeWithCells="1">
                  <from>
                    <xdr:col>26</xdr:col>
                    <xdr:colOff>69850</xdr:colOff>
                    <xdr:row>63</xdr:row>
                    <xdr:rowOff>31750</xdr:rowOff>
                  </from>
                  <to>
                    <xdr:col>26</xdr:col>
                    <xdr:colOff>679450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9" r:id="rId16" name="Button 13">
              <controlPr defaultSize="0" print="0" autoFill="0" autoPict="0" macro="[0]!休日初期化">
                <anchor moveWithCells="1" sizeWithCells="1">
                  <from>
                    <xdr:col>26</xdr:col>
                    <xdr:colOff>146050</xdr:colOff>
                    <xdr:row>65</xdr:row>
                    <xdr:rowOff>69850</xdr:rowOff>
                  </from>
                  <to>
                    <xdr:col>26</xdr:col>
                    <xdr:colOff>641350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0" r:id="rId17" name="Button 14">
              <controlPr defaultSize="0" print="0" autoFill="0" autoPict="0" macro="[0]!初期状態">
                <anchor moveWithCells="1" sizeWithCells="1">
                  <from>
                    <xdr:col>26</xdr:col>
                    <xdr:colOff>57150</xdr:colOff>
                    <xdr:row>67</xdr:row>
                    <xdr:rowOff>88900</xdr:rowOff>
                  </from>
                  <to>
                    <xdr:col>26</xdr:col>
                    <xdr:colOff>666750</xdr:colOff>
                    <xdr:row>69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stopIfTrue="1" id="{806380D8-3C2E-4831-AB25-F1BBD28D88E5}">
            <xm:f xml:space="preserve"> OR($X$17=+テーブル!A2,$X$17=+テーブル!A3,$X$17=+テーブル!A9,$X$17=+テーブル!A10,$X$17=+テーブル!A12,$X$17=+テーブル!A13,$X$17=+テーブル!A16)</xm:f>
            <x14:dxf>
              <font>
                <color rgb="FFFF0000"/>
              </font>
            </x14:dxf>
          </x14:cfRule>
          <xm:sqref>D17:E17</xm:sqref>
        </x14:conditionalFormatting>
        <x14:conditionalFormatting xmlns:xm="http://schemas.microsoft.com/office/excel/2006/main">
          <x14:cfRule type="expression" priority="92" stopIfTrue="1" id="{4DE24E6E-81C3-4F9B-B93B-5E215739D744}">
            <xm:f xml:space="preserve"> OR($X$17=+テーブル!A2,$X$17=+テーブル!A4,$X$17=+テーブル!A9,$X$17=+テーブル!A11,$X$17=+テーブル!A12,$X$17=+テーブル!A14,$X$17=+テーブル!A16)</xm:f>
            <x14:dxf>
              <font>
                <color rgb="FFFF0000"/>
              </font>
            </x14:dxf>
          </x14:cfRule>
          <xm:sqref>F17:G17</xm:sqref>
        </x14:conditionalFormatting>
        <x14:conditionalFormatting xmlns:xm="http://schemas.microsoft.com/office/excel/2006/main">
          <x14:cfRule type="expression" priority="91" stopIfTrue="1" id="{A2448011-4D9E-4133-82DB-271CBE36B00B}">
            <xm:f xml:space="preserve"> OR($X$17=+テーブル!A2,$X$17=+テーブル!A3,$X$17=+テーブル!A4,$X$17=+テーブル!A9,$X$17=+テーブル!A10,$X$17=+テーブル!A11,$X$17=+テーブル!A12,$X$17=+テーブル!A13,$X$17=+テーブル!A14,$X$17=+テーブル!A16)</xm:f>
            <x14:dxf>
              <font>
                <color rgb="FFFF0000"/>
              </font>
            </x14:dxf>
          </x14:cfRule>
          <xm:sqref>H17:I17</xm:sqref>
        </x14:conditionalFormatting>
        <x14:conditionalFormatting xmlns:xm="http://schemas.microsoft.com/office/excel/2006/main">
          <x14:cfRule type="expression" priority="90" stopIfTrue="1" id="{46382D6A-4BD2-4797-86EC-AC44A461C276}">
            <xm:f xml:space="preserve"> OR($X$18=+テーブル!A2,$X$18=+テーブル!A3,$X$18=+テーブル!A9,$X$18=+テーブル!A10,$X$18=+テーブル!A12,$X$18=+テーブル!A13,$X$18=+テーブル!A16)</xm:f>
            <x14:dxf>
              <font>
                <color rgb="FFFF0000"/>
              </font>
            </x14:dxf>
          </x14:cfRule>
          <xm:sqref>D18:E18</xm:sqref>
        </x14:conditionalFormatting>
        <x14:conditionalFormatting xmlns:xm="http://schemas.microsoft.com/office/excel/2006/main">
          <x14:cfRule type="expression" priority="89" stopIfTrue="1" id="{DB5F27AD-508F-423F-ACFC-63B116FD0654}">
            <xm:f xml:space="preserve"> OR($X$18=+テーブル!A2,$X$18=+テーブル!A4,$X$18=+テーブル!A9,$X$18=+テーブル!A11,$X$18=+テーブル!A12,$X$18=+テーブル!A14,$X$18=+テーブル!A16)</xm:f>
            <x14:dxf>
              <font>
                <color rgb="FFFF0000"/>
              </font>
            </x14:dxf>
          </x14:cfRule>
          <xm:sqref>F18:G18</xm:sqref>
        </x14:conditionalFormatting>
        <x14:conditionalFormatting xmlns:xm="http://schemas.microsoft.com/office/excel/2006/main">
          <x14:cfRule type="expression" priority="88" stopIfTrue="1" id="{9236DDF2-5C9D-4713-B754-998ECDC2E588}">
            <xm:f xml:space="preserve"> OR($X$18=+テーブル!A2,$X$18=+テーブル!A3,$X$18=+テーブル!A4,$X$18=+テーブル!A9,$X$18=+テーブル!A10,$X$18=+テーブル!A11,$X$18=+テーブル!A12,$X$18=+テーブル!A13,$X$18=+テーブル!A14,$X$18=+テーブル!A16)</xm:f>
            <x14:dxf>
              <font>
                <color rgb="FFFF0000"/>
              </font>
            </x14:dxf>
          </x14:cfRule>
          <xm:sqref>H18:I18</xm:sqref>
        </x14:conditionalFormatting>
        <x14:conditionalFormatting xmlns:xm="http://schemas.microsoft.com/office/excel/2006/main">
          <x14:cfRule type="expression" priority="87" stopIfTrue="1" id="{1752F5DB-FE05-4D15-8208-26D28F5C36DA}">
            <xm:f xml:space="preserve"> OR($X$19=+テーブル!A2,$X$19=+テーブル!A3,$X$19=+テーブル!A9,$X$19=+テーブル!A10,$X$19=+テーブル!A12,$X$19=+テーブル!A13,$X$19=+テーブル!A16)</xm:f>
            <x14:dxf>
              <font>
                <color rgb="FFFF0000"/>
              </font>
            </x14:dxf>
          </x14:cfRule>
          <xm:sqref>D19:E19</xm:sqref>
        </x14:conditionalFormatting>
        <x14:conditionalFormatting xmlns:xm="http://schemas.microsoft.com/office/excel/2006/main">
          <x14:cfRule type="expression" priority="86" stopIfTrue="1" id="{1F31AFC3-C4E6-4570-B3EE-C10D8DA58BBF}">
            <xm:f xml:space="preserve"> OR($X$19=+テーブル!A2,$X$19=+テーブル!A4,$X$19=+テーブル!A9,$X$19=+テーブル!A11,$X$19=+テーブル!A12,$X$19=+テーブル!A14,$X$19=+テーブル!A16)</xm:f>
            <x14:dxf>
              <font>
                <color rgb="FFFF0000"/>
              </font>
            </x14:dxf>
          </x14:cfRule>
          <xm:sqref>F19:G19</xm:sqref>
        </x14:conditionalFormatting>
        <x14:conditionalFormatting xmlns:xm="http://schemas.microsoft.com/office/excel/2006/main">
          <x14:cfRule type="expression" priority="85" stopIfTrue="1" id="{397F7F7A-71C2-44F3-9E84-C552CDB29336}">
            <xm:f xml:space="preserve"> OR($X$19=+テーブル!A2,$X$19=+テーブル!A3,$X$19=+テーブル!A4,$X$19=+テーブル!A9,$X$19=+テーブル!A10,$X$19=+テーブル!A11,$X$19=+テーブル!A12,$X$19=+テーブル!A13,$X$19=+テーブル!A14,$X$19=+テーブル!A16)</xm:f>
            <x14:dxf>
              <font>
                <color rgb="FFFF0000"/>
              </font>
            </x14:dxf>
          </x14:cfRule>
          <xm:sqref>H19:I19</xm:sqref>
        </x14:conditionalFormatting>
        <x14:conditionalFormatting xmlns:xm="http://schemas.microsoft.com/office/excel/2006/main">
          <x14:cfRule type="expression" priority="84" stopIfTrue="1" id="{54F8A894-FA2D-46AE-B4CD-26C6BA7810AD}">
            <xm:f xml:space="preserve"> OR($X$20=+テーブル!A2,$X$20=+テーブル!A3,$X$20=+テーブル!A9,$X$20=+テーブル!A10,$X$20=+テーブル!A12,$X$20=+テーブル!A13,$X$20=+テーブル!A16)</xm:f>
            <x14:dxf>
              <font>
                <color rgb="FFFF000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83" stopIfTrue="1" id="{391C468D-D82D-4D5F-8F48-79B7CED21E68}">
            <xm:f xml:space="preserve"> OR($X$20=+テーブル!A2,$X$20=+テーブル!A4,$X$20=+テーブル!A9,$X$20=+テーブル!A11,$X$20=+テーブル!A12,$X$20=+テーブル!A14,$X$20=+テーブル!A16)</xm:f>
            <x14:dxf>
              <font>
                <color rgb="FFFF0000"/>
              </font>
            </x14:dxf>
          </x14:cfRule>
          <xm:sqref>F20:G20</xm:sqref>
        </x14:conditionalFormatting>
        <x14:conditionalFormatting xmlns:xm="http://schemas.microsoft.com/office/excel/2006/main">
          <x14:cfRule type="expression" priority="82" stopIfTrue="1" id="{89B7BCEB-67F5-40DD-96E0-76751636D812}">
            <xm:f xml:space="preserve"> OR($X$20=+テーブル!A2,$X$20=+テーブル!A3,$X$20=+テーブル!A4,$X$20=+テーブル!A9,$X$20=+テーブル!A10,$X$20=+テーブル!A11,$X$20=+テーブル!A12,$X$20=+テーブル!A13,$X$20=+テーブル!A14,$X$20=+テーブル!A16)</xm:f>
            <x14:dxf>
              <font>
                <color rgb="FFFF0000"/>
              </font>
            </x14:dxf>
          </x14:cfRule>
          <xm:sqref>H20:I20</xm:sqref>
        </x14:conditionalFormatting>
        <x14:conditionalFormatting xmlns:xm="http://schemas.microsoft.com/office/excel/2006/main">
          <x14:cfRule type="expression" priority="81" stopIfTrue="1" id="{CFECB0AF-C241-431F-BFC4-41BA18AA6BB6}">
            <xm:f xml:space="preserve"> OR($X$21=+テーブル!A2,$X$21=+テーブル!A3,$X$21=+テーブル!A9,$X$21=+テーブル!A10,$X$21=+テーブル!A12,$X$21=+テーブル!A13,$X$21=+テーブル!A16)</xm:f>
            <x14:dxf>
              <font>
                <color rgb="FFFF0000"/>
              </font>
            </x14:dxf>
          </x14:cfRule>
          <xm:sqref>D21:E21</xm:sqref>
        </x14:conditionalFormatting>
        <x14:conditionalFormatting xmlns:xm="http://schemas.microsoft.com/office/excel/2006/main">
          <x14:cfRule type="expression" priority="80" stopIfTrue="1" id="{B8AAA8E2-FD04-4DDD-BEA6-906B772238E7}">
            <xm:f xml:space="preserve"> OR($X$21=+テーブル!A2,$X$21=+テーブル!A4,$X$21=+テーブル!A9,$X$21=+テーブル!A11,$X$21=+テーブル!A12,$X$21=+テーブル!A14,$X$21=+テーブル!A16)</xm:f>
            <x14:dxf>
              <font>
                <color rgb="FFFF0000"/>
              </font>
            </x14:dxf>
          </x14:cfRule>
          <xm:sqref>F21:G21</xm:sqref>
        </x14:conditionalFormatting>
        <x14:conditionalFormatting xmlns:xm="http://schemas.microsoft.com/office/excel/2006/main">
          <x14:cfRule type="expression" priority="79" stopIfTrue="1" id="{54AB8502-0347-4316-9A1D-642ACFB0635D}">
            <xm:f xml:space="preserve"> OR($X$21=+テーブル!A2,$X$21=+テーブル!A3,$X$21=+テーブル!A4,$X$21=+テーブル!A9,$X$21=+テーブル!A10,$X$21=+テーブル!A11,$X$21=+テーブル!A12,$X$21=+テーブル!A13,$X$21=+テーブル!A14,$X$21=+テーブル!A16)</xm:f>
            <x14:dxf>
              <font>
                <color rgb="FFFF0000"/>
              </font>
            </x14:dxf>
          </x14:cfRule>
          <xm:sqref>H21:I21</xm:sqref>
        </x14:conditionalFormatting>
        <x14:conditionalFormatting xmlns:xm="http://schemas.microsoft.com/office/excel/2006/main">
          <x14:cfRule type="expression" priority="78" stopIfTrue="1" id="{B0735703-0117-4638-84D7-B574D28DEF8F}">
            <xm:f xml:space="preserve"> OR($X$22=+テーブル!A2,$X$22=+テーブル!A3,$X$22=+テーブル!A9,$X$22=+テーブル!A10,$X$22=+テーブル!A12,$X$22=+テーブル!A13,$X$22=+テーブル!A16)</xm:f>
            <x14:dxf>
              <font>
                <color rgb="FFFF0000"/>
              </font>
            </x14:dxf>
          </x14:cfRule>
          <xm:sqref>D22:E22</xm:sqref>
        </x14:conditionalFormatting>
        <x14:conditionalFormatting xmlns:xm="http://schemas.microsoft.com/office/excel/2006/main">
          <x14:cfRule type="expression" priority="77" stopIfTrue="1" id="{E0DAE336-ECCE-4E2D-B0F5-949A12504D60}">
            <xm:f xml:space="preserve"> OR($X$22=+テーブル!A2,$X$22=+テーブル!A4,$X$22=+テーブル!A9,$X$22=+テーブル!A11,$X$22=+テーブル!A12,$X$22=+テーブル!A14,$X$22=+テーブル!A16)</xm:f>
            <x14:dxf>
              <font>
                <color rgb="FFFF0000"/>
              </font>
            </x14:dxf>
          </x14:cfRule>
          <xm:sqref>F22:G22</xm:sqref>
        </x14:conditionalFormatting>
        <x14:conditionalFormatting xmlns:xm="http://schemas.microsoft.com/office/excel/2006/main">
          <x14:cfRule type="expression" priority="76" stopIfTrue="1" id="{10455B4B-6213-4AA6-AC41-19AC6BA41B18}">
            <xm:f xml:space="preserve"> OR($X$22=+テーブル!A2,$X$22=+テーブル!A3,$X$22=+テーブル!A4,$X$22=+テーブル!A9,$X$22=+テーブル!A10,$X$22=+テーブル!A11,$X$22=+テーブル!A12,$X$22=+テーブル!A13,$X$22=+テーブル!A14,$X$22=+テーブル!A16)</xm:f>
            <x14:dxf>
              <font>
                <color rgb="FFFF0000"/>
              </font>
            </x14:dxf>
          </x14:cfRule>
          <xm:sqref>H22:I22</xm:sqref>
        </x14:conditionalFormatting>
        <x14:conditionalFormatting xmlns:xm="http://schemas.microsoft.com/office/excel/2006/main">
          <x14:cfRule type="expression" priority="75" stopIfTrue="1" id="{C3B696A2-A400-487A-B94E-23BA08ED14B8}">
            <xm:f xml:space="preserve"> OR($X$23=+テーブル!A2,$X$23=+テーブル!A3,$X$23=+テーブル!A9,$X$23=+テーブル!A10,$X$23=+テーブル!A12,$X$23=+テーブル!A13,$X$23=+テーブル!A16)</xm:f>
            <x14:dxf>
              <font>
                <color rgb="FFFF0000"/>
              </font>
            </x14:dxf>
          </x14:cfRule>
          <xm:sqref>D23:E23</xm:sqref>
        </x14:conditionalFormatting>
        <x14:conditionalFormatting xmlns:xm="http://schemas.microsoft.com/office/excel/2006/main">
          <x14:cfRule type="expression" priority="74" stopIfTrue="1" id="{E2520E73-C380-4F55-B278-CD51552E38B8}">
            <xm:f xml:space="preserve"> OR($X$23=+テーブル!A2,$X$23=+テーブル!A4,$X$23=+テーブル!A9,$X$23=+テーブル!A11,$X$23=+テーブル!A12,$X$23=+テーブル!A14,$X$23=+テーブル!A16)</xm:f>
            <x14:dxf>
              <font>
                <color rgb="FFFF0000"/>
              </font>
            </x14:dxf>
          </x14:cfRule>
          <xm:sqref>F23:G23</xm:sqref>
        </x14:conditionalFormatting>
        <x14:conditionalFormatting xmlns:xm="http://schemas.microsoft.com/office/excel/2006/main">
          <x14:cfRule type="expression" priority="73" stopIfTrue="1" id="{B5978C27-6512-4D7E-9C50-8F080647673B}">
            <xm:f xml:space="preserve"> OR($X$23=+テーブル!A2,$X$23=+テーブル!A3,$X$23=+テーブル!A4,$X$23=+テーブル!A9,$X$23=+テーブル!A10,$X$23=+テーブル!A11,$X$23=+テーブル!A12,$X$23=+テーブル!A13,$X$23=+テーブル!A14,$X$23=+テーブル!A16)</xm:f>
            <x14:dxf>
              <font>
                <color rgb="FFFF0000"/>
              </font>
            </x14:dxf>
          </x14:cfRule>
          <xm:sqref>H23:I23</xm:sqref>
        </x14:conditionalFormatting>
        <x14:conditionalFormatting xmlns:xm="http://schemas.microsoft.com/office/excel/2006/main">
          <x14:cfRule type="expression" priority="72" stopIfTrue="1" id="{578E7660-F1BA-47D8-A1FE-3D69906B6794}">
            <xm:f xml:space="preserve"> OR($X$24=+テーブル!A2,$X$24=+テーブル!A3,$X$24=+テーブル!A9,$X$24=+テーブル!A10,$X$24=+テーブル!A12,$X$24=+テーブル!A13,$X$24=+テーブル!A16)</xm:f>
            <x14:dxf>
              <font>
                <color rgb="FFFF0000"/>
              </font>
            </x14:dxf>
          </x14:cfRule>
          <xm:sqref>D24:E24</xm:sqref>
        </x14:conditionalFormatting>
        <x14:conditionalFormatting xmlns:xm="http://schemas.microsoft.com/office/excel/2006/main">
          <x14:cfRule type="expression" priority="71" stopIfTrue="1" id="{AE914C6A-354E-4404-80EA-671A7F01C711}">
            <xm:f xml:space="preserve"> OR($X$24=+テーブル!A2,$X$24=+テーブル!A4,$X$24=+テーブル!A9,$X$24=+テーブル!A11,$X$24=+テーブル!A12,$X$24=+テーブル!A14,$X$24=+テーブル!A16)</xm:f>
            <x14:dxf>
              <font>
                <color rgb="FFFF0000"/>
              </font>
            </x14:dxf>
          </x14:cfRule>
          <xm:sqref>F24:G24</xm:sqref>
        </x14:conditionalFormatting>
        <x14:conditionalFormatting xmlns:xm="http://schemas.microsoft.com/office/excel/2006/main">
          <x14:cfRule type="expression" priority="70" stopIfTrue="1" id="{B28BA046-80C1-4065-A6AA-BF91D911FC92}">
            <xm:f xml:space="preserve"> OR($X$24=+テーブル!A2,$X$24=+テーブル!A3,$X$24=+テーブル!A4,$X$24=+テーブル!A9,$X$24=+テーブル!A10,$X$24=+テーブル!A11,$X$24=+テーブル!A12,$X$24=+テーブル!A13,$X$24=+テーブル!A14,$X$24=+テーブル!A16)</xm:f>
            <x14:dxf>
              <font>
                <color rgb="FFFF0000"/>
              </font>
            </x14:dxf>
          </x14:cfRule>
          <xm:sqref>H24:I24</xm:sqref>
        </x14:conditionalFormatting>
        <x14:conditionalFormatting xmlns:xm="http://schemas.microsoft.com/office/excel/2006/main">
          <x14:cfRule type="expression" priority="69" stopIfTrue="1" id="{5648265B-E0BE-4563-A78B-D164A6D7D2E3}">
            <xm:f xml:space="preserve"> OR($X$25=+テーブル!A2,$X$25=+テーブル!A3,$X$25=+テーブル!A9,$X$25=+テーブル!A10,$X$25=+テーブル!A12,$X$25=+テーブル!A13,$X$25=+テーブル!A16)</xm:f>
            <x14:dxf>
              <font>
                <color rgb="FFFF0000"/>
              </font>
            </x14:dxf>
          </x14:cfRule>
          <xm:sqref>D25:E25</xm:sqref>
        </x14:conditionalFormatting>
        <x14:conditionalFormatting xmlns:xm="http://schemas.microsoft.com/office/excel/2006/main">
          <x14:cfRule type="expression" priority="68" stopIfTrue="1" id="{142FFFEA-CE76-4336-B14A-FF7241E2278A}">
            <xm:f xml:space="preserve"> OR($X$25=+テーブル!A2,$X$25=+テーブル!A4,$X$25=+テーブル!A9,$X$25=+テーブル!A11,$X$25=+テーブル!A12,$X$25=+テーブル!A14,$X$25=+テーブル!A16)</xm:f>
            <x14:dxf>
              <font>
                <color rgb="FFFF0000"/>
              </font>
            </x14:dxf>
          </x14:cfRule>
          <xm:sqref>F25:G25</xm:sqref>
        </x14:conditionalFormatting>
        <x14:conditionalFormatting xmlns:xm="http://schemas.microsoft.com/office/excel/2006/main">
          <x14:cfRule type="expression" priority="67" stopIfTrue="1" id="{C8A03FF7-17A8-4E5D-966A-453ECE2920E2}">
            <xm:f xml:space="preserve"> OR($X$25=+テーブル!A2,$X$25=+テーブル!A3,$X$25=+テーブル!A4,$X$25=+テーブル!A9,$X$25=+テーブル!A10,$X$25=+テーブル!A11,$X$25=+テーブル!A12,$X$25=+テーブル!A13,$X$25=+テーブル!A14,$X$25=+テーブル!A16)</xm:f>
            <x14:dxf>
              <font>
                <color rgb="FFFF0000"/>
              </font>
            </x14:dxf>
          </x14:cfRule>
          <xm:sqref>H25:I25</xm:sqref>
        </x14:conditionalFormatting>
        <x14:conditionalFormatting xmlns:xm="http://schemas.microsoft.com/office/excel/2006/main">
          <x14:cfRule type="expression" priority="66" stopIfTrue="1" id="{8FA78C69-0167-42BA-A362-DE06B2B63F84}">
            <xm:f xml:space="preserve"> OR($X$26=+テーブル!A2,$X$26=+テーブル!A3,$X$26=+テーブル!A9,$X$26=+テーブル!A10,$X$26=+テーブル!A12,$X$26=+テーブル!A13,$X$26=+テーブル!A16)</xm:f>
            <x14:dxf>
              <font>
                <color rgb="FFFF0000"/>
              </font>
            </x14:dxf>
          </x14:cfRule>
          <xm:sqref>D26:E26</xm:sqref>
        </x14:conditionalFormatting>
        <x14:conditionalFormatting xmlns:xm="http://schemas.microsoft.com/office/excel/2006/main">
          <x14:cfRule type="expression" priority="65" stopIfTrue="1" id="{506A08E6-959C-4D2C-B2F0-BAD588DA55AA}">
            <xm:f xml:space="preserve"> OR($X$26=+テーブル!A2,$X$26=+テーブル!A4,$X$26=+テーブル!A9,$X$26=+テーブル!A11,$X$26=+テーブル!A12,$X$26=+テーブル!A14,$X$26=+テーブル!A16)</xm:f>
            <x14:dxf>
              <font>
                <color rgb="FFFF0000"/>
              </font>
            </x14:dxf>
          </x14:cfRule>
          <xm:sqref>F26:G26</xm:sqref>
        </x14:conditionalFormatting>
        <x14:conditionalFormatting xmlns:xm="http://schemas.microsoft.com/office/excel/2006/main">
          <x14:cfRule type="expression" priority="64" stopIfTrue="1" id="{9C722F14-AD43-4A02-AB51-30A93DB5D9EC}">
            <xm:f xml:space="preserve"> OR($X$26=+テーブル!A2,$X$26=+テーブル!A3,$X$26=+テーブル!A4,$X$26=+テーブル!A9,$X$26=+テーブル!A10,$X$26=+テーブル!A11,$X$26=+テーブル!A12,$X$26=+テーブル!A13,$X$26=+テーブル!A14,$X$26=+テーブル!A16)</xm:f>
            <x14:dxf>
              <font>
                <color rgb="FFFF0000"/>
              </font>
            </x14:dxf>
          </x14:cfRule>
          <xm:sqref>H26:I26</xm:sqref>
        </x14:conditionalFormatting>
        <x14:conditionalFormatting xmlns:xm="http://schemas.microsoft.com/office/excel/2006/main">
          <x14:cfRule type="expression" priority="63" stopIfTrue="1" id="{771DF9AC-0E9F-4A56-B76D-51BA1F45742D}">
            <xm:f xml:space="preserve"> OR($X$27=+テーブル!A2,$X$27=+テーブル!A3,$X$27=+テーブル!A9,$X$27=+テーブル!A10,$X$27=+テーブル!A12,$X$27=+テーブル!A13,$X$27=+テーブル!A16)</xm:f>
            <x14:dxf>
              <font>
                <color rgb="FFFF0000"/>
              </font>
            </x14:dxf>
          </x14:cfRule>
          <xm:sqref>D27:E27</xm:sqref>
        </x14:conditionalFormatting>
        <x14:conditionalFormatting xmlns:xm="http://schemas.microsoft.com/office/excel/2006/main">
          <x14:cfRule type="expression" priority="62" stopIfTrue="1" id="{C74AFB16-AC84-4A00-86ED-0830614602B7}">
            <xm:f xml:space="preserve"> OR($X$27=+テーブル!A2,$X$27=+テーブル!A4,$X$27=+テーブル!A9,$X$27=+テーブル!A11,$X$27=+テーブル!A12,$X$27=+テーブル!A14,$X$27=+テーブル!A16)</xm:f>
            <x14:dxf>
              <font>
                <color rgb="FFFF0000"/>
              </font>
            </x14:dxf>
          </x14:cfRule>
          <xm:sqref>F27:G27</xm:sqref>
        </x14:conditionalFormatting>
        <x14:conditionalFormatting xmlns:xm="http://schemas.microsoft.com/office/excel/2006/main">
          <x14:cfRule type="expression" priority="61" stopIfTrue="1" id="{2DE3E10F-630A-4740-9CC1-A5C80FAA9B9D}">
            <xm:f xml:space="preserve"> OR($X$27=+テーブル!A2,$X$27=+テーブル!A3,$X$27=+テーブル!A4,$X$27=+テーブル!A9,$X$27=+テーブル!A10,$X$27=+テーブル!A11,$X$27=+テーブル!A12,$X$27=+テーブル!A13,$X$27=+テーブル!A14,$X$27=+テーブル!A16)</xm:f>
            <x14:dxf>
              <font>
                <color rgb="FFFF0000"/>
              </font>
            </x14:dxf>
          </x14:cfRule>
          <xm:sqref>H27:I27</xm:sqref>
        </x14:conditionalFormatting>
        <x14:conditionalFormatting xmlns:xm="http://schemas.microsoft.com/office/excel/2006/main">
          <x14:cfRule type="expression" priority="60" stopIfTrue="1" id="{E1463547-B4D8-4E1C-9AC4-95FED173DBE2}">
            <xm:f xml:space="preserve"> OR($X$28=+テーブル!A2,$X$28=+テーブル!A3,$X$28=+テーブル!A9,$X$28=+テーブル!A10,$X$28=+テーブル!A12,$X$28=+テーブル!A13,$X$28=+テーブル!A16)</xm:f>
            <x14:dxf>
              <font>
                <color rgb="FFFF0000"/>
              </font>
            </x14:dxf>
          </x14:cfRule>
          <xm:sqref>D28:E28</xm:sqref>
        </x14:conditionalFormatting>
        <x14:conditionalFormatting xmlns:xm="http://schemas.microsoft.com/office/excel/2006/main">
          <x14:cfRule type="expression" priority="59" stopIfTrue="1" id="{89FF6584-F3DA-4A0B-AD96-FD1A654DF201}">
            <xm:f xml:space="preserve"> OR($X$28=+テーブル!A2,$X$28=+テーブル!A4,$X$28=+テーブル!A9,$X$28=+テーブル!A11,$X$28=+テーブル!A12,$X$28=+テーブル!A14,$X$28=+テーブル!A16)</xm:f>
            <x14:dxf>
              <font>
                <color rgb="FFFF0000"/>
              </font>
            </x14:dxf>
          </x14:cfRule>
          <xm:sqref>F28:G28</xm:sqref>
        </x14:conditionalFormatting>
        <x14:conditionalFormatting xmlns:xm="http://schemas.microsoft.com/office/excel/2006/main">
          <x14:cfRule type="expression" priority="58" stopIfTrue="1" id="{EB70C4EF-EA76-4E9B-B4FA-CC798D6E2B29}">
            <xm:f xml:space="preserve"> OR($X$28=+テーブル!A2,$X$28=+テーブル!A3,$X$28=+テーブル!A4,$X$28=+テーブル!A9,$X$28=+テーブル!A10,$X$28=+テーブル!A11,$X$28=+テーブル!A12,$X$28=+テーブル!A13,$X$28=+テーブル!A14,$X$28=+テーブル!A16)</xm:f>
            <x14:dxf>
              <font>
                <color rgb="FFFF0000"/>
              </font>
            </x14:dxf>
          </x14:cfRule>
          <xm:sqref>H28:I28</xm:sqref>
        </x14:conditionalFormatting>
        <x14:conditionalFormatting xmlns:xm="http://schemas.microsoft.com/office/excel/2006/main">
          <x14:cfRule type="expression" priority="57" stopIfTrue="1" id="{6C31F8A2-3695-42B4-B763-5E7CE245B600}">
            <xm:f xml:space="preserve"> OR($X$29=+テーブル!A2,$X$29=+テーブル!A3,$X$29=+テーブル!A9,$X$29=+テーブル!A10,$X$29=+テーブル!A12,$X$29=+テーブル!A13,$X$29=+テーブル!A16)</xm:f>
            <x14:dxf>
              <font>
                <color rgb="FFFF0000"/>
              </font>
            </x14:dxf>
          </x14:cfRule>
          <xm:sqref>D29:E29</xm:sqref>
        </x14:conditionalFormatting>
        <x14:conditionalFormatting xmlns:xm="http://schemas.microsoft.com/office/excel/2006/main">
          <x14:cfRule type="expression" priority="56" stopIfTrue="1" id="{EC31B078-FFE3-4333-9FBA-4EF2490D931C}">
            <xm:f xml:space="preserve"> OR($X$29=+テーブル!A2,$X$29=+テーブル!A4,$X$29=+テーブル!A9,$X$29=+テーブル!A11,$X$29=+テーブル!A12,$X$29=+テーブル!A14,$X$29=+テーブル!A16)</xm:f>
            <x14:dxf>
              <font>
                <color rgb="FFFF0000"/>
              </font>
            </x14:dxf>
          </x14:cfRule>
          <xm:sqref>F29:G29</xm:sqref>
        </x14:conditionalFormatting>
        <x14:conditionalFormatting xmlns:xm="http://schemas.microsoft.com/office/excel/2006/main">
          <x14:cfRule type="expression" priority="55" stopIfTrue="1" id="{8FDD71F1-4A13-4E6C-A89C-C585A8EAF446}">
            <xm:f xml:space="preserve"> OR($X$29=+テーブル!A2,$X$29=+テーブル!A3,$X$29=+テーブル!A4,$X$29=+テーブル!A9,$X$29=+テーブル!A10,$X$29=+テーブル!A11,$X$29=+テーブル!A12,$X$29=+テーブル!A13,$X$29=+テーブル!A14,$X$29=+テーブル!A16)</xm:f>
            <x14:dxf>
              <font>
                <color rgb="FFFF0000"/>
              </font>
            </x14:dxf>
          </x14:cfRule>
          <xm:sqref>H29:I29</xm:sqref>
        </x14:conditionalFormatting>
        <x14:conditionalFormatting xmlns:xm="http://schemas.microsoft.com/office/excel/2006/main">
          <x14:cfRule type="expression" priority="54" stopIfTrue="1" id="{EC141F2A-536B-45F6-8710-92A3066D13F3}">
            <xm:f xml:space="preserve"> OR($X$30=+テーブル!A2,$X$30=+テーブル!A3,$X$30=+テーブル!A9,$X$30=+テーブル!A10,$X$30=+テーブル!A12,$X$30=+テーブル!A13,$X$30=+テーブル!A16)</xm:f>
            <x14:dxf>
              <font>
                <color rgb="FFFF0000"/>
              </font>
            </x14:dxf>
          </x14:cfRule>
          <xm:sqref>D30:E30</xm:sqref>
        </x14:conditionalFormatting>
        <x14:conditionalFormatting xmlns:xm="http://schemas.microsoft.com/office/excel/2006/main">
          <x14:cfRule type="expression" priority="53" stopIfTrue="1" id="{95B45266-F16F-4853-A606-487705DAF887}">
            <xm:f xml:space="preserve"> OR($X$30=+テーブル!A2,$X$30=+テーブル!A4,$X$30=+テーブル!A9,$X$30=+テーブル!A11,$X$30=+テーブル!A12,$X$30=+テーブル!A14,$X$30=+テーブル!A16)</xm:f>
            <x14:dxf>
              <font>
                <color rgb="FFFF0000"/>
              </font>
            </x14:dxf>
          </x14:cfRule>
          <xm:sqref>F30:G30</xm:sqref>
        </x14:conditionalFormatting>
        <x14:conditionalFormatting xmlns:xm="http://schemas.microsoft.com/office/excel/2006/main">
          <x14:cfRule type="expression" priority="52" stopIfTrue="1" id="{0B145A2A-2B85-46EC-B021-5F9E4AE14DE7}">
            <xm:f xml:space="preserve"> OR($X$30=+テーブル!A2,$X$30=+テーブル!A3,$X$30=+テーブル!A4,$X$30=+テーブル!A9,$X$30=+テーブル!A10,$X$30=+テーブル!A11,$X$30=+テーブル!A12,$X$30=+テーブル!A13,$X$30=+テーブル!A14,$X$30=+テーブル!A16)</xm:f>
            <x14:dxf>
              <font>
                <color rgb="FFFF0000"/>
              </font>
            </x14:dxf>
          </x14:cfRule>
          <xm:sqref>H30:I30</xm:sqref>
        </x14:conditionalFormatting>
        <x14:conditionalFormatting xmlns:xm="http://schemas.microsoft.com/office/excel/2006/main">
          <x14:cfRule type="expression" priority="51" stopIfTrue="1" id="{D1D21F7B-8963-43AE-9CFD-9BBB3DD14E03}">
            <xm:f xml:space="preserve"> OR($X$31=+テーブル!A2,$X$31=+テーブル!A3,$X$31=+テーブル!A9,$X$31=+テーブル!A10,$X$31=+テーブル!A12,$X$31=+テーブル!A13,$X$31=+テーブル!A16)</xm:f>
            <x14:dxf>
              <font>
                <color rgb="FFFF0000"/>
              </font>
            </x14:dxf>
          </x14:cfRule>
          <xm:sqref>D31:E31</xm:sqref>
        </x14:conditionalFormatting>
        <x14:conditionalFormatting xmlns:xm="http://schemas.microsoft.com/office/excel/2006/main">
          <x14:cfRule type="expression" priority="50" stopIfTrue="1" id="{2F04EBA8-8F2D-4F01-975E-59136B8F3B4E}">
            <xm:f xml:space="preserve"> OR($X$31=+テーブル!A2,$X$31=+テーブル!A4,$X$31=+テーブル!A9,$X$31=+テーブル!A11,$X$31=+テーブル!A12,$X$31=+テーブル!A14,$X$31=+テーブル!A16)</xm:f>
            <x14:dxf>
              <font>
                <color rgb="FFFF0000"/>
              </font>
            </x14:dxf>
          </x14:cfRule>
          <xm:sqref>F31:G31</xm:sqref>
        </x14:conditionalFormatting>
        <x14:conditionalFormatting xmlns:xm="http://schemas.microsoft.com/office/excel/2006/main">
          <x14:cfRule type="expression" priority="49" stopIfTrue="1" id="{34593EA0-5179-438E-8BA4-91813F8DE660}">
            <xm:f xml:space="preserve"> OR($X$31=+テーブル!A2,$X$31=+テーブル!A3,$X$31=+テーブル!A4,$X$31=+テーブル!A9,$X$31=+テーブル!A10,$X$31=+テーブル!A11,$X$31=+テーブル!A12,$X$31=+テーブル!A13,$X$31=+テーブル!A14,$X$31=+テーブル!A16)</xm:f>
            <x14:dxf>
              <font>
                <color rgb="FFFF0000"/>
              </font>
            </x14:dxf>
          </x14:cfRule>
          <xm:sqref>H31:I31</xm:sqref>
        </x14:conditionalFormatting>
        <x14:conditionalFormatting xmlns:xm="http://schemas.microsoft.com/office/excel/2006/main">
          <x14:cfRule type="expression" priority="48" stopIfTrue="1" id="{F040A586-3340-4408-97E7-2E84A0EE3490}">
            <xm:f xml:space="preserve"> OR($X$32=+テーブル!A2,$X$32=+テーブル!A3,$X$32=+テーブル!A9,$X$32=+テーブル!A10,$X$32=+テーブル!A12,$X$32=+テーブル!A13,$X$32=+テーブル!A16)</xm:f>
            <x14:dxf>
              <font>
                <color rgb="FFFF0000"/>
              </font>
            </x14:dxf>
          </x14:cfRule>
          <xm:sqref>D32:E32</xm:sqref>
        </x14:conditionalFormatting>
        <x14:conditionalFormatting xmlns:xm="http://schemas.microsoft.com/office/excel/2006/main">
          <x14:cfRule type="expression" priority="47" stopIfTrue="1" id="{1846E158-B641-498B-8179-1500CC708596}">
            <xm:f xml:space="preserve"> OR($X$32=+テーブル!A2,$X$32=+テーブル!A4,$X$32=+テーブル!A9,$X$32=+テーブル!A11,$X$32=+テーブル!A12,$X$32=+テーブル!A14,$X$32=+テーブル!A16)</xm:f>
            <x14:dxf>
              <font>
                <color rgb="FFFF0000"/>
              </font>
            </x14:dxf>
          </x14:cfRule>
          <xm:sqref>F32:G32</xm:sqref>
        </x14:conditionalFormatting>
        <x14:conditionalFormatting xmlns:xm="http://schemas.microsoft.com/office/excel/2006/main">
          <x14:cfRule type="expression" priority="46" stopIfTrue="1" id="{8915F160-F0D8-4428-9FF2-403446B3A62F}">
            <xm:f xml:space="preserve"> OR($X$32=+テーブル!A2,$X$32=+テーブル!A3,$X$32=+テーブル!A4,$X$32=+テーブル!A9,$X$32=+テーブル!A10,$X$32=+テーブル!A11,$X$32=+テーブル!A12,$X$32=+テーブル!A13,$X$32=+テーブル!A14,$X$32=+テーブル!A16)</xm:f>
            <x14:dxf>
              <font>
                <color rgb="FFFF0000"/>
              </font>
            </x14:dxf>
          </x14:cfRule>
          <xm:sqref>H32:I32</xm:sqref>
        </x14:conditionalFormatting>
        <x14:conditionalFormatting xmlns:xm="http://schemas.microsoft.com/office/excel/2006/main">
          <x14:cfRule type="expression" priority="45" stopIfTrue="1" id="{30AD422A-B039-4B15-9426-DF485DAC9494}">
            <xm:f xml:space="preserve"> OR($X$33=+テーブル!A2,$X$33=+テーブル!A3,$X$33=+テーブル!A9,$X$33=+テーブル!A10,$X$33=+テーブル!A12,$X$33=+テーブル!A13,$X$33=+テーブル!A16)</xm:f>
            <x14:dxf>
              <font>
                <color rgb="FFFF0000"/>
              </font>
            </x14:dxf>
          </x14:cfRule>
          <xm:sqref>D33:E33</xm:sqref>
        </x14:conditionalFormatting>
        <x14:conditionalFormatting xmlns:xm="http://schemas.microsoft.com/office/excel/2006/main">
          <x14:cfRule type="expression" priority="44" stopIfTrue="1" id="{FB94572A-304B-4404-AC10-0A4F86E2B731}">
            <xm:f xml:space="preserve"> OR($X$33=+テーブル!A2,$X$33=+テーブル!A4,$X$33=+テーブル!A9,$X$33=+テーブル!A11,$X$33=+テーブル!A12,$X$33=+テーブル!A14,$X$33=+テーブル!A16)</xm:f>
            <x14:dxf>
              <font>
                <color rgb="FFFF0000"/>
              </font>
            </x14:dxf>
          </x14:cfRule>
          <xm:sqref>F33:G33</xm:sqref>
        </x14:conditionalFormatting>
        <x14:conditionalFormatting xmlns:xm="http://schemas.microsoft.com/office/excel/2006/main">
          <x14:cfRule type="expression" priority="43" stopIfTrue="1" id="{0C05DE18-E441-40F0-A65A-3B1AD522F860}">
            <xm:f xml:space="preserve"> OR($X$33=+テーブル!A2,$X$33=+テーブル!A3,$X$33=+テーブル!A4,$X$33=+テーブル!A9,$X$33=+テーブル!A10,$X$33=+テーブル!A11,$X$33=+テーブル!A12,$X$33=+テーブル!A13,$X$33=+テーブル!A14,$X$33=+テーブル!A16)</xm:f>
            <x14:dxf>
              <font>
                <color rgb="FFFF0000"/>
              </font>
            </x14:dxf>
          </x14:cfRule>
          <xm:sqref>H33:I33</xm:sqref>
        </x14:conditionalFormatting>
        <x14:conditionalFormatting xmlns:xm="http://schemas.microsoft.com/office/excel/2006/main">
          <x14:cfRule type="expression" priority="42" stopIfTrue="1" id="{A209991A-1928-4442-938D-2A66AD919DB1}">
            <xm:f xml:space="preserve"> OR($X$34=+テーブル!A2,$X$34=+テーブル!A3,$X$34=+テーブル!A9,$X$34=+テーブル!A10,$X$34=+テーブル!A12,$X$34=+テーブル!A13,$X$34=+テーブル!A16)</xm:f>
            <x14:dxf>
              <font>
                <color rgb="FFFF0000"/>
              </font>
            </x14:dxf>
          </x14:cfRule>
          <xm:sqref>D34:E34</xm:sqref>
        </x14:conditionalFormatting>
        <x14:conditionalFormatting xmlns:xm="http://schemas.microsoft.com/office/excel/2006/main">
          <x14:cfRule type="expression" priority="41" stopIfTrue="1" id="{7D5C32B7-9527-4DB3-8927-7C082ADE1078}">
            <xm:f xml:space="preserve"> OR($X$34=+テーブル!A2,$X$34=+テーブル!A4,$X$34=+テーブル!A9,$X$34=+テーブル!A11,$X$34=+テーブル!A12,$X$34=+テーブル!A14,$X$34=+テーブル!A16)</xm:f>
            <x14:dxf>
              <font>
                <color rgb="FFFF0000"/>
              </font>
            </x14:dxf>
          </x14:cfRule>
          <xm:sqref>F34:G34</xm:sqref>
        </x14:conditionalFormatting>
        <x14:conditionalFormatting xmlns:xm="http://schemas.microsoft.com/office/excel/2006/main">
          <x14:cfRule type="expression" priority="40" stopIfTrue="1" id="{EB2A2599-9DF8-41A5-AB9C-2B54E5508CA7}">
            <xm:f xml:space="preserve"> OR($X$34=+テーブル!A2,$X$34=+テーブル!A3,$X$34=+テーブル!A4,$X$34=+テーブル!A9,$X$34=+テーブル!A10,$X$34=+テーブル!A11,$X$34=+テーブル!A12,$X$34=+テーブル!A13,$X$34=+テーブル!A14,$X$34=+テーブル!A16)</xm:f>
            <x14:dxf>
              <font>
                <color rgb="FFFF0000"/>
              </font>
            </x14:dxf>
          </x14:cfRule>
          <xm:sqref>H34:I34</xm:sqref>
        </x14:conditionalFormatting>
        <x14:conditionalFormatting xmlns:xm="http://schemas.microsoft.com/office/excel/2006/main">
          <x14:cfRule type="expression" priority="39" stopIfTrue="1" id="{06A7F133-8360-43AE-9D67-EB4F9A36F0DF}">
            <xm:f xml:space="preserve"> OR($X$35=+テーブル!A2,$X$35=+テーブル!A3,$X$35=+テーブル!A9,$X$35=+テーブル!A10,$X$35=+テーブル!A12,$X$35=+テーブル!A13,$X$35=+テーブル!A16)</xm:f>
            <x14:dxf>
              <font>
                <color rgb="FFFF0000"/>
              </font>
            </x14:dxf>
          </x14:cfRule>
          <xm:sqref>D35:E35</xm:sqref>
        </x14:conditionalFormatting>
        <x14:conditionalFormatting xmlns:xm="http://schemas.microsoft.com/office/excel/2006/main">
          <x14:cfRule type="expression" priority="38" stopIfTrue="1" id="{DB9BF453-162D-409F-8ADC-7564D608D25F}">
            <xm:f xml:space="preserve"> OR($X$35=+テーブル!A2,$X$35=+テーブル!A4,$X$35=+テーブル!A9,$X$35=+テーブル!A11,$X$35=+テーブル!A12,$X$35=+テーブル!A14,$X$35=+テーブル!A16)</xm:f>
            <x14:dxf>
              <font>
                <color rgb="FFFF0000"/>
              </font>
            </x14:dxf>
          </x14:cfRule>
          <xm:sqref>F35:G35</xm:sqref>
        </x14:conditionalFormatting>
        <x14:conditionalFormatting xmlns:xm="http://schemas.microsoft.com/office/excel/2006/main">
          <x14:cfRule type="expression" priority="37" stopIfTrue="1" id="{1BAD0883-3D6A-492E-A894-5B439238D371}">
            <xm:f xml:space="preserve"> OR($X$35=+テーブル!A2,$X$35=+テーブル!A3,$X$35=+テーブル!A4,$X$35=+テーブル!A9,$X$35=+テーブル!A10,$X$35=+テーブル!A11,$X$35=+テーブル!A12,$X$35=+テーブル!A13,$X$35=+テーブル!A14,$X$35=+テーブル!A16)</xm:f>
            <x14:dxf>
              <font>
                <color rgb="FFFF0000"/>
              </font>
            </x14:dxf>
          </x14:cfRule>
          <xm:sqref>H35:I35</xm:sqref>
        </x14:conditionalFormatting>
        <x14:conditionalFormatting xmlns:xm="http://schemas.microsoft.com/office/excel/2006/main">
          <x14:cfRule type="expression" priority="36" stopIfTrue="1" id="{CAD8125E-A281-4040-ABC9-492AD68E673A}">
            <xm:f xml:space="preserve"> OR($X$36=+テーブル!A2,$X$36=+テーブル!A3,$X$36=+テーブル!A9,$X$36=+テーブル!A10,$X$36=+テーブル!A12,$X$36=+テーブル!A13,$X$36=+テーブル!A16)</xm:f>
            <x14:dxf>
              <font>
                <color rgb="FFFF0000"/>
              </font>
            </x14:dxf>
          </x14:cfRule>
          <xm:sqref>D36:E36</xm:sqref>
        </x14:conditionalFormatting>
        <x14:conditionalFormatting xmlns:xm="http://schemas.microsoft.com/office/excel/2006/main">
          <x14:cfRule type="expression" priority="35" stopIfTrue="1" id="{A0B038D2-E115-44D7-84B5-6F8499DEBADC}">
            <xm:f xml:space="preserve"> OR($X$36=+テーブル!A2,$X$36=+テーブル!A4,$X$36=+テーブル!A9,$X$36=+テーブル!A11,$X$36=+テーブル!A12,$X$36=+テーブル!A14,$X$36=+テーブル!A16)</xm:f>
            <x14:dxf>
              <font>
                <color rgb="FFFF0000"/>
              </font>
            </x14:dxf>
          </x14:cfRule>
          <xm:sqref>F36:G36</xm:sqref>
        </x14:conditionalFormatting>
        <x14:conditionalFormatting xmlns:xm="http://schemas.microsoft.com/office/excel/2006/main">
          <x14:cfRule type="expression" priority="34" stopIfTrue="1" id="{45730529-7C0E-4F7E-BB24-05B178DAB347}">
            <xm:f xml:space="preserve"> OR($X$36=+テーブル!A2,$X$36=+テーブル!A3,$X$36=+テーブル!A4,$X$36=+テーブル!A9,$X$36=+テーブル!A10,$X$36=+テーブル!A11,$X$36=+テーブル!A12,$X$36=+テーブル!A13,$X$36=+テーブル!A14,$X$36=+テーブル!A16)</xm:f>
            <x14:dxf>
              <font>
                <color rgb="FFFF0000"/>
              </font>
            </x14:dxf>
          </x14:cfRule>
          <xm:sqref>H36:I36</xm:sqref>
        </x14:conditionalFormatting>
        <x14:conditionalFormatting xmlns:xm="http://schemas.microsoft.com/office/excel/2006/main">
          <x14:cfRule type="expression" priority="33" stopIfTrue="1" id="{EA7D520A-4591-485D-9886-3A5FDE9B8625}">
            <xm:f xml:space="preserve"> OR($X$37=+テーブル!A2,$X$37=+テーブル!A3,$X$37=+テーブル!A9,$X$37=+テーブル!A10,$X$37=+テーブル!A12,$X$37=+テーブル!A13,$X$37=+テーブル!A16)</xm:f>
            <x14:dxf>
              <font>
                <color rgb="FFFF0000"/>
              </font>
            </x14:dxf>
          </x14:cfRule>
          <xm:sqref>D37:E37</xm:sqref>
        </x14:conditionalFormatting>
        <x14:conditionalFormatting xmlns:xm="http://schemas.microsoft.com/office/excel/2006/main">
          <x14:cfRule type="expression" priority="32" stopIfTrue="1" id="{A21B4FF6-37D7-4ED4-BC71-2B7E48C24F85}">
            <xm:f xml:space="preserve"> OR($X$37=+テーブル!A2,$X$37=+テーブル!A4,$X$37=+テーブル!A9,$X$37=+テーブル!A11,$X$37=+テーブル!A12,$X$37=+テーブル!A14,$X$37=+テーブル!A16)</xm:f>
            <x14:dxf>
              <font>
                <color rgb="FFFF0000"/>
              </font>
            </x14:dxf>
          </x14:cfRule>
          <xm:sqref>F37:G37</xm:sqref>
        </x14:conditionalFormatting>
        <x14:conditionalFormatting xmlns:xm="http://schemas.microsoft.com/office/excel/2006/main">
          <x14:cfRule type="expression" priority="31" stopIfTrue="1" id="{BE00F99F-F068-44EF-B0B2-85CB1D0B5675}">
            <xm:f xml:space="preserve"> OR($X$37=+テーブル!A2,$X$37=+テーブル!A3,$X$37=+テーブル!A4,$X$37=+テーブル!A9,$X$37=+テーブル!A10,$X$37=+テーブル!A11,$X$37=+テーブル!A12,$X$37=+テーブル!A13,$X$37=+テーブル!A14,$X$37=+テーブル!A16)</xm:f>
            <x14:dxf>
              <font>
                <color rgb="FFFF0000"/>
              </font>
            </x14:dxf>
          </x14:cfRule>
          <xm:sqref>H37:I37</xm:sqref>
        </x14:conditionalFormatting>
        <x14:conditionalFormatting xmlns:xm="http://schemas.microsoft.com/office/excel/2006/main">
          <x14:cfRule type="expression" priority="30" stopIfTrue="1" id="{E54468E0-2394-4259-B865-F4235D484807}">
            <xm:f xml:space="preserve"> OR($X$38=+テーブル!A2,$X$38=+テーブル!A3,$X$38=+テーブル!A9,$X$38=+テーブル!A10,$X$38=+テーブル!A12,$X$38=+テーブル!A13,$X$38=+テーブル!A16)</xm:f>
            <x14:dxf>
              <font>
                <color rgb="FFFF0000"/>
              </font>
            </x14:dxf>
          </x14:cfRule>
          <xm:sqref>D38:E38</xm:sqref>
        </x14:conditionalFormatting>
        <x14:conditionalFormatting xmlns:xm="http://schemas.microsoft.com/office/excel/2006/main">
          <x14:cfRule type="expression" priority="29" stopIfTrue="1" id="{97E8B822-F220-4D77-8CCF-8AF9B0AB210C}">
            <xm:f xml:space="preserve"> OR($X$38=+テーブル!A2,$X$38=+テーブル!A4,$X$38=+テーブル!A9,$X$38=+テーブル!A11,$X$38=+テーブル!A12,$X$38=+テーブル!A14,$X$38=+テーブル!A16)</xm:f>
            <x14:dxf>
              <font>
                <color rgb="FFFF0000"/>
              </font>
            </x14:dxf>
          </x14:cfRule>
          <xm:sqref>F38:G38</xm:sqref>
        </x14:conditionalFormatting>
        <x14:conditionalFormatting xmlns:xm="http://schemas.microsoft.com/office/excel/2006/main">
          <x14:cfRule type="expression" priority="28" stopIfTrue="1" id="{963C1762-D008-4282-ACE9-691FCA4E8DE9}">
            <xm:f xml:space="preserve"> OR($X$38=+テーブル!A2,$X$38=+テーブル!A3,$X$38=+テーブル!A4,$X$38=+テーブル!A9,$X$38=+テーブル!A10,$X$38=+テーブル!A11,$X$38=+テーブル!A12,$X$38=+テーブル!A13,$X$38=+テーブル!A14,$X$38=+テーブル!A16)</xm:f>
            <x14:dxf>
              <font>
                <color rgb="FFFF0000"/>
              </font>
            </x14:dxf>
          </x14:cfRule>
          <xm:sqref>H38:I38</xm:sqref>
        </x14:conditionalFormatting>
        <x14:conditionalFormatting xmlns:xm="http://schemas.microsoft.com/office/excel/2006/main">
          <x14:cfRule type="expression" priority="27" stopIfTrue="1" id="{52876284-BADA-4CCE-8D2B-3C4505CFBE4D}">
            <xm:f xml:space="preserve"> OR($X$39=+テーブル!A2,$X$39=+テーブル!A3,$X$39=+テーブル!A9,$X$39=+テーブル!A10,$X$39=+テーブル!A12,$X$39=+テーブル!A13,$X$39=+テーブル!A16)</xm:f>
            <x14:dxf>
              <font>
                <color rgb="FFFF0000"/>
              </font>
            </x14:dxf>
          </x14:cfRule>
          <xm:sqref>D39:E39</xm:sqref>
        </x14:conditionalFormatting>
        <x14:conditionalFormatting xmlns:xm="http://schemas.microsoft.com/office/excel/2006/main">
          <x14:cfRule type="expression" priority="26" stopIfTrue="1" id="{44C9C1EC-8F5B-43CF-B046-02C63DA3FE67}">
            <xm:f xml:space="preserve"> OR($X$39=+テーブル!A2,$X$39=+テーブル!A4,$X$39=+テーブル!A9,$X$39=+テーブル!A11,$X$39=+テーブル!A12,$X$39=+テーブル!A14,$X$39=+テーブル!A16)</xm:f>
            <x14:dxf>
              <font>
                <color rgb="FFFF0000"/>
              </font>
            </x14:dxf>
          </x14:cfRule>
          <xm:sqref>F39:G39</xm:sqref>
        </x14:conditionalFormatting>
        <x14:conditionalFormatting xmlns:xm="http://schemas.microsoft.com/office/excel/2006/main">
          <x14:cfRule type="expression" priority="25" stopIfTrue="1" id="{13329C86-0564-4413-A03E-4BF49D4E1D92}">
            <xm:f xml:space="preserve"> OR($X$39=+テーブル!A2,$X$39=+テーブル!A3,$X$39=+テーブル!A4,$X$39=+テーブル!A9,$X$39=+テーブル!A10,$X$39=+テーブル!A11,$X$39=+テーブル!A12,$X$39=+テーブル!A13,$X$39=+テーブル!A14,$X$39=+テーブル!A16)</xm:f>
            <x14:dxf>
              <font>
                <color rgb="FFFF0000"/>
              </font>
            </x14:dxf>
          </x14:cfRule>
          <xm:sqref>H39:I39</xm:sqref>
        </x14:conditionalFormatting>
        <x14:conditionalFormatting xmlns:xm="http://schemas.microsoft.com/office/excel/2006/main">
          <x14:cfRule type="expression" priority="24" stopIfTrue="1" id="{537AD007-8264-4476-842B-D7720D5783E6}">
            <xm:f xml:space="preserve"> OR($X$40=+テーブル!A2,$X$40=+テーブル!A3,$X$40=+テーブル!A9,$X$40=+テーブル!A10,$X$40=+テーブル!A12,$X$40=+テーブル!A13,$X$40=+テーブル!A16)</xm:f>
            <x14:dxf>
              <font>
                <color rgb="FFFF0000"/>
              </font>
            </x14:dxf>
          </x14:cfRule>
          <xm:sqref>D40:E40</xm:sqref>
        </x14:conditionalFormatting>
        <x14:conditionalFormatting xmlns:xm="http://schemas.microsoft.com/office/excel/2006/main">
          <x14:cfRule type="expression" priority="23" stopIfTrue="1" id="{DF579BD3-10C4-46A7-8752-B7E904403701}">
            <xm:f xml:space="preserve"> OR($X$40=+テーブル!A2,$X$40=+テーブル!A4,$X$40=+テーブル!A9,$X$40=+テーブル!A11,$X$40=+テーブル!A12,$X$40=+テーブル!A14,$X$40=+テーブル!A16)</xm:f>
            <x14:dxf>
              <font>
                <color rgb="FFFF0000"/>
              </font>
            </x14:dxf>
          </x14:cfRule>
          <xm:sqref>F40:G40</xm:sqref>
        </x14:conditionalFormatting>
        <x14:conditionalFormatting xmlns:xm="http://schemas.microsoft.com/office/excel/2006/main">
          <x14:cfRule type="expression" priority="22" stopIfTrue="1" id="{A469E876-AC3F-42A7-9CB8-31ABCCEE3D78}">
            <xm:f xml:space="preserve"> OR($X$40=+テーブル!A2,$X$40=+テーブル!A3,$X$40=+テーブル!A4,$X$40=+テーブル!A9,$X$40=+テーブル!A10,$X$40=+テーブル!A11,$X$40=+テーブル!A12,$X$40=+テーブル!A13,$X$40=+テーブル!A14,$X$40=+テーブル!A16)</xm:f>
            <x14:dxf>
              <font>
                <color rgb="FFFF0000"/>
              </font>
            </x14:dxf>
          </x14:cfRule>
          <xm:sqref>H40:I40</xm:sqref>
        </x14:conditionalFormatting>
        <x14:conditionalFormatting xmlns:xm="http://schemas.microsoft.com/office/excel/2006/main">
          <x14:cfRule type="expression" priority="21" stopIfTrue="1" id="{287E83FB-4AA4-41CE-889C-35D6C054DF98}">
            <xm:f xml:space="preserve"> OR($X$41=+テーブル!A2,$X$41=+テーブル!A3,$X$41=+テーブル!A9,$X$41=+テーブル!A10,$X$41=+テーブル!A12,$X$41=+テーブル!A13,$X$41=+テーブル!A16)</xm:f>
            <x14:dxf>
              <font>
                <color rgb="FFFF0000"/>
              </font>
            </x14:dxf>
          </x14:cfRule>
          <xm:sqref>D41:E41</xm:sqref>
        </x14:conditionalFormatting>
        <x14:conditionalFormatting xmlns:xm="http://schemas.microsoft.com/office/excel/2006/main">
          <x14:cfRule type="expression" priority="20" stopIfTrue="1" id="{9B4D0626-CE75-4B50-9083-589E10933588}">
            <xm:f xml:space="preserve"> OR($X$41=+テーブル!A2,$X$41=+テーブル!A4,$X$41=+テーブル!A9,$X$41=+テーブル!A11,$X$41=+テーブル!A12,$X$41=+テーブル!A14,$X$41=+テーブル!A16)</xm:f>
            <x14:dxf>
              <font>
                <color rgb="FFFF0000"/>
              </font>
            </x14:dxf>
          </x14:cfRule>
          <xm:sqref>F41:G41</xm:sqref>
        </x14:conditionalFormatting>
        <x14:conditionalFormatting xmlns:xm="http://schemas.microsoft.com/office/excel/2006/main">
          <x14:cfRule type="expression" priority="19" stopIfTrue="1" id="{0C302C15-75D8-4787-99DB-139B2FA979D7}">
            <xm:f xml:space="preserve"> OR($X$41=+テーブル!A2,$X$41=+テーブル!A3,$X$41=+テーブル!A4,$X$41=+テーブル!A9,$X$41=+テーブル!A10,$X$41=+テーブル!A11,$X$41=+テーブル!A12,$X$41=+テーブル!A13,$X$41=+テーブル!A14,$X$41=+テーブル!A16)</xm:f>
            <x14:dxf>
              <font>
                <color rgb="FFFF0000"/>
              </font>
            </x14:dxf>
          </x14:cfRule>
          <xm:sqref>H41:I41</xm:sqref>
        </x14:conditionalFormatting>
        <x14:conditionalFormatting xmlns:xm="http://schemas.microsoft.com/office/excel/2006/main">
          <x14:cfRule type="expression" priority="18" stopIfTrue="1" id="{4E0109C6-CCCB-43D2-B583-429E6090C61C}">
            <xm:f xml:space="preserve"> OR($X$42=+テーブル!A2,$X$42=+テーブル!A3,$X$42=+テーブル!A9,$X$42=+テーブル!A10,$X$42=+テーブル!A12,$X$42=+テーブル!A13,$X$42=+テーブル!A16)</xm:f>
            <x14:dxf>
              <font>
                <color rgb="FFFF0000"/>
              </font>
            </x14:dxf>
          </x14:cfRule>
          <xm:sqref>D42:E42</xm:sqref>
        </x14:conditionalFormatting>
        <x14:conditionalFormatting xmlns:xm="http://schemas.microsoft.com/office/excel/2006/main">
          <x14:cfRule type="expression" priority="17" stopIfTrue="1" id="{8301353A-A460-45EA-A683-33EA000D6C7C}">
            <xm:f xml:space="preserve"> OR($X$42=+テーブル!A2,$X$42=+テーブル!A4,$X$42=+テーブル!A9,$X$42=+テーブル!A11,$X$42=+テーブル!A12,$X$42=+テーブル!A14,$X$42=+テーブル!A16)</xm:f>
            <x14:dxf>
              <font>
                <color rgb="FFFF0000"/>
              </font>
            </x14:dxf>
          </x14:cfRule>
          <xm:sqref>F42:G42</xm:sqref>
        </x14:conditionalFormatting>
        <x14:conditionalFormatting xmlns:xm="http://schemas.microsoft.com/office/excel/2006/main">
          <x14:cfRule type="expression" priority="16" stopIfTrue="1" id="{F6E19864-CA9A-4B1D-8999-CBC4ADAC4E88}">
            <xm:f xml:space="preserve"> OR($X$42=+テーブル!A2,$X$42=+テーブル!A3,$X$42=+テーブル!A4,$X$42=+テーブル!A9,$X$42=+テーブル!A10,$X$42=+テーブル!A11,$X$42=+テーブル!A12,$X$42=+テーブル!A13,$X$42=+テーブル!A14,$X$42=+テーブル!A16)</xm:f>
            <x14:dxf>
              <font>
                <color rgb="FFFF0000"/>
              </font>
            </x14:dxf>
          </x14:cfRule>
          <xm:sqref>H42:I42</xm:sqref>
        </x14:conditionalFormatting>
        <x14:conditionalFormatting xmlns:xm="http://schemas.microsoft.com/office/excel/2006/main">
          <x14:cfRule type="expression" priority="15" stopIfTrue="1" id="{6FD8615C-D290-4338-8DD8-02B55701F336}">
            <xm:f xml:space="preserve"> OR($X$43=+テーブル!A2,$X$43=+テーブル!A3,$X$43=+テーブル!A9,$X$43=+テーブル!A10,$X$43=+テーブル!A12,$X$43=+テーブル!A13,$X$43=+テーブル!A16)</xm:f>
            <x14:dxf>
              <font>
                <color rgb="FFFF0000"/>
              </font>
            </x14:dxf>
          </x14:cfRule>
          <xm:sqref>D43:E43</xm:sqref>
        </x14:conditionalFormatting>
        <x14:conditionalFormatting xmlns:xm="http://schemas.microsoft.com/office/excel/2006/main">
          <x14:cfRule type="expression" priority="14" stopIfTrue="1" id="{C66BC6A8-5CD2-41E0-84AB-D1B7A224535C}">
            <xm:f xml:space="preserve"> OR($X$43=+テーブル!A2,$X$43=+テーブル!A4,$X$43=+テーブル!A9,$X$43=+テーブル!A11,$X$43=+テーブル!A12,$X$43=+テーブル!A14,$X$43=+テーブル!A16)</xm:f>
            <x14:dxf>
              <font>
                <color rgb="FFFF0000"/>
              </font>
            </x14:dxf>
          </x14:cfRule>
          <xm:sqref>F43:G43</xm:sqref>
        </x14:conditionalFormatting>
        <x14:conditionalFormatting xmlns:xm="http://schemas.microsoft.com/office/excel/2006/main">
          <x14:cfRule type="expression" priority="13" stopIfTrue="1" id="{DACAB75B-8B3C-48B5-9EF7-3C4E4CBFBA7F}">
            <xm:f xml:space="preserve"> OR($X$43=+テーブル!A2,$X$43=+テーブル!A3,$X$43=+テーブル!A4,$X$43=+テーブル!A9,$X$43=+テーブル!A10,$X$43=+テーブル!A11,$X$43=+テーブル!A12,$X$43=+テーブル!A13,$X$43=+テーブル!A14,$X$43=+テーブル!A16)</xm:f>
            <x14:dxf>
              <font>
                <color rgb="FFFF0000"/>
              </font>
            </x14:dxf>
          </x14:cfRule>
          <xm:sqref>H43:I43</xm:sqref>
        </x14:conditionalFormatting>
        <x14:conditionalFormatting xmlns:xm="http://schemas.microsoft.com/office/excel/2006/main">
          <x14:cfRule type="expression" priority="12" stopIfTrue="1" id="{E383B12F-7A5C-435E-85B5-1D642C0E2BA1}">
            <xm:f xml:space="preserve"> OR($X$44=+テーブル!A2,$X$44=+テーブル!A3,$X$44=+テーブル!A9,$X$44=+テーブル!A10,$X$44=+テーブル!A12,$X$44=+テーブル!A13,$X$44=+テーブル!A16)</xm:f>
            <x14:dxf>
              <font>
                <color rgb="FFFF0000"/>
              </font>
            </x14:dxf>
          </x14:cfRule>
          <xm:sqref>D44:E44</xm:sqref>
        </x14:conditionalFormatting>
        <x14:conditionalFormatting xmlns:xm="http://schemas.microsoft.com/office/excel/2006/main">
          <x14:cfRule type="expression" priority="11" stopIfTrue="1" id="{701F3887-8BBF-4D0A-B28D-5B0B9B1F737E}">
            <xm:f xml:space="preserve"> OR($X$44=+テーブル!A2,$X$44=+テーブル!A4,$X$44=+テーブル!A9,$X$44=+テーブル!A11,$X$44=+テーブル!A12,$X$44=+テーブル!A14,$X$44=+テーブル!A16)</xm:f>
            <x14:dxf>
              <font>
                <color rgb="FFFF0000"/>
              </font>
            </x14:dxf>
          </x14:cfRule>
          <xm:sqref>F44:G44</xm:sqref>
        </x14:conditionalFormatting>
        <x14:conditionalFormatting xmlns:xm="http://schemas.microsoft.com/office/excel/2006/main">
          <x14:cfRule type="expression" priority="10" stopIfTrue="1" id="{404E9E65-1C51-486A-AA18-34B76E95B036}">
            <xm:f xml:space="preserve"> OR($X$44=+テーブル!A2,$X$44=+テーブル!A3,$X$44=+テーブル!A4,$X$44=+テーブル!A9,$X$44=+テーブル!A10,$X$44=+テーブル!A11,$X$44=+テーブル!A12,$X$44=+テーブル!A13,$X$44=+テーブル!A14,$X$44=+テーブル!A16)</xm:f>
            <x14:dxf>
              <font>
                <color rgb="FFFF0000"/>
              </font>
            </x14:dxf>
          </x14:cfRule>
          <xm:sqref>H44:I44</xm:sqref>
        </x14:conditionalFormatting>
        <x14:conditionalFormatting xmlns:xm="http://schemas.microsoft.com/office/excel/2006/main">
          <x14:cfRule type="expression" priority="9" stopIfTrue="1" id="{F0B313F8-CDAB-4228-AA03-B851DC3C56A8}">
            <xm:f xml:space="preserve"> OR($X$45=+テーブル!A2,$X$45=+テーブル!A3,$X$45=+テーブル!A9,$X$45=+テーブル!A10,$X$45=+テーブル!A12,$X$45=+テーブル!A13,$X$45=+テーブル!A16)</xm:f>
            <x14:dxf>
              <font>
                <color rgb="FFFF0000"/>
              </font>
            </x14:dxf>
          </x14:cfRule>
          <xm:sqref>D45:E45</xm:sqref>
        </x14:conditionalFormatting>
        <x14:conditionalFormatting xmlns:xm="http://schemas.microsoft.com/office/excel/2006/main">
          <x14:cfRule type="expression" priority="8" stopIfTrue="1" id="{840B0C8C-30FE-4CFC-9BAB-56CD5521A76C}">
            <xm:f xml:space="preserve"> OR($X$45=+テーブル!A2,$X$45=+テーブル!A4,$X$45=+テーブル!A9,$X$45=+テーブル!A11,$X$45=+テーブル!A12,$X$45=+テーブル!A14,$X$45=+テーブル!A16)</xm:f>
            <x14:dxf>
              <font>
                <color rgb="FFFF0000"/>
              </font>
            </x14:dxf>
          </x14:cfRule>
          <xm:sqref>F45:G45</xm:sqref>
        </x14:conditionalFormatting>
        <x14:conditionalFormatting xmlns:xm="http://schemas.microsoft.com/office/excel/2006/main">
          <x14:cfRule type="expression" priority="7" stopIfTrue="1" id="{7A0D545F-ECD9-47BC-94EA-373EB38B092C}">
            <xm:f xml:space="preserve"> OR($X$45=+テーブル!A2,$X$45=+テーブル!A3,$X$45=+テーブル!A4,$X$45=+テーブル!A9,$X$45=+テーブル!A10,$X$45=+テーブル!A11,$X$45=+テーブル!A12,$X$45=+テーブル!A13,$X$45=+テーブル!A14,$X$45=+テーブル!A16)</xm:f>
            <x14:dxf>
              <font>
                <color rgb="FFFF0000"/>
              </font>
            </x14:dxf>
          </x14:cfRule>
          <xm:sqref>H45:I45</xm:sqref>
        </x14:conditionalFormatting>
        <x14:conditionalFormatting xmlns:xm="http://schemas.microsoft.com/office/excel/2006/main">
          <x14:cfRule type="expression" priority="6" stopIfTrue="1" id="{78A6E4C6-04C2-46C0-9CC3-7DD4924AEA3C}">
            <xm:f xml:space="preserve"> OR($X$46=+テーブル!A2,$X$46=+テーブル!A3,$X$46=+テーブル!A9,$X$46=+テーブル!A10,$X$46=+テーブル!A12,$X$46=+テーブル!A13,$X$46=+テーブル!A16)</xm:f>
            <x14:dxf>
              <font>
                <color rgb="FFFF0000"/>
              </font>
            </x14:dxf>
          </x14:cfRule>
          <xm:sqref>D46:E46</xm:sqref>
        </x14:conditionalFormatting>
        <x14:conditionalFormatting xmlns:xm="http://schemas.microsoft.com/office/excel/2006/main">
          <x14:cfRule type="expression" priority="5" stopIfTrue="1" id="{9AF7DDAD-6AA7-4C8C-BC24-7B461A7125DC}">
            <xm:f xml:space="preserve"> OR($X$46=+テーブル!A2,$X$46=+テーブル!A4,$X$46=+テーブル!A9,$X$46=+テーブル!A11,$X$46=+テーブル!A12,$X$46=+テーブル!A14,$X$46=+テーブル!A16)</xm:f>
            <x14:dxf>
              <font>
                <color rgb="FFFF0000"/>
              </font>
            </x14:dxf>
          </x14:cfRule>
          <xm:sqref>F46:G46</xm:sqref>
        </x14:conditionalFormatting>
        <x14:conditionalFormatting xmlns:xm="http://schemas.microsoft.com/office/excel/2006/main">
          <x14:cfRule type="expression" priority="4" stopIfTrue="1" id="{82BA8A31-CA7A-44D3-A2C6-183742B2730D}">
            <xm:f xml:space="preserve"> OR($X$46=+テーブル!A2,$X$46=+テーブル!A3,$X$46=+テーブル!A4,$X$46=+テーブル!A9,$X$46=+テーブル!A10,$X$46=+テーブル!A11,$X$46=+テーブル!A12,$X$46=+テーブル!A13,$X$46=+テーブル!A14,$X$46=+テーブル!A16)</xm:f>
            <x14:dxf>
              <font>
                <color rgb="FFFF0000"/>
              </font>
            </x14:dxf>
          </x14:cfRule>
          <xm:sqref>H46:I46</xm:sqref>
        </x14:conditionalFormatting>
        <x14:conditionalFormatting xmlns:xm="http://schemas.microsoft.com/office/excel/2006/main">
          <x14:cfRule type="expression" priority="3" stopIfTrue="1" id="{B7B65FFA-230E-4B1C-9763-5E504A4A5E56}">
            <xm:f xml:space="preserve"> OR($X$47=+テーブル!A2,$X$47=+テーブル!A3,$X$47=+テーブル!A9,$X$47=+テーブル!A10,$X$47=+テーブル!A12,$X$47=+テーブル!A13,$X$47=+テーブル!A16)</xm:f>
            <x14:dxf>
              <font>
                <color rgb="FFFF0000"/>
              </font>
            </x14:dxf>
          </x14:cfRule>
          <xm:sqref>D47:E47</xm:sqref>
        </x14:conditionalFormatting>
        <x14:conditionalFormatting xmlns:xm="http://schemas.microsoft.com/office/excel/2006/main">
          <x14:cfRule type="expression" priority="2" stopIfTrue="1" id="{23AC93E0-C511-472D-9B13-F18718426903}">
            <xm:f xml:space="preserve"> OR($X$47=+テーブル!A2,$X$47=+テーブル!A4,$X$47=+テーブル!A9,$X$47=+テーブル!A11,$X$47=+テーブル!A12,$X$47=+テーブル!A14,$X$47=+テーブル!A16)</xm:f>
            <x14:dxf>
              <font>
                <color rgb="FFFF0000"/>
              </font>
            </x14:dxf>
          </x14:cfRule>
          <xm:sqref>F47:G47</xm:sqref>
        </x14:conditionalFormatting>
        <x14:conditionalFormatting xmlns:xm="http://schemas.microsoft.com/office/excel/2006/main">
          <x14:cfRule type="expression" priority="1" stopIfTrue="1" id="{890BD8C9-60FF-4AA5-AF32-F900205CF290}">
            <xm:f xml:space="preserve"> OR($X$47=+テーブル!A2,$X$47=+テーブル!A3,$X$47=+テーブル!A4,$X$47=+テーブル!A9,$X$47=+テーブル!A10,$X$47=+テーブル!A11,$X$47=+テーブル!A12,$X$47=+テーブル!A13,$X$47=+テーブル!A14,$X$47=+テーブル!A16)</xm:f>
            <x14:dxf>
              <font>
                <color rgb="FFFF0000"/>
              </font>
            </x14:dxf>
          </x14:cfRule>
          <xm:sqref>H47:I47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7A82E5-991D-4AD0-9099-E2138C92AD81}">
          <x14:formula1>
            <xm:f>テーブル!$Q:$Q</xm:f>
          </x14:formula1>
          <xm:sqref>D62:I64</xm:sqref>
        </x14:dataValidation>
        <x14:dataValidation type="list" allowBlank="1" showInputMessage="1" showErrorMessage="1" xr:uid="{8C23766F-7D2C-474E-8B7F-59E86641CA9A}">
          <x14:formula1>
            <xm:f>テーブル!$P:$P</xm:f>
          </x14:formula1>
          <xm:sqref>D61:I61</xm:sqref>
        </x14:dataValidation>
        <x14:dataValidation type="list" allowBlank="1" showInputMessage="1" showErrorMessage="1" xr:uid="{D64BF78B-889A-4560-9C6D-26DCA422CB9C}">
          <x14:formula1>
            <xm:f>テーブル!$B:$B</xm:f>
          </x14:formula1>
          <xm:sqref>P57:W57</xm:sqref>
        </x14:dataValidation>
        <x14:dataValidation type="list" allowBlank="1" showInputMessage="1" showErrorMessage="1" xr:uid="{9D360536-3D39-4594-945B-EE7B8E18FBE2}">
          <x14:formula1>
            <xm:f>テーブル!$A:$A</xm:f>
          </x14:formula1>
          <xm:sqref>X17:Z47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EF4B7-C39F-4FF2-AE1C-FE02C85E34DE}">
  <sheetPr codeName="Sheet33">
    <pageSetUpPr fitToPage="1"/>
  </sheetPr>
  <dimension ref="A1:AH83"/>
  <sheetViews>
    <sheetView view="pageBreakPreview" zoomScaleNormal="130" zoomScaleSheetLayoutView="100" workbookViewId="0">
      <pane ySplit="16" topLeftCell="A17" activePane="bottomLeft" state="frozen"/>
      <selection activeCell="AC46" sqref="AC46"/>
      <selection pane="bottomLeft" activeCell="AC46" sqref="AC46"/>
    </sheetView>
  </sheetViews>
  <sheetFormatPr defaultRowHeight="13" x14ac:dyDescent="0.2"/>
  <cols>
    <col min="1" max="1" width="5.36328125" customWidth="1"/>
    <col min="2" max="7" width="3.6328125" customWidth="1"/>
    <col min="8" max="8" width="4.36328125" customWidth="1"/>
    <col min="9" max="12" width="3.6328125" customWidth="1"/>
    <col min="13" max="15" width="3.90625" customWidth="1"/>
    <col min="16" max="26" width="3.6328125" customWidth="1"/>
    <col min="27" max="28" width="10.453125" bestFit="1" customWidth="1"/>
    <col min="257" max="282" width="3.6328125" customWidth="1"/>
    <col min="513" max="538" width="3.6328125" customWidth="1"/>
    <col min="769" max="794" width="3.6328125" customWidth="1"/>
    <col min="1025" max="1050" width="3.6328125" customWidth="1"/>
    <col min="1281" max="1306" width="3.6328125" customWidth="1"/>
    <col min="1537" max="1562" width="3.6328125" customWidth="1"/>
    <col min="1793" max="1818" width="3.6328125" customWidth="1"/>
    <col min="2049" max="2074" width="3.6328125" customWidth="1"/>
    <col min="2305" max="2330" width="3.6328125" customWidth="1"/>
    <col min="2561" max="2586" width="3.6328125" customWidth="1"/>
    <col min="2817" max="2842" width="3.6328125" customWidth="1"/>
    <col min="3073" max="3098" width="3.6328125" customWidth="1"/>
    <col min="3329" max="3354" width="3.6328125" customWidth="1"/>
    <col min="3585" max="3610" width="3.6328125" customWidth="1"/>
    <col min="3841" max="3866" width="3.6328125" customWidth="1"/>
    <col min="4097" max="4122" width="3.6328125" customWidth="1"/>
    <col min="4353" max="4378" width="3.6328125" customWidth="1"/>
    <col min="4609" max="4634" width="3.6328125" customWidth="1"/>
    <col min="4865" max="4890" width="3.6328125" customWidth="1"/>
    <col min="5121" max="5146" width="3.6328125" customWidth="1"/>
    <col min="5377" max="5402" width="3.6328125" customWidth="1"/>
    <col min="5633" max="5658" width="3.6328125" customWidth="1"/>
    <col min="5889" max="5914" width="3.6328125" customWidth="1"/>
    <col min="6145" max="6170" width="3.6328125" customWidth="1"/>
    <col min="6401" max="6426" width="3.6328125" customWidth="1"/>
    <col min="6657" max="6682" width="3.6328125" customWidth="1"/>
    <col min="6913" max="6938" width="3.6328125" customWidth="1"/>
    <col min="7169" max="7194" width="3.6328125" customWidth="1"/>
    <col min="7425" max="7450" width="3.6328125" customWidth="1"/>
    <col min="7681" max="7706" width="3.6328125" customWidth="1"/>
    <col min="7937" max="7962" width="3.6328125" customWidth="1"/>
    <col min="8193" max="8218" width="3.6328125" customWidth="1"/>
    <col min="8449" max="8474" width="3.6328125" customWidth="1"/>
    <col min="8705" max="8730" width="3.6328125" customWidth="1"/>
    <col min="8961" max="8986" width="3.6328125" customWidth="1"/>
    <col min="9217" max="9242" width="3.6328125" customWidth="1"/>
    <col min="9473" max="9498" width="3.6328125" customWidth="1"/>
    <col min="9729" max="9754" width="3.6328125" customWidth="1"/>
    <col min="9985" max="10010" width="3.6328125" customWidth="1"/>
    <col min="10241" max="10266" width="3.6328125" customWidth="1"/>
    <col min="10497" max="10522" width="3.6328125" customWidth="1"/>
    <col min="10753" max="10778" width="3.6328125" customWidth="1"/>
    <col min="11009" max="11034" width="3.6328125" customWidth="1"/>
    <col min="11265" max="11290" width="3.6328125" customWidth="1"/>
    <col min="11521" max="11546" width="3.6328125" customWidth="1"/>
    <col min="11777" max="11802" width="3.6328125" customWidth="1"/>
    <col min="12033" max="12058" width="3.6328125" customWidth="1"/>
    <col min="12289" max="12314" width="3.6328125" customWidth="1"/>
    <col min="12545" max="12570" width="3.6328125" customWidth="1"/>
    <col min="12801" max="12826" width="3.6328125" customWidth="1"/>
    <col min="13057" max="13082" width="3.6328125" customWidth="1"/>
    <col min="13313" max="13338" width="3.6328125" customWidth="1"/>
    <col min="13569" max="13594" width="3.6328125" customWidth="1"/>
    <col min="13825" max="13850" width="3.6328125" customWidth="1"/>
    <col min="14081" max="14106" width="3.6328125" customWidth="1"/>
    <col min="14337" max="14362" width="3.6328125" customWidth="1"/>
    <col min="14593" max="14618" width="3.6328125" customWidth="1"/>
    <col min="14849" max="14874" width="3.6328125" customWidth="1"/>
    <col min="15105" max="15130" width="3.6328125" customWidth="1"/>
    <col min="15361" max="15386" width="3.6328125" customWidth="1"/>
    <col min="15617" max="15642" width="3.6328125" customWidth="1"/>
    <col min="15873" max="15898" width="3.6328125" customWidth="1"/>
    <col min="16129" max="16154" width="3.6328125" customWidth="1"/>
  </cols>
  <sheetData>
    <row r="1" spans="1:32" ht="8" customHeight="1" x14ac:dyDescent="0.2">
      <c r="A1" s="55">
        <v>45413</v>
      </c>
      <c r="B1" s="85">
        <v>45413</v>
      </c>
      <c r="AB1" s="55"/>
      <c r="AC1" s="57"/>
    </row>
    <row r="2" spans="1:32" ht="8" customHeight="1" x14ac:dyDescent="0.2">
      <c r="A2" s="3"/>
      <c r="B2" s="3"/>
      <c r="C2" s="3"/>
      <c r="D2" s="3"/>
      <c r="E2" s="3"/>
      <c r="F2" s="3"/>
      <c r="G2" s="3"/>
      <c r="H2" s="3"/>
      <c r="I2" s="3"/>
      <c r="J2" s="4"/>
      <c r="K2" s="4"/>
      <c r="L2" s="5"/>
      <c r="M2" s="6"/>
      <c r="N2" s="6"/>
      <c r="O2" s="6"/>
      <c r="P2" s="4"/>
      <c r="X2" t="s">
        <v>66</v>
      </c>
      <c r="Y2" s="361">
        <f>LOOKUP(10^10,Ver管理!C3:C33)</f>
        <v>6</v>
      </c>
      <c r="Z2" s="361"/>
    </row>
    <row r="3" spans="1:32" ht="10" customHeight="1" thickBot="1" x14ac:dyDescent="0.25">
      <c r="A3" s="362">
        <f ca="1">+VLOOKUP(AB5,テーブル!L:M,2,0)</f>
        <v>46296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2"/>
      <c r="R3" s="362"/>
      <c r="S3" s="362"/>
      <c r="T3" s="362"/>
      <c r="U3" s="362"/>
      <c r="V3" s="362"/>
      <c r="W3" s="362"/>
      <c r="X3" s="362"/>
      <c r="Y3" s="362"/>
      <c r="Z3" s="362"/>
    </row>
    <row r="4" spans="1:32" ht="10" customHeight="1" x14ac:dyDescent="0.2">
      <c r="A4" s="362"/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B4" s="68"/>
      <c r="AC4" s="69"/>
      <c r="AD4" s="70"/>
    </row>
    <row r="5" spans="1:32" ht="14.15" customHeight="1" x14ac:dyDescent="0.2">
      <c r="A5" s="363" t="s">
        <v>202</v>
      </c>
      <c r="B5" s="363"/>
      <c r="C5" s="363"/>
      <c r="D5" s="363"/>
      <c r="E5" s="364" t="str">
        <f>+'9月'!$E$5</f>
        <v>NMHT　社員</v>
      </c>
      <c r="F5" s="364"/>
      <c r="G5" s="364"/>
      <c r="H5" s="364"/>
      <c r="I5" s="364"/>
      <c r="J5" s="7"/>
      <c r="K5" s="7"/>
      <c r="L5" s="7"/>
      <c r="M5" s="7"/>
      <c r="N5" s="7"/>
      <c r="O5" s="7"/>
      <c r="P5" s="7" t="str">
        <f ca="1">IF(_xlfn.XLOOKUP(当月,テーブル!U:U,テーブル!V:V,0,FALSE)+_xlfn.XLOOKUP(当月,テーブル!U:U,テーブル!W:W,0,FALSE)&lt;&gt;_xlfn.XLOOKUP(AB6,テーブル!U:U,テーブル!V:V,0,FALSE)+_xlfn.XLOOKUP(AB6,テーブル!U:U,テーブル!W:W,0,FALSE),"基給+手当1に前月と差異があります。","")</f>
        <v/>
      </c>
      <c r="Q5" s="7"/>
      <c r="R5" s="8"/>
      <c r="S5" s="8"/>
      <c r="T5" s="8"/>
      <c r="U5" s="8"/>
      <c r="AB5" s="71" t="str" cm="1">
        <f t="array" aca="1" ref="AB5" ca="1">RIGHT(CELL("filename",A1),LEN(CELL("filename",A1))-FIND("]",CELL("filename",A1)))</f>
        <v>10月</v>
      </c>
      <c r="AC5" t="s">
        <v>158</v>
      </c>
      <c r="AD5" s="72"/>
    </row>
    <row r="6" spans="1:32" ht="14.15" customHeight="1" x14ac:dyDescent="0.25">
      <c r="A6" s="366">
        <f>+'9月'!$A$6</f>
        <v>2000002</v>
      </c>
      <c r="B6" s="366"/>
      <c r="C6" s="366"/>
      <c r="D6" s="366"/>
      <c r="E6" s="365"/>
      <c r="F6" s="365"/>
      <c r="G6" s="365"/>
      <c r="H6" s="365"/>
      <c r="I6" s="365"/>
      <c r="J6" s="9" t="s">
        <v>98</v>
      </c>
      <c r="K6" s="108" t="str">
        <f ca="1">HYPERLINK(LEFT(TEXT(CELL("filename",B2),0),SEARCH("\[",TEXT(CELL("filename",B2),0),1)-1)&amp;"\")</f>
        <v>Z:\マクロ保管場所谷津用\2月控除分\</v>
      </c>
      <c r="L6" s="5"/>
      <c r="M6" s="6"/>
      <c r="N6" s="6"/>
      <c r="O6" s="6"/>
      <c r="P6" s="4"/>
      <c r="AB6" s="71" t="str">
        <f ca="1">+IF(SUBSTITUTE(当月,"月","")-1=0,12,SUBSTITUTE(当月,"月","")-1) &amp; "月"</f>
        <v>9月</v>
      </c>
      <c r="AC6" s="74" t="s">
        <v>170</v>
      </c>
      <c r="AD6" s="72"/>
    </row>
    <row r="7" spans="1:32" ht="14.15" customHeight="1" x14ac:dyDescent="0.2">
      <c r="I7" s="3"/>
      <c r="K7" s="11"/>
      <c r="N7" s="368"/>
      <c r="O7" s="368"/>
      <c r="P7" s="367" t="s">
        <v>272</v>
      </c>
      <c r="Q7" s="358"/>
      <c r="R7" s="358"/>
      <c r="S7" s="358"/>
      <c r="T7" s="358"/>
      <c r="U7" s="358"/>
      <c r="V7" s="358"/>
      <c r="W7" s="358"/>
      <c r="X7" s="358"/>
      <c r="Y7" s="358"/>
      <c r="Z7" s="358"/>
      <c r="AB7" s="73"/>
      <c r="AC7" s="56">
        <v>0.91666666666666663</v>
      </c>
      <c r="AD7" s="72"/>
    </row>
    <row r="8" spans="1:32" ht="14.15" hidden="1" customHeight="1" thickBot="1" x14ac:dyDescent="0.25">
      <c r="A8" s="163" t="s">
        <v>99</v>
      </c>
      <c r="B8" s="120"/>
      <c r="C8" s="350" t="str">
        <f>+'9月'!C8</f>
        <v>株式会社エヌエム・ヒューマテック</v>
      </c>
      <c r="D8" s="351"/>
      <c r="E8" s="351"/>
      <c r="F8" s="351"/>
      <c r="G8" s="351"/>
      <c r="H8" s="351"/>
      <c r="I8" s="352"/>
      <c r="J8" s="353"/>
      <c r="K8" s="11"/>
      <c r="L8" s="1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B8" s="75">
        <f ca="1">+IF(給与体系="管理監督者",0,IF(給与体系="月給制",1,2))</f>
        <v>2</v>
      </c>
      <c r="AC8" s="76">
        <v>0.20833333333333334</v>
      </c>
      <c r="AD8" s="77"/>
    </row>
    <row r="9" spans="1:32" ht="14.15" hidden="1" customHeight="1" x14ac:dyDescent="0.2">
      <c r="A9" s="166"/>
      <c r="B9" s="123"/>
      <c r="C9" s="354"/>
      <c r="D9" s="355"/>
      <c r="E9" s="355"/>
      <c r="F9" s="355"/>
      <c r="G9" s="355"/>
      <c r="H9" s="355"/>
      <c r="I9" s="356"/>
      <c r="J9" s="357"/>
      <c r="K9" s="13"/>
      <c r="P9" s="53"/>
      <c r="Q9" s="54" t="s">
        <v>269</v>
      </c>
      <c r="R9" s="52"/>
      <c r="S9" s="52"/>
      <c r="T9" s="358" t="s">
        <v>270</v>
      </c>
      <c r="U9" s="358"/>
      <c r="V9" s="358"/>
      <c r="W9" s="358"/>
      <c r="X9" s="358"/>
      <c r="Y9" s="358"/>
      <c r="Z9" s="358"/>
    </row>
    <row r="10" spans="1:32" ht="14.15" hidden="1" customHeight="1" x14ac:dyDescent="0.2">
      <c r="A10" s="163" t="s">
        <v>100</v>
      </c>
      <c r="B10" s="120"/>
      <c r="C10" s="359" t="str">
        <f>+'9月'!C10</f>
        <v>管理部</v>
      </c>
      <c r="D10" s="332"/>
      <c r="E10" s="332"/>
      <c r="F10" s="332"/>
      <c r="G10" s="332"/>
      <c r="H10" s="332"/>
      <c r="I10" s="333"/>
      <c r="J10" s="334"/>
      <c r="K10" s="13"/>
      <c r="P10" s="53"/>
      <c r="Q10" s="52"/>
      <c r="R10" s="52"/>
      <c r="S10" s="52"/>
      <c r="T10" s="360" t="s">
        <v>271</v>
      </c>
      <c r="U10" s="360"/>
      <c r="V10" s="360"/>
      <c r="W10" s="360"/>
      <c r="X10" s="360"/>
      <c r="Y10" s="360"/>
      <c r="Z10" s="360"/>
    </row>
    <row r="11" spans="1:32" ht="14.15" hidden="1" customHeight="1" x14ac:dyDescent="0.2">
      <c r="A11" s="166"/>
      <c r="B11" s="123"/>
      <c r="C11" s="335"/>
      <c r="D11" s="336"/>
      <c r="E11" s="336"/>
      <c r="F11" s="336"/>
      <c r="G11" s="336"/>
      <c r="H11" s="336"/>
      <c r="I11" s="337"/>
      <c r="J11" s="338"/>
      <c r="K11" s="4"/>
      <c r="L11" s="4"/>
      <c r="P11" s="52"/>
      <c r="Q11" s="54" t="s">
        <v>96</v>
      </c>
      <c r="R11" s="54"/>
      <c r="S11" s="53"/>
      <c r="T11" s="54"/>
      <c r="U11" s="53"/>
      <c r="V11" s="54" t="s">
        <v>97</v>
      </c>
      <c r="W11" s="54"/>
      <c r="X11" s="52"/>
      <c r="Y11" s="52"/>
      <c r="Z11" s="52"/>
      <c r="AE11" t="s">
        <v>178</v>
      </c>
    </row>
    <row r="12" spans="1:32" ht="14.15" hidden="1" customHeight="1" x14ac:dyDescent="0.2">
      <c r="A12" s="163" t="s">
        <v>101</v>
      </c>
      <c r="B12" s="120"/>
      <c r="C12" s="331"/>
      <c r="D12" s="332"/>
      <c r="E12" s="332"/>
      <c r="F12" s="332"/>
      <c r="G12" s="332"/>
      <c r="H12" s="332"/>
      <c r="I12" s="333"/>
      <c r="J12" s="334"/>
      <c r="K12" s="13"/>
      <c r="M12" s="15"/>
      <c r="N12" s="15"/>
      <c r="O12" s="14"/>
      <c r="P12" s="14"/>
      <c r="Q12" s="14"/>
      <c r="R12" s="14"/>
      <c r="S12" s="14"/>
      <c r="T12" s="14"/>
      <c r="U12" s="14"/>
      <c r="V12" s="8"/>
      <c r="W12" s="8"/>
      <c r="AF12">
        <f ca="1">+IFERROR(((MAX(0,超過勤務時間計+深夜残業時間計-60)*1.5+MIN(60,超過勤務時間計+深夜残業時間計)*1.25))/(超過勤務時間計),0)</f>
        <v>0</v>
      </c>
    </row>
    <row r="13" spans="1:32" ht="14.15" hidden="1" customHeight="1" x14ac:dyDescent="0.2">
      <c r="A13" s="166"/>
      <c r="B13" s="123"/>
      <c r="C13" s="335"/>
      <c r="D13" s="336"/>
      <c r="E13" s="336"/>
      <c r="F13" s="336"/>
      <c r="G13" s="336"/>
      <c r="H13" s="336"/>
      <c r="I13" s="337"/>
      <c r="J13" s="338"/>
      <c r="K13" s="13"/>
      <c r="M13" s="16"/>
      <c r="N13" s="15"/>
      <c r="O13" s="14"/>
      <c r="P13" s="14"/>
      <c r="Q13" s="14"/>
      <c r="R13" s="14"/>
      <c r="S13" s="14">
        <f>+'9月'!S13</f>
        <v>0</v>
      </c>
    </row>
    <row r="14" spans="1:32" ht="14.15" hidden="1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4"/>
      <c r="K14" s="4"/>
      <c r="L14" s="4"/>
      <c r="M14" s="4"/>
      <c r="N14" s="17"/>
      <c r="O14" s="4"/>
      <c r="P14" s="4"/>
      <c r="U14" s="18"/>
    </row>
    <row r="15" spans="1:32" ht="14.15" customHeight="1" x14ac:dyDescent="0.2">
      <c r="A15" s="339" t="s">
        <v>5</v>
      </c>
      <c r="B15" s="340"/>
      <c r="C15" s="339" t="s">
        <v>6</v>
      </c>
      <c r="D15" s="312" t="s">
        <v>36</v>
      </c>
      <c r="E15" s="343"/>
      <c r="F15" s="343"/>
      <c r="G15" s="313"/>
      <c r="H15" s="344" t="s">
        <v>37</v>
      </c>
      <c r="I15" s="345"/>
      <c r="J15" s="345" t="s">
        <v>7</v>
      </c>
      <c r="K15" s="348"/>
      <c r="L15" s="314" t="s">
        <v>8</v>
      </c>
      <c r="M15" s="325"/>
      <c r="N15" s="328" t="s">
        <v>9</v>
      </c>
      <c r="O15" s="315"/>
      <c r="P15" s="314" t="s">
        <v>10</v>
      </c>
      <c r="Q15" s="315"/>
      <c r="R15" s="314" t="s">
        <v>11</v>
      </c>
      <c r="S15" s="315"/>
      <c r="T15" s="314" t="s">
        <v>12</v>
      </c>
      <c r="U15" s="315"/>
      <c r="V15" s="314" t="s">
        <v>43</v>
      </c>
      <c r="W15" s="315"/>
      <c r="X15" s="304" t="s">
        <v>122</v>
      </c>
      <c r="Y15" s="305"/>
      <c r="Z15" s="306"/>
      <c r="AA15" s="310" t="s">
        <v>107</v>
      </c>
      <c r="AB15" t="s">
        <v>32</v>
      </c>
    </row>
    <row r="16" spans="1:32" ht="14.15" customHeight="1" x14ac:dyDescent="0.2">
      <c r="A16" s="341"/>
      <c r="B16" s="342"/>
      <c r="C16" s="341"/>
      <c r="D16" s="312" t="s">
        <v>14</v>
      </c>
      <c r="E16" s="313"/>
      <c r="F16" s="312" t="s">
        <v>15</v>
      </c>
      <c r="G16" s="313"/>
      <c r="H16" s="346"/>
      <c r="I16" s="347"/>
      <c r="J16" s="347"/>
      <c r="K16" s="349"/>
      <c r="L16" s="326"/>
      <c r="M16" s="327"/>
      <c r="N16" s="329"/>
      <c r="O16" s="317"/>
      <c r="P16" s="316"/>
      <c r="Q16" s="317"/>
      <c r="R16" s="316"/>
      <c r="S16" s="317"/>
      <c r="T16" s="316"/>
      <c r="U16" s="317"/>
      <c r="V16" s="316"/>
      <c r="W16" s="317"/>
      <c r="X16" s="307"/>
      <c r="Y16" s="308"/>
      <c r="Z16" s="309"/>
      <c r="AA16" s="311"/>
      <c r="AB16" t="s">
        <v>210</v>
      </c>
      <c r="AC16" s="59"/>
    </row>
    <row r="17" spans="1:30" s="59" customFormat="1" ht="14.15" customHeight="1" x14ac:dyDescent="0.2">
      <c r="A17" s="318">
        <f ca="1">A3</f>
        <v>46296</v>
      </c>
      <c r="B17" s="319"/>
      <c r="C17" s="78">
        <f ca="1">IF(A17="","",IF(WEEKDAY(A17,1)=1,1,IF(COUNTIF(祝日管理!B:B,A17)=1,"祝",WEEKDAY(A17,1))))</f>
        <v>5</v>
      </c>
      <c r="D17" s="320"/>
      <c r="E17" s="320"/>
      <c r="F17" s="320"/>
      <c r="G17" s="320"/>
      <c r="H17" s="320"/>
      <c r="I17" s="321"/>
      <c r="J17" s="322">
        <f>IF(OR(D17="",F17="",H17=""),0,IF(F17&gt;D17,F17,F17+24)-D17-H17)</f>
        <v>0</v>
      </c>
      <c r="K17" s="323"/>
      <c r="L17" s="299">
        <f>IF(J17="",0,(HOUR(J17))+(ROUNDDOWN(MINUTE(J17)/60,2)*1))</f>
        <v>0</v>
      </c>
      <c r="M17" s="324"/>
      <c r="N17" s="330">
        <f ca="1">+IF(ISERROR(IF(A17="",0,IF(OR(X17="法休",X17="所休")=1,0,IF(L17=0,0,MIN(8,L17-R17))))),"",IF(A17="","",IF(OR(X17="法休",X17="所休"),0,IF(L17=0,0,MIN(8,L17-R17)))))</f>
        <v>0</v>
      </c>
      <c r="O17" s="300"/>
      <c r="P17" s="299">
        <f ca="1">+IF(ISERROR(IF(A17="","",IF(X17="法休",0,MAX(0,L17-N17-R17)))),0,IF(A17="","",IF(X17="法休",0,MAX(0,L17-N17-R17))))</f>
        <v>0</v>
      </c>
      <c r="Q17" s="300"/>
      <c r="R17" s="299">
        <f ca="1">+IF(A17="",0,IF(X17="法休",0,NOT(OR(D17="",F17=""))*MIN(7,(MAX(0,MIN(F17,$AC$8)-D17)+MAX(0,F17-$AC$7+(D17&gt;F17)))*24)))</f>
        <v>0</v>
      </c>
      <c r="S17" s="300"/>
      <c r="T17" s="299">
        <f t="shared" ref="T17" ca="1" si="0">+IF(A17="",0,IF(X17="法休",L17-V17,0))</f>
        <v>0</v>
      </c>
      <c r="U17" s="300"/>
      <c r="V17" s="299">
        <f t="shared" ref="V17" ca="1" si="1">+IF(A17="",0,IF(X17&lt;&gt;"法休",0,NOT(OR(D17="",F17=""))*MIN(7,(MAX(0,MIN(F17,$AC$8)-D17)+MAX(0,F17-$AC$7+(D17&gt;F17)))*24)))</f>
        <v>0</v>
      </c>
      <c r="W17" s="300"/>
      <c r="X17" s="301"/>
      <c r="Y17" s="302"/>
      <c r="Z17" s="303"/>
      <c r="AA17" s="79"/>
      <c r="AB17" s="93">
        <f t="shared" ref="AB17:AB46" ca="1" si="2">IF(ISERROR((X17="")*(7.5-N17)),0,(X17="")*(7.5-N17))</f>
        <v>7.5</v>
      </c>
      <c r="AD17" s="67"/>
    </row>
    <row r="18" spans="1:30" ht="14.15" customHeight="1" x14ac:dyDescent="0.2">
      <c r="A18" s="290">
        <f t="shared" ref="A18:A44" ca="1" si="3">A17+1</f>
        <v>46297</v>
      </c>
      <c r="B18" s="291"/>
      <c r="C18" s="80">
        <f ca="1">IF(A18="","",IF(WEEKDAY(A18,1)=1,1,IF(COUNTIF(祝日管理!B:B,A18)=1,"祝",WEEKDAY(A18,1))))</f>
        <v>6</v>
      </c>
      <c r="D18" s="292"/>
      <c r="E18" s="292"/>
      <c r="F18" s="292"/>
      <c r="G18" s="292"/>
      <c r="H18" s="292"/>
      <c r="I18" s="293"/>
      <c r="J18" s="298">
        <f t="shared" ref="J18:J47" si="4">IF(OR(D18="",F18="",H18=""),0,IF(F18&gt;D18,F18,F18+24)-D18-H18)</f>
        <v>0</v>
      </c>
      <c r="K18" s="294"/>
      <c r="L18" s="285">
        <f t="shared" ref="L18:L47" si="5">IF(J18="",0,(HOUR(J18))+(ROUNDDOWN(MINUTE(J18)/60,2)*1))</f>
        <v>0</v>
      </c>
      <c r="M18" s="296"/>
      <c r="N18" s="297">
        <f t="shared" ref="N18:N47" ca="1" si="6">+IF(ISERROR(IF(A18="",0,IF(OR(X18="法休",X18="所休")=1,0,IF(L18=0,0,MIN(8,L18-R18))))),"",IF(A18="","",IF(OR(X18="法休",X18="所休"),0,IF(L18=0,0,MIN(8,L18-R18)))))</f>
        <v>0</v>
      </c>
      <c r="O18" s="286"/>
      <c r="P18" s="285">
        <f t="shared" ref="P18:P47" ca="1" si="7">+IF(ISERROR(IF(A18="","",IF(X18="法休",0,MAX(0,L18-N18-R18)))),0,IF(A18="","",IF(X18="法休",0,MAX(0,L18-N18-R18))))</f>
        <v>0</v>
      </c>
      <c r="Q18" s="286"/>
      <c r="R18" s="285">
        <f t="shared" ref="R18:R47" ca="1" si="8">+IF(A18="",0,IF(X18="法休",0,NOT(OR(D18="",F18=""))*MIN(7,(MAX(0,MIN(F18,$AC$8)-D18)+MAX(0,F18-$AC$7+(D18&gt;F18)))*24)))</f>
        <v>0</v>
      </c>
      <c r="S18" s="286"/>
      <c r="T18" s="285">
        <f t="shared" ref="T18:T47" ca="1" si="9">+IF(A18="",0,IF(X18="法休",L18-V18,0))</f>
        <v>0</v>
      </c>
      <c r="U18" s="286"/>
      <c r="V18" s="285">
        <f t="shared" ref="V18:V47" ca="1" si="10">+IF(A18="",0,IF(X18&lt;&gt;"法休",0,NOT(OR(D18="",F18=""))*MIN(7,(MAX(0,MIN(F18,$AC$8)-D18)+MAX(0,F18-$AC$7+(D18&gt;F18)))*24)))</f>
        <v>0</v>
      </c>
      <c r="W18" s="286"/>
      <c r="X18" s="287"/>
      <c r="Y18" s="288"/>
      <c r="Z18" s="289"/>
      <c r="AA18" s="81"/>
      <c r="AB18" s="93">
        <f t="shared" ca="1" si="2"/>
        <v>7.5</v>
      </c>
      <c r="AC18" s="59"/>
      <c r="AD18" t="s">
        <v>175</v>
      </c>
    </row>
    <row r="19" spans="1:30" ht="14.15" customHeight="1" x14ac:dyDescent="0.2">
      <c r="A19" s="290">
        <f t="shared" ca="1" si="3"/>
        <v>46298</v>
      </c>
      <c r="B19" s="291"/>
      <c r="C19" s="80">
        <f ca="1">IF(A19="","",IF(WEEKDAY(A19,1)=1,1,IF(COUNTIF(祝日管理!B:B,A19)=1,"祝",WEEKDAY(A19,1))))</f>
        <v>7</v>
      </c>
      <c r="D19" s="292"/>
      <c r="E19" s="292"/>
      <c r="F19" s="292"/>
      <c r="G19" s="292"/>
      <c r="H19" s="292"/>
      <c r="I19" s="293"/>
      <c r="J19" s="298">
        <f t="shared" si="4"/>
        <v>0</v>
      </c>
      <c r="K19" s="294"/>
      <c r="L19" s="285">
        <f t="shared" si="5"/>
        <v>0</v>
      </c>
      <c r="M19" s="296"/>
      <c r="N19" s="297">
        <f t="shared" ca="1" si="6"/>
        <v>0</v>
      </c>
      <c r="O19" s="286"/>
      <c r="P19" s="285">
        <f t="shared" ca="1" si="7"/>
        <v>0</v>
      </c>
      <c r="Q19" s="286"/>
      <c r="R19" s="285">
        <f t="shared" ca="1" si="8"/>
        <v>0</v>
      </c>
      <c r="S19" s="286"/>
      <c r="T19" s="285">
        <f t="shared" ca="1" si="9"/>
        <v>0</v>
      </c>
      <c r="U19" s="286"/>
      <c r="V19" s="285">
        <f t="shared" ca="1" si="10"/>
        <v>0</v>
      </c>
      <c r="W19" s="286"/>
      <c r="X19" s="287"/>
      <c r="Y19" s="288"/>
      <c r="Z19" s="289"/>
      <c r="AA19" s="81"/>
      <c r="AB19" s="93">
        <f t="shared" ca="1" si="2"/>
        <v>7.5</v>
      </c>
      <c r="AC19" s="59"/>
    </row>
    <row r="20" spans="1:30" ht="14.15" customHeight="1" x14ac:dyDescent="0.2">
      <c r="A20" s="290">
        <f t="shared" ca="1" si="3"/>
        <v>46299</v>
      </c>
      <c r="B20" s="291"/>
      <c r="C20" s="80">
        <f ca="1">IF(A20="","",IF(WEEKDAY(A20,1)=1,1,IF(COUNTIF(祝日管理!B:B,A20)=1,"祝",WEEKDAY(A20,1))))</f>
        <v>1</v>
      </c>
      <c r="D20" s="292"/>
      <c r="E20" s="292"/>
      <c r="F20" s="292"/>
      <c r="G20" s="292"/>
      <c r="H20" s="292"/>
      <c r="I20" s="293"/>
      <c r="J20" s="298">
        <f t="shared" si="4"/>
        <v>0</v>
      </c>
      <c r="K20" s="294"/>
      <c r="L20" s="285">
        <f t="shared" si="5"/>
        <v>0</v>
      </c>
      <c r="M20" s="296"/>
      <c r="N20" s="297">
        <f t="shared" ca="1" si="6"/>
        <v>0</v>
      </c>
      <c r="O20" s="286"/>
      <c r="P20" s="285">
        <f t="shared" ca="1" si="7"/>
        <v>0</v>
      </c>
      <c r="Q20" s="286"/>
      <c r="R20" s="285">
        <f t="shared" ca="1" si="8"/>
        <v>0</v>
      </c>
      <c r="S20" s="286"/>
      <c r="T20" s="285">
        <f t="shared" ca="1" si="9"/>
        <v>0</v>
      </c>
      <c r="U20" s="286"/>
      <c r="V20" s="285">
        <f t="shared" ca="1" si="10"/>
        <v>0</v>
      </c>
      <c r="W20" s="286"/>
      <c r="X20" s="287" t="s">
        <v>187</v>
      </c>
      <c r="Y20" s="288"/>
      <c r="Z20" s="289"/>
      <c r="AA20" s="81"/>
      <c r="AB20" s="93">
        <f t="shared" ca="1" si="2"/>
        <v>0</v>
      </c>
      <c r="AC20" s="59"/>
    </row>
    <row r="21" spans="1:30" ht="14.15" customHeight="1" x14ac:dyDescent="0.2">
      <c r="A21" s="290">
        <f t="shared" ca="1" si="3"/>
        <v>46300</v>
      </c>
      <c r="B21" s="291"/>
      <c r="C21" s="80">
        <f ca="1">IF(A21="","",IF(WEEKDAY(A21,1)=1,1,IF(COUNTIF(祝日管理!B:B,A21)=1,"祝",WEEKDAY(A21,1))))</f>
        <v>2</v>
      </c>
      <c r="D21" s="292"/>
      <c r="E21" s="292"/>
      <c r="F21" s="292"/>
      <c r="G21" s="292"/>
      <c r="H21" s="292"/>
      <c r="I21" s="293"/>
      <c r="J21" s="298">
        <f t="shared" si="4"/>
        <v>0</v>
      </c>
      <c r="K21" s="294"/>
      <c r="L21" s="285">
        <f t="shared" si="5"/>
        <v>0</v>
      </c>
      <c r="M21" s="296"/>
      <c r="N21" s="297">
        <f t="shared" ca="1" si="6"/>
        <v>0</v>
      </c>
      <c r="O21" s="286"/>
      <c r="P21" s="285">
        <f t="shared" ca="1" si="7"/>
        <v>0</v>
      </c>
      <c r="Q21" s="286"/>
      <c r="R21" s="285">
        <f t="shared" ca="1" si="8"/>
        <v>0</v>
      </c>
      <c r="S21" s="286"/>
      <c r="T21" s="285">
        <f t="shared" ca="1" si="9"/>
        <v>0</v>
      </c>
      <c r="U21" s="286"/>
      <c r="V21" s="285">
        <f t="shared" ca="1" si="10"/>
        <v>0</v>
      </c>
      <c r="W21" s="286"/>
      <c r="X21" s="287" t="s">
        <v>185</v>
      </c>
      <c r="Y21" s="288"/>
      <c r="Z21" s="289"/>
      <c r="AA21" s="81"/>
      <c r="AB21" s="93">
        <f t="shared" ca="1" si="2"/>
        <v>0</v>
      </c>
      <c r="AC21" s="59"/>
      <c r="AD21" t="s">
        <v>176</v>
      </c>
    </row>
    <row r="22" spans="1:30" s="59" customFormat="1" ht="14.15" customHeight="1" x14ac:dyDescent="0.2">
      <c r="A22" s="290">
        <f t="shared" ca="1" si="3"/>
        <v>46301</v>
      </c>
      <c r="B22" s="291"/>
      <c r="C22" s="80">
        <f ca="1">IF(A22="","",IF(WEEKDAY(A22,1)=1,1,IF(COUNTIF(祝日管理!B:B,A22)=1,"祝",WEEKDAY(A22,1))))</f>
        <v>3</v>
      </c>
      <c r="D22" s="292"/>
      <c r="E22" s="292"/>
      <c r="F22" s="292"/>
      <c r="G22" s="292"/>
      <c r="H22" s="292"/>
      <c r="I22" s="293"/>
      <c r="J22" s="298">
        <f t="shared" si="4"/>
        <v>0</v>
      </c>
      <c r="K22" s="294"/>
      <c r="L22" s="285">
        <f t="shared" si="5"/>
        <v>0</v>
      </c>
      <c r="M22" s="296"/>
      <c r="N22" s="297">
        <f t="shared" ca="1" si="6"/>
        <v>0</v>
      </c>
      <c r="O22" s="286"/>
      <c r="P22" s="285">
        <f t="shared" ca="1" si="7"/>
        <v>0</v>
      </c>
      <c r="Q22" s="286"/>
      <c r="R22" s="285">
        <f t="shared" ca="1" si="8"/>
        <v>0</v>
      </c>
      <c r="S22" s="286"/>
      <c r="T22" s="285">
        <f t="shared" ca="1" si="9"/>
        <v>0</v>
      </c>
      <c r="U22" s="286"/>
      <c r="V22" s="285">
        <f t="shared" ca="1" si="10"/>
        <v>0</v>
      </c>
      <c r="W22" s="286"/>
      <c r="X22" s="287"/>
      <c r="Y22" s="288"/>
      <c r="Z22" s="289"/>
      <c r="AA22" s="81"/>
      <c r="AB22" s="93">
        <f t="shared" ca="1" si="2"/>
        <v>7.5</v>
      </c>
    </row>
    <row r="23" spans="1:30" ht="14.15" customHeight="1" x14ac:dyDescent="0.2">
      <c r="A23" s="290">
        <f t="shared" ca="1" si="3"/>
        <v>46302</v>
      </c>
      <c r="B23" s="291"/>
      <c r="C23" s="80">
        <f ca="1">IF(A23="","",IF(WEEKDAY(A23,1)=1,1,IF(COUNTIF(祝日管理!B:B,A23)=1,"祝",WEEKDAY(A23,1))))</f>
        <v>4</v>
      </c>
      <c r="D23" s="292"/>
      <c r="E23" s="292"/>
      <c r="F23" s="292"/>
      <c r="G23" s="292"/>
      <c r="H23" s="292"/>
      <c r="I23" s="293"/>
      <c r="J23" s="298">
        <f t="shared" si="4"/>
        <v>0</v>
      </c>
      <c r="K23" s="294"/>
      <c r="L23" s="285">
        <f t="shared" si="5"/>
        <v>0</v>
      </c>
      <c r="M23" s="296"/>
      <c r="N23" s="297">
        <f t="shared" ca="1" si="6"/>
        <v>0</v>
      </c>
      <c r="O23" s="286"/>
      <c r="P23" s="285">
        <f t="shared" ca="1" si="7"/>
        <v>0</v>
      </c>
      <c r="Q23" s="286"/>
      <c r="R23" s="285">
        <f t="shared" ca="1" si="8"/>
        <v>0</v>
      </c>
      <c r="S23" s="286"/>
      <c r="T23" s="285">
        <f t="shared" ca="1" si="9"/>
        <v>0</v>
      </c>
      <c r="U23" s="286"/>
      <c r="V23" s="285">
        <f t="shared" ca="1" si="10"/>
        <v>0</v>
      </c>
      <c r="W23" s="286"/>
      <c r="X23" s="287"/>
      <c r="Y23" s="288"/>
      <c r="Z23" s="289"/>
      <c r="AA23" s="81"/>
      <c r="AB23" s="93">
        <f t="shared" ca="1" si="2"/>
        <v>7.5</v>
      </c>
    </row>
    <row r="24" spans="1:30" ht="14.15" customHeight="1" x14ac:dyDescent="0.2">
      <c r="A24" s="290">
        <f t="shared" ca="1" si="3"/>
        <v>46303</v>
      </c>
      <c r="B24" s="291"/>
      <c r="C24" s="80">
        <f ca="1">IF(A24="","",IF(WEEKDAY(A24,1)=1,1,IF(COUNTIF(祝日管理!B:B,A24)=1,"祝",WEEKDAY(A24,1))))</f>
        <v>5</v>
      </c>
      <c r="D24" s="292"/>
      <c r="E24" s="292"/>
      <c r="F24" s="292"/>
      <c r="G24" s="292"/>
      <c r="H24" s="292"/>
      <c r="I24" s="293"/>
      <c r="J24" s="298">
        <f t="shared" si="4"/>
        <v>0</v>
      </c>
      <c r="K24" s="294"/>
      <c r="L24" s="285">
        <f t="shared" si="5"/>
        <v>0</v>
      </c>
      <c r="M24" s="296"/>
      <c r="N24" s="297">
        <f t="shared" ca="1" si="6"/>
        <v>0</v>
      </c>
      <c r="O24" s="286"/>
      <c r="P24" s="285">
        <f t="shared" ca="1" si="7"/>
        <v>0</v>
      </c>
      <c r="Q24" s="286"/>
      <c r="R24" s="285">
        <f t="shared" ca="1" si="8"/>
        <v>0</v>
      </c>
      <c r="S24" s="286"/>
      <c r="T24" s="285">
        <f t="shared" ca="1" si="9"/>
        <v>0</v>
      </c>
      <c r="U24" s="286"/>
      <c r="V24" s="285">
        <f t="shared" ca="1" si="10"/>
        <v>0</v>
      </c>
      <c r="W24" s="286"/>
      <c r="X24" s="287"/>
      <c r="Y24" s="288"/>
      <c r="Z24" s="289"/>
      <c r="AA24" s="81"/>
      <c r="AB24" s="93">
        <f t="shared" ca="1" si="2"/>
        <v>7.5</v>
      </c>
      <c r="AD24" t="s">
        <v>177</v>
      </c>
    </row>
    <row r="25" spans="1:30" ht="14.15" customHeight="1" x14ac:dyDescent="0.2">
      <c r="A25" s="290">
        <f t="shared" ca="1" si="3"/>
        <v>46304</v>
      </c>
      <c r="B25" s="291"/>
      <c r="C25" s="80">
        <f ca="1">IF(A25="","",IF(WEEKDAY(A25,1)=1,1,IF(COUNTIF(祝日管理!B:B,A25)=1,"祝",WEEKDAY(A25,1))))</f>
        <v>6</v>
      </c>
      <c r="D25" s="292"/>
      <c r="E25" s="292"/>
      <c r="F25" s="292"/>
      <c r="G25" s="292"/>
      <c r="H25" s="292"/>
      <c r="I25" s="293"/>
      <c r="J25" s="298">
        <f t="shared" si="4"/>
        <v>0</v>
      </c>
      <c r="K25" s="294"/>
      <c r="L25" s="285">
        <f t="shared" si="5"/>
        <v>0</v>
      </c>
      <c r="M25" s="296"/>
      <c r="N25" s="297">
        <f t="shared" ca="1" si="6"/>
        <v>0</v>
      </c>
      <c r="O25" s="286"/>
      <c r="P25" s="285">
        <f t="shared" ca="1" si="7"/>
        <v>0</v>
      </c>
      <c r="Q25" s="286"/>
      <c r="R25" s="285">
        <f t="shared" ca="1" si="8"/>
        <v>0</v>
      </c>
      <c r="S25" s="286"/>
      <c r="T25" s="285">
        <f t="shared" ca="1" si="9"/>
        <v>0</v>
      </c>
      <c r="U25" s="286"/>
      <c r="V25" s="285">
        <f t="shared" ca="1" si="10"/>
        <v>0</v>
      </c>
      <c r="W25" s="286"/>
      <c r="X25" s="287"/>
      <c r="Y25" s="288"/>
      <c r="Z25" s="289"/>
      <c r="AA25" s="81"/>
      <c r="AB25" s="93">
        <f t="shared" ca="1" si="2"/>
        <v>7.5</v>
      </c>
    </row>
    <row r="26" spans="1:30" ht="14.15" customHeight="1" x14ac:dyDescent="0.2">
      <c r="A26" s="290">
        <f t="shared" ca="1" si="3"/>
        <v>46305</v>
      </c>
      <c r="B26" s="291"/>
      <c r="C26" s="80">
        <f ca="1">IF(A26="","",IF(WEEKDAY(A26,1)=1,1,IF(COUNTIF(祝日管理!B:B,A26)=1,"祝",WEEKDAY(A26,1))))</f>
        <v>7</v>
      </c>
      <c r="D26" s="292"/>
      <c r="E26" s="292"/>
      <c r="F26" s="292"/>
      <c r="G26" s="292"/>
      <c r="H26" s="292"/>
      <c r="I26" s="293"/>
      <c r="J26" s="298">
        <f t="shared" si="4"/>
        <v>0</v>
      </c>
      <c r="K26" s="294"/>
      <c r="L26" s="285">
        <f t="shared" si="5"/>
        <v>0</v>
      </c>
      <c r="M26" s="296"/>
      <c r="N26" s="297">
        <f t="shared" ca="1" si="6"/>
        <v>0</v>
      </c>
      <c r="O26" s="286"/>
      <c r="P26" s="285">
        <f t="shared" ca="1" si="7"/>
        <v>0</v>
      </c>
      <c r="Q26" s="286"/>
      <c r="R26" s="285">
        <f t="shared" ca="1" si="8"/>
        <v>0</v>
      </c>
      <c r="S26" s="286"/>
      <c r="T26" s="285">
        <f t="shared" ca="1" si="9"/>
        <v>0</v>
      </c>
      <c r="U26" s="286"/>
      <c r="V26" s="285">
        <f t="shared" ca="1" si="10"/>
        <v>0</v>
      </c>
      <c r="W26" s="286"/>
      <c r="X26" s="287"/>
      <c r="Y26" s="288"/>
      <c r="Z26" s="289"/>
      <c r="AA26" s="81"/>
      <c r="AB26" s="93">
        <f t="shared" ca="1" si="2"/>
        <v>7.5</v>
      </c>
      <c r="AD26" t="s">
        <v>213</v>
      </c>
    </row>
    <row r="27" spans="1:30" ht="14.15" customHeight="1" x14ac:dyDescent="0.2">
      <c r="A27" s="290">
        <f t="shared" ca="1" si="3"/>
        <v>46306</v>
      </c>
      <c r="B27" s="291"/>
      <c r="C27" s="80">
        <f ca="1">IF(A27="","",IF(WEEKDAY(A27,1)=1,1,IF(COUNTIF(祝日管理!B:B,A27)=1,"祝",WEEKDAY(A27,1))))</f>
        <v>1</v>
      </c>
      <c r="D27" s="292"/>
      <c r="E27" s="292"/>
      <c r="F27" s="292"/>
      <c r="G27" s="292"/>
      <c r="H27" s="292"/>
      <c r="I27" s="293"/>
      <c r="J27" s="298">
        <f t="shared" si="4"/>
        <v>0</v>
      </c>
      <c r="K27" s="294"/>
      <c r="L27" s="285">
        <f t="shared" si="5"/>
        <v>0</v>
      </c>
      <c r="M27" s="296"/>
      <c r="N27" s="297">
        <f t="shared" ca="1" si="6"/>
        <v>0</v>
      </c>
      <c r="O27" s="286"/>
      <c r="P27" s="285">
        <f t="shared" ca="1" si="7"/>
        <v>0</v>
      </c>
      <c r="Q27" s="286"/>
      <c r="R27" s="285">
        <f t="shared" ca="1" si="8"/>
        <v>0</v>
      </c>
      <c r="S27" s="286"/>
      <c r="T27" s="285">
        <f t="shared" ca="1" si="9"/>
        <v>0</v>
      </c>
      <c r="U27" s="286"/>
      <c r="V27" s="285">
        <f t="shared" ca="1" si="10"/>
        <v>0</v>
      </c>
      <c r="W27" s="286"/>
      <c r="X27" s="287" t="s">
        <v>187</v>
      </c>
      <c r="Y27" s="288"/>
      <c r="Z27" s="289"/>
      <c r="AA27" s="81"/>
      <c r="AB27" s="93">
        <f t="shared" ca="1" si="2"/>
        <v>0</v>
      </c>
    </row>
    <row r="28" spans="1:30" ht="14.15" customHeight="1" x14ac:dyDescent="0.2">
      <c r="A28" s="290">
        <f t="shared" ca="1" si="3"/>
        <v>46307</v>
      </c>
      <c r="B28" s="291"/>
      <c r="C28" s="80">
        <f ca="1">IF(A28="","",IF(WEEKDAY(A28,1)=1,1,IF(COUNTIF(祝日管理!B:B,A28)=1,"祝",WEEKDAY(A28,1))))</f>
        <v>2</v>
      </c>
      <c r="D28" s="292"/>
      <c r="E28" s="292"/>
      <c r="F28" s="292"/>
      <c r="G28" s="292"/>
      <c r="H28" s="292"/>
      <c r="I28" s="293"/>
      <c r="J28" s="298">
        <f t="shared" si="4"/>
        <v>0</v>
      </c>
      <c r="K28" s="294"/>
      <c r="L28" s="285">
        <f t="shared" si="5"/>
        <v>0</v>
      </c>
      <c r="M28" s="296"/>
      <c r="N28" s="297">
        <f t="shared" ca="1" si="6"/>
        <v>0</v>
      </c>
      <c r="O28" s="286"/>
      <c r="P28" s="285">
        <f t="shared" ca="1" si="7"/>
        <v>0</v>
      </c>
      <c r="Q28" s="286"/>
      <c r="R28" s="285">
        <f t="shared" ca="1" si="8"/>
        <v>0</v>
      </c>
      <c r="S28" s="286"/>
      <c r="T28" s="285">
        <f t="shared" ca="1" si="9"/>
        <v>0</v>
      </c>
      <c r="U28" s="286"/>
      <c r="V28" s="285">
        <f t="shared" ca="1" si="10"/>
        <v>0</v>
      </c>
      <c r="W28" s="286"/>
      <c r="X28" s="287" t="s">
        <v>185</v>
      </c>
      <c r="Y28" s="288"/>
      <c r="Z28" s="289"/>
      <c r="AA28" s="81"/>
      <c r="AB28" s="93">
        <f t="shared" ca="1" si="2"/>
        <v>0</v>
      </c>
    </row>
    <row r="29" spans="1:30" s="59" customFormat="1" ht="14.15" customHeight="1" x14ac:dyDescent="0.2">
      <c r="A29" s="290">
        <f t="shared" ca="1" si="3"/>
        <v>46308</v>
      </c>
      <c r="B29" s="291"/>
      <c r="C29" s="80">
        <f ca="1">IF(A29="","",IF(WEEKDAY(A29,1)=1,1,IF(COUNTIF(祝日管理!B:B,A29)=1,"祝",WEEKDAY(A29,1))))</f>
        <v>3</v>
      </c>
      <c r="D29" s="292"/>
      <c r="E29" s="292"/>
      <c r="F29" s="292"/>
      <c r="G29" s="292"/>
      <c r="H29" s="292"/>
      <c r="I29" s="293"/>
      <c r="J29" s="298">
        <f t="shared" si="4"/>
        <v>0</v>
      </c>
      <c r="K29" s="294"/>
      <c r="L29" s="285">
        <f t="shared" si="5"/>
        <v>0</v>
      </c>
      <c r="M29" s="296"/>
      <c r="N29" s="297">
        <f t="shared" ca="1" si="6"/>
        <v>0</v>
      </c>
      <c r="O29" s="286"/>
      <c r="P29" s="285">
        <f t="shared" ca="1" si="7"/>
        <v>0</v>
      </c>
      <c r="Q29" s="286"/>
      <c r="R29" s="285">
        <f t="shared" ca="1" si="8"/>
        <v>0</v>
      </c>
      <c r="S29" s="286"/>
      <c r="T29" s="285">
        <f t="shared" ca="1" si="9"/>
        <v>0</v>
      </c>
      <c r="U29" s="286"/>
      <c r="V29" s="285">
        <f t="shared" ca="1" si="10"/>
        <v>0</v>
      </c>
      <c r="W29" s="286"/>
      <c r="X29" s="287" t="s">
        <v>187</v>
      </c>
      <c r="Y29" s="288"/>
      <c r="Z29" s="289"/>
      <c r="AA29" s="81"/>
      <c r="AB29" s="93">
        <f t="shared" ca="1" si="2"/>
        <v>0</v>
      </c>
      <c r="AC29" s="59" t="s">
        <v>207</v>
      </c>
    </row>
    <row r="30" spans="1:30" ht="14.15" customHeight="1" x14ac:dyDescent="0.2">
      <c r="A30" s="290">
        <f t="shared" ca="1" si="3"/>
        <v>46309</v>
      </c>
      <c r="B30" s="291"/>
      <c r="C30" s="80">
        <f ca="1">IF(A30="","",IF(WEEKDAY(A30,1)=1,1,IF(COUNTIF(祝日管理!B:B,A30)=1,"祝",WEEKDAY(A30,1))))</f>
        <v>4</v>
      </c>
      <c r="D30" s="292"/>
      <c r="E30" s="292"/>
      <c r="F30" s="292"/>
      <c r="G30" s="292"/>
      <c r="H30" s="292"/>
      <c r="I30" s="293"/>
      <c r="J30" s="298">
        <f t="shared" si="4"/>
        <v>0</v>
      </c>
      <c r="K30" s="294"/>
      <c r="L30" s="285">
        <f t="shared" si="5"/>
        <v>0</v>
      </c>
      <c r="M30" s="296"/>
      <c r="N30" s="297">
        <f t="shared" ca="1" si="6"/>
        <v>0</v>
      </c>
      <c r="O30" s="286"/>
      <c r="P30" s="285">
        <f t="shared" ca="1" si="7"/>
        <v>0</v>
      </c>
      <c r="Q30" s="286"/>
      <c r="R30" s="285">
        <f t="shared" ca="1" si="8"/>
        <v>0</v>
      </c>
      <c r="S30" s="286"/>
      <c r="T30" s="285">
        <f t="shared" ca="1" si="9"/>
        <v>0</v>
      </c>
      <c r="U30" s="286"/>
      <c r="V30" s="285">
        <f t="shared" ca="1" si="10"/>
        <v>0</v>
      </c>
      <c r="W30" s="286"/>
      <c r="X30" s="287"/>
      <c r="Y30" s="288"/>
      <c r="Z30" s="289"/>
      <c r="AA30" s="81"/>
      <c r="AB30" s="93">
        <f t="shared" ca="1" si="2"/>
        <v>7.5</v>
      </c>
      <c r="AC30" t="s">
        <v>208</v>
      </c>
    </row>
    <row r="31" spans="1:30" ht="14.15" customHeight="1" x14ac:dyDescent="0.2">
      <c r="A31" s="290">
        <f t="shared" ca="1" si="3"/>
        <v>46310</v>
      </c>
      <c r="B31" s="291"/>
      <c r="C31" s="80">
        <f ca="1">IF(A31="","",IF(WEEKDAY(A31,1)=1,1,IF(COUNTIF(祝日管理!B:B,A31)=1,"祝",WEEKDAY(A31,1))))</f>
        <v>5</v>
      </c>
      <c r="D31" s="292"/>
      <c r="E31" s="292"/>
      <c r="F31" s="292"/>
      <c r="G31" s="292"/>
      <c r="H31" s="292"/>
      <c r="I31" s="293"/>
      <c r="J31" s="298">
        <f t="shared" si="4"/>
        <v>0</v>
      </c>
      <c r="K31" s="294"/>
      <c r="L31" s="285">
        <f t="shared" si="5"/>
        <v>0</v>
      </c>
      <c r="M31" s="296"/>
      <c r="N31" s="297">
        <f t="shared" ca="1" si="6"/>
        <v>0</v>
      </c>
      <c r="O31" s="286"/>
      <c r="P31" s="285">
        <f t="shared" ca="1" si="7"/>
        <v>0</v>
      </c>
      <c r="Q31" s="286"/>
      <c r="R31" s="285">
        <f t="shared" ca="1" si="8"/>
        <v>0</v>
      </c>
      <c r="S31" s="286"/>
      <c r="T31" s="285">
        <f t="shared" ca="1" si="9"/>
        <v>0</v>
      </c>
      <c r="U31" s="286"/>
      <c r="V31" s="285">
        <f t="shared" ca="1" si="10"/>
        <v>0</v>
      </c>
      <c r="W31" s="286"/>
      <c r="X31" s="287"/>
      <c r="Y31" s="288"/>
      <c r="Z31" s="289"/>
      <c r="AA31" s="81"/>
      <c r="AB31" s="93">
        <f t="shared" ca="1" si="2"/>
        <v>7.5</v>
      </c>
      <c r="AC31" t="s">
        <v>209</v>
      </c>
    </row>
    <row r="32" spans="1:30" ht="14.15" customHeight="1" x14ac:dyDescent="0.2">
      <c r="A32" s="290">
        <f t="shared" ca="1" si="3"/>
        <v>46311</v>
      </c>
      <c r="B32" s="291"/>
      <c r="C32" s="80">
        <f ca="1">IF(A32="","",IF(WEEKDAY(A32,1)=1,1,IF(COUNTIF(祝日管理!B:B,A32)=1,"祝",WEEKDAY(A32,1))))</f>
        <v>6</v>
      </c>
      <c r="D32" s="292"/>
      <c r="E32" s="292"/>
      <c r="F32" s="292"/>
      <c r="G32" s="292"/>
      <c r="H32" s="292"/>
      <c r="I32" s="293"/>
      <c r="J32" s="298">
        <f t="shared" si="4"/>
        <v>0</v>
      </c>
      <c r="K32" s="294"/>
      <c r="L32" s="285">
        <f t="shared" si="5"/>
        <v>0</v>
      </c>
      <c r="M32" s="296"/>
      <c r="N32" s="297">
        <f t="shared" ca="1" si="6"/>
        <v>0</v>
      </c>
      <c r="O32" s="286"/>
      <c r="P32" s="285">
        <f t="shared" ca="1" si="7"/>
        <v>0</v>
      </c>
      <c r="Q32" s="286"/>
      <c r="R32" s="285">
        <f t="shared" ca="1" si="8"/>
        <v>0</v>
      </c>
      <c r="S32" s="286"/>
      <c r="T32" s="285">
        <f t="shared" ca="1" si="9"/>
        <v>0</v>
      </c>
      <c r="U32" s="286"/>
      <c r="V32" s="285">
        <f t="shared" ca="1" si="10"/>
        <v>0</v>
      </c>
      <c r="W32" s="286"/>
      <c r="X32" s="287"/>
      <c r="Y32" s="288"/>
      <c r="Z32" s="289"/>
      <c r="AA32" s="81"/>
      <c r="AB32" s="93">
        <f t="shared" ca="1" si="2"/>
        <v>7.5</v>
      </c>
    </row>
    <row r="33" spans="1:32" ht="14.15" customHeight="1" x14ac:dyDescent="0.2">
      <c r="A33" s="290">
        <f t="shared" ca="1" si="3"/>
        <v>46312</v>
      </c>
      <c r="B33" s="291"/>
      <c r="C33" s="80">
        <f ca="1">IF(A33="","",IF(WEEKDAY(A33,1)=1,1,IF(COUNTIF(祝日管理!B:B,A33)=1,"祝",WEEKDAY(A33,1))))</f>
        <v>7</v>
      </c>
      <c r="D33" s="292"/>
      <c r="E33" s="292"/>
      <c r="F33" s="292"/>
      <c r="G33" s="292"/>
      <c r="H33" s="292"/>
      <c r="I33" s="293"/>
      <c r="J33" s="298">
        <f t="shared" si="4"/>
        <v>0</v>
      </c>
      <c r="K33" s="294"/>
      <c r="L33" s="285">
        <f t="shared" si="5"/>
        <v>0</v>
      </c>
      <c r="M33" s="296"/>
      <c r="N33" s="297">
        <f t="shared" ca="1" si="6"/>
        <v>0</v>
      </c>
      <c r="O33" s="286"/>
      <c r="P33" s="285">
        <f t="shared" ca="1" si="7"/>
        <v>0</v>
      </c>
      <c r="Q33" s="286"/>
      <c r="R33" s="285">
        <f t="shared" ca="1" si="8"/>
        <v>0</v>
      </c>
      <c r="S33" s="286"/>
      <c r="T33" s="285">
        <f t="shared" ca="1" si="9"/>
        <v>0</v>
      </c>
      <c r="U33" s="286"/>
      <c r="V33" s="285">
        <f t="shared" ca="1" si="10"/>
        <v>0</v>
      </c>
      <c r="W33" s="286"/>
      <c r="X33" s="287"/>
      <c r="Y33" s="288"/>
      <c r="Z33" s="289"/>
      <c r="AA33" s="81"/>
      <c r="AB33" s="93">
        <f t="shared" ca="1" si="2"/>
        <v>7.5</v>
      </c>
      <c r="AD33" t="s">
        <v>214</v>
      </c>
    </row>
    <row r="34" spans="1:32" ht="14.15" customHeight="1" x14ac:dyDescent="0.2">
      <c r="A34" s="290">
        <f t="shared" ca="1" si="3"/>
        <v>46313</v>
      </c>
      <c r="B34" s="291"/>
      <c r="C34" s="80">
        <f ca="1">IF(A34="","",IF(WEEKDAY(A34,1)=1,1,IF(COUNTIF(祝日管理!B:B,A34)=1,"祝",WEEKDAY(A34,1))))</f>
        <v>1</v>
      </c>
      <c r="D34" s="292"/>
      <c r="E34" s="292"/>
      <c r="F34" s="292"/>
      <c r="G34" s="292"/>
      <c r="H34" s="292"/>
      <c r="I34" s="293"/>
      <c r="J34" s="298">
        <f t="shared" si="4"/>
        <v>0</v>
      </c>
      <c r="K34" s="294"/>
      <c r="L34" s="285">
        <f t="shared" si="5"/>
        <v>0</v>
      </c>
      <c r="M34" s="296"/>
      <c r="N34" s="297">
        <f t="shared" ca="1" si="6"/>
        <v>0</v>
      </c>
      <c r="O34" s="286"/>
      <c r="P34" s="285">
        <f t="shared" ca="1" si="7"/>
        <v>0</v>
      </c>
      <c r="Q34" s="286"/>
      <c r="R34" s="285">
        <f t="shared" ca="1" si="8"/>
        <v>0</v>
      </c>
      <c r="S34" s="286"/>
      <c r="T34" s="285">
        <f t="shared" ca="1" si="9"/>
        <v>0</v>
      </c>
      <c r="U34" s="286"/>
      <c r="V34" s="285">
        <f t="shared" ca="1" si="10"/>
        <v>0</v>
      </c>
      <c r="W34" s="286"/>
      <c r="X34" s="287" t="s">
        <v>187</v>
      </c>
      <c r="Y34" s="288"/>
      <c r="Z34" s="289"/>
      <c r="AA34" s="81"/>
      <c r="AB34" s="93">
        <f ca="1">IF(ISERROR((X34="")*(7.5-N34)),0,(X34="")*(7.5-N34))</f>
        <v>0</v>
      </c>
      <c r="AD34" t="s">
        <v>215</v>
      </c>
    </row>
    <row r="35" spans="1:32" ht="14.15" customHeight="1" x14ac:dyDescent="0.2">
      <c r="A35" s="290">
        <f t="shared" ca="1" si="3"/>
        <v>46314</v>
      </c>
      <c r="B35" s="291"/>
      <c r="C35" s="80">
        <f ca="1">IF(A35="","",IF(WEEKDAY(A35,1)=1,1,IF(COUNTIF(祝日管理!B:B,A35)=1,"祝",WEEKDAY(A35,1))))</f>
        <v>2</v>
      </c>
      <c r="D35" s="292"/>
      <c r="E35" s="292"/>
      <c r="F35" s="292"/>
      <c r="G35" s="292"/>
      <c r="H35" s="292"/>
      <c r="I35" s="293"/>
      <c r="J35" s="298">
        <f t="shared" si="4"/>
        <v>0</v>
      </c>
      <c r="K35" s="294"/>
      <c r="L35" s="285">
        <f t="shared" si="5"/>
        <v>0</v>
      </c>
      <c r="M35" s="296"/>
      <c r="N35" s="297">
        <f t="shared" ca="1" si="6"/>
        <v>0</v>
      </c>
      <c r="O35" s="286"/>
      <c r="P35" s="285">
        <f t="shared" ca="1" si="7"/>
        <v>0</v>
      </c>
      <c r="Q35" s="286"/>
      <c r="R35" s="285">
        <f t="shared" ca="1" si="8"/>
        <v>0</v>
      </c>
      <c r="S35" s="286"/>
      <c r="T35" s="285">
        <f t="shared" ca="1" si="9"/>
        <v>0</v>
      </c>
      <c r="U35" s="286"/>
      <c r="V35" s="285">
        <f t="shared" ca="1" si="10"/>
        <v>0</v>
      </c>
      <c r="W35" s="286"/>
      <c r="X35" s="287" t="s">
        <v>185</v>
      </c>
      <c r="Y35" s="288"/>
      <c r="Z35" s="289"/>
      <c r="AA35" s="81"/>
      <c r="AB35" s="93">
        <f ca="1">IF(ISERROR((X35="")*(7.5-N35)),0,(X35="")*(7.5-N35))</f>
        <v>0</v>
      </c>
    </row>
    <row r="36" spans="1:32" ht="14.15" customHeight="1" x14ac:dyDescent="0.2">
      <c r="A36" s="290">
        <f t="shared" ca="1" si="3"/>
        <v>46315</v>
      </c>
      <c r="B36" s="291"/>
      <c r="C36" s="80">
        <f ca="1">IF(A36="","",IF(WEEKDAY(A36,1)=1,1,IF(COUNTIF(祝日管理!B:B,A36)=1,"祝",WEEKDAY(A36,1))))</f>
        <v>3</v>
      </c>
      <c r="D36" s="292"/>
      <c r="E36" s="292"/>
      <c r="F36" s="292"/>
      <c r="G36" s="292"/>
      <c r="H36" s="292"/>
      <c r="I36" s="293"/>
      <c r="J36" s="298">
        <f t="shared" si="4"/>
        <v>0</v>
      </c>
      <c r="K36" s="294"/>
      <c r="L36" s="285">
        <f t="shared" si="5"/>
        <v>0</v>
      </c>
      <c r="M36" s="296"/>
      <c r="N36" s="297">
        <f t="shared" ca="1" si="6"/>
        <v>0</v>
      </c>
      <c r="O36" s="286"/>
      <c r="P36" s="285">
        <f t="shared" ca="1" si="7"/>
        <v>0</v>
      </c>
      <c r="Q36" s="286"/>
      <c r="R36" s="285">
        <f t="shared" ca="1" si="8"/>
        <v>0</v>
      </c>
      <c r="S36" s="286"/>
      <c r="T36" s="285">
        <f t="shared" ca="1" si="9"/>
        <v>0</v>
      </c>
      <c r="U36" s="286"/>
      <c r="V36" s="285">
        <f t="shared" ca="1" si="10"/>
        <v>0</v>
      </c>
      <c r="W36" s="286"/>
      <c r="X36" s="287"/>
      <c r="Y36" s="288"/>
      <c r="Z36" s="289"/>
      <c r="AA36" s="81"/>
      <c r="AB36" s="93">
        <f t="shared" ca="1" si="2"/>
        <v>7.5</v>
      </c>
    </row>
    <row r="37" spans="1:32" ht="14.15" customHeight="1" x14ac:dyDescent="0.2">
      <c r="A37" s="290">
        <f t="shared" ca="1" si="3"/>
        <v>46316</v>
      </c>
      <c r="B37" s="291"/>
      <c r="C37" s="80">
        <f ca="1">IF(A37="","",IF(WEEKDAY(A37,1)=1,1,IF(COUNTIF(祝日管理!B:B,A37)=1,"祝",WEEKDAY(A37,1))))</f>
        <v>4</v>
      </c>
      <c r="D37" s="292"/>
      <c r="E37" s="292"/>
      <c r="F37" s="292"/>
      <c r="G37" s="292"/>
      <c r="H37" s="292"/>
      <c r="I37" s="293"/>
      <c r="J37" s="298">
        <f t="shared" si="4"/>
        <v>0</v>
      </c>
      <c r="K37" s="294"/>
      <c r="L37" s="285">
        <f t="shared" si="5"/>
        <v>0</v>
      </c>
      <c r="M37" s="296"/>
      <c r="N37" s="297">
        <f t="shared" ca="1" si="6"/>
        <v>0</v>
      </c>
      <c r="O37" s="286"/>
      <c r="P37" s="285">
        <f t="shared" ca="1" si="7"/>
        <v>0</v>
      </c>
      <c r="Q37" s="286"/>
      <c r="R37" s="285">
        <f t="shared" ca="1" si="8"/>
        <v>0</v>
      </c>
      <c r="S37" s="286"/>
      <c r="T37" s="285">
        <f t="shared" ca="1" si="9"/>
        <v>0</v>
      </c>
      <c r="U37" s="286"/>
      <c r="V37" s="285">
        <f t="shared" ca="1" si="10"/>
        <v>0</v>
      </c>
      <c r="W37" s="286"/>
      <c r="X37" s="287"/>
      <c r="Y37" s="288"/>
      <c r="Z37" s="289"/>
      <c r="AA37" s="81"/>
      <c r="AB37" s="93">
        <f t="shared" ca="1" si="2"/>
        <v>7.5</v>
      </c>
    </row>
    <row r="38" spans="1:32" ht="14.15" customHeight="1" x14ac:dyDescent="0.2">
      <c r="A38" s="290">
        <f t="shared" ca="1" si="3"/>
        <v>46317</v>
      </c>
      <c r="B38" s="291"/>
      <c r="C38" s="80">
        <f ca="1">IF(A38="","",IF(WEEKDAY(A38,1)=1,1,IF(COUNTIF(祝日管理!B:B,A38)=1,"祝",WEEKDAY(A38,1))))</f>
        <v>5</v>
      </c>
      <c r="D38" s="292"/>
      <c r="E38" s="292"/>
      <c r="F38" s="292"/>
      <c r="G38" s="292"/>
      <c r="H38" s="292"/>
      <c r="I38" s="293"/>
      <c r="J38" s="298">
        <f t="shared" si="4"/>
        <v>0</v>
      </c>
      <c r="K38" s="294"/>
      <c r="L38" s="285">
        <f t="shared" si="5"/>
        <v>0</v>
      </c>
      <c r="M38" s="296"/>
      <c r="N38" s="297">
        <f t="shared" ca="1" si="6"/>
        <v>0</v>
      </c>
      <c r="O38" s="286"/>
      <c r="P38" s="285">
        <f t="shared" ca="1" si="7"/>
        <v>0</v>
      </c>
      <c r="Q38" s="286"/>
      <c r="R38" s="285">
        <f t="shared" ca="1" si="8"/>
        <v>0</v>
      </c>
      <c r="S38" s="286"/>
      <c r="T38" s="285">
        <f t="shared" ca="1" si="9"/>
        <v>0</v>
      </c>
      <c r="U38" s="286"/>
      <c r="V38" s="285">
        <f t="shared" ca="1" si="10"/>
        <v>0</v>
      </c>
      <c r="W38" s="286"/>
      <c r="X38" s="287"/>
      <c r="Y38" s="288"/>
      <c r="Z38" s="289"/>
      <c r="AA38" s="81"/>
      <c r="AB38" s="93">
        <f t="shared" ca="1" si="2"/>
        <v>7.5</v>
      </c>
    </row>
    <row r="39" spans="1:32" ht="14.15" customHeight="1" x14ac:dyDescent="0.2">
      <c r="A39" s="290">
        <f t="shared" ca="1" si="3"/>
        <v>46318</v>
      </c>
      <c r="B39" s="291"/>
      <c r="C39" s="80">
        <f ca="1">IF(A39="","",IF(WEEKDAY(A39,1)=1,1,IF(COUNTIF(祝日管理!B:B,A39)=1,"祝",WEEKDAY(A39,1))))</f>
        <v>6</v>
      </c>
      <c r="D39" s="292"/>
      <c r="E39" s="292"/>
      <c r="F39" s="292"/>
      <c r="G39" s="292"/>
      <c r="H39" s="292"/>
      <c r="I39" s="293"/>
      <c r="J39" s="298">
        <f t="shared" si="4"/>
        <v>0</v>
      </c>
      <c r="K39" s="294"/>
      <c r="L39" s="285">
        <f t="shared" si="5"/>
        <v>0</v>
      </c>
      <c r="M39" s="296"/>
      <c r="N39" s="297">
        <f t="shared" ca="1" si="6"/>
        <v>0</v>
      </c>
      <c r="O39" s="286"/>
      <c r="P39" s="285">
        <f t="shared" ca="1" si="7"/>
        <v>0</v>
      </c>
      <c r="Q39" s="286"/>
      <c r="R39" s="285">
        <f t="shared" ca="1" si="8"/>
        <v>0</v>
      </c>
      <c r="S39" s="286"/>
      <c r="T39" s="285">
        <f t="shared" ca="1" si="9"/>
        <v>0</v>
      </c>
      <c r="U39" s="286"/>
      <c r="V39" s="285">
        <f t="shared" ca="1" si="10"/>
        <v>0</v>
      </c>
      <c r="W39" s="286"/>
      <c r="X39" s="287"/>
      <c r="Y39" s="288"/>
      <c r="Z39" s="289"/>
      <c r="AA39" s="81"/>
      <c r="AB39" s="93">
        <f t="shared" ca="1" si="2"/>
        <v>7.5</v>
      </c>
    </row>
    <row r="40" spans="1:32" ht="14.15" customHeight="1" x14ac:dyDescent="0.2">
      <c r="A40" s="290">
        <f t="shared" ca="1" si="3"/>
        <v>46319</v>
      </c>
      <c r="B40" s="291"/>
      <c r="C40" s="80">
        <f ca="1">IF(A40="","",IF(WEEKDAY(A40,1)=1,1,IF(COUNTIF(祝日管理!B:B,A40)=1,"祝",WEEKDAY(A40,1))))</f>
        <v>7</v>
      </c>
      <c r="D40" s="292"/>
      <c r="E40" s="292"/>
      <c r="F40" s="292"/>
      <c r="G40" s="292"/>
      <c r="H40" s="292"/>
      <c r="I40" s="293"/>
      <c r="J40" s="298">
        <f t="shared" si="4"/>
        <v>0</v>
      </c>
      <c r="K40" s="294"/>
      <c r="L40" s="285">
        <f t="shared" si="5"/>
        <v>0</v>
      </c>
      <c r="M40" s="296"/>
      <c r="N40" s="297">
        <f t="shared" ca="1" si="6"/>
        <v>0</v>
      </c>
      <c r="O40" s="286"/>
      <c r="P40" s="285">
        <f t="shared" ca="1" si="7"/>
        <v>0</v>
      </c>
      <c r="Q40" s="286"/>
      <c r="R40" s="285">
        <f t="shared" ca="1" si="8"/>
        <v>0</v>
      </c>
      <c r="S40" s="286"/>
      <c r="T40" s="285">
        <f t="shared" ca="1" si="9"/>
        <v>0</v>
      </c>
      <c r="U40" s="286"/>
      <c r="V40" s="285">
        <f t="shared" ca="1" si="10"/>
        <v>0</v>
      </c>
      <c r="W40" s="286"/>
      <c r="X40" s="287"/>
      <c r="Y40" s="288"/>
      <c r="Z40" s="289"/>
      <c r="AA40" s="81"/>
      <c r="AB40" s="93">
        <f t="shared" ca="1" si="2"/>
        <v>7.5</v>
      </c>
    </row>
    <row r="41" spans="1:32" ht="14.15" customHeight="1" x14ac:dyDescent="0.2">
      <c r="A41" s="290">
        <f t="shared" ca="1" si="3"/>
        <v>46320</v>
      </c>
      <c r="B41" s="291"/>
      <c r="C41" s="80">
        <f ca="1">IF(A41="","",IF(WEEKDAY(A41,1)=1,1,IF(COUNTIF(祝日管理!B:B,A41)=1,"祝",WEEKDAY(A41,1))))</f>
        <v>1</v>
      </c>
      <c r="D41" s="292"/>
      <c r="E41" s="292"/>
      <c r="F41" s="292"/>
      <c r="G41" s="292"/>
      <c r="H41" s="292"/>
      <c r="I41" s="293"/>
      <c r="J41" s="298">
        <f t="shared" si="4"/>
        <v>0</v>
      </c>
      <c r="K41" s="294"/>
      <c r="L41" s="285">
        <f t="shared" si="5"/>
        <v>0</v>
      </c>
      <c r="M41" s="296"/>
      <c r="N41" s="297">
        <f t="shared" ca="1" si="6"/>
        <v>0</v>
      </c>
      <c r="O41" s="286"/>
      <c r="P41" s="285">
        <f t="shared" ca="1" si="7"/>
        <v>0</v>
      </c>
      <c r="Q41" s="286"/>
      <c r="R41" s="285">
        <f t="shared" ca="1" si="8"/>
        <v>0</v>
      </c>
      <c r="S41" s="286"/>
      <c r="T41" s="285">
        <f t="shared" ca="1" si="9"/>
        <v>0</v>
      </c>
      <c r="U41" s="286"/>
      <c r="V41" s="285">
        <f t="shared" ca="1" si="10"/>
        <v>0</v>
      </c>
      <c r="W41" s="286"/>
      <c r="X41" s="287" t="s">
        <v>187</v>
      </c>
      <c r="Y41" s="288"/>
      <c r="Z41" s="289"/>
      <c r="AA41" s="81"/>
      <c r="AB41" s="93">
        <f t="shared" ca="1" si="2"/>
        <v>0</v>
      </c>
    </row>
    <row r="42" spans="1:32" ht="14.15" customHeight="1" x14ac:dyDescent="0.2">
      <c r="A42" s="290">
        <f t="shared" ca="1" si="3"/>
        <v>46321</v>
      </c>
      <c r="B42" s="291"/>
      <c r="C42" s="80">
        <f ca="1">IF(A42="","",IF(WEEKDAY(A42,1)=1,1,IF(COUNTIF(祝日管理!B:B,A42)=1,"祝",WEEKDAY(A42,1))))</f>
        <v>2</v>
      </c>
      <c r="D42" s="292"/>
      <c r="E42" s="292"/>
      <c r="F42" s="292"/>
      <c r="G42" s="292"/>
      <c r="H42" s="292"/>
      <c r="I42" s="293"/>
      <c r="J42" s="298">
        <f t="shared" si="4"/>
        <v>0</v>
      </c>
      <c r="K42" s="294"/>
      <c r="L42" s="285">
        <f t="shared" si="5"/>
        <v>0</v>
      </c>
      <c r="M42" s="296"/>
      <c r="N42" s="297">
        <f t="shared" ca="1" si="6"/>
        <v>0</v>
      </c>
      <c r="O42" s="286"/>
      <c r="P42" s="285">
        <f t="shared" ca="1" si="7"/>
        <v>0</v>
      </c>
      <c r="Q42" s="286"/>
      <c r="R42" s="285">
        <f t="shared" ca="1" si="8"/>
        <v>0</v>
      </c>
      <c r="S42" s="286"/>
      <c r="T42" s="285">
        <f t="shared" ca="1" si="9"/>
        <v>0</v>
      </c>
      <c r="U42" s="286"/>
      <c r="V42" s="285">
        <f t="shared" ca="1" si="10"/>
        <v>0</v>
      </c>
      <c r="W42" s="286"/>
      <c r="X42" s="287" t="s">
        <v>185</v>
      </c>
      <c r="Y42" s="288"/>
      <c r="Z42" s="289"/>
      <c r="AA42" s="81"/>
      <c r="AB42" s="93">
        <f t="shared" ca="1" si="2"/>
        <v>0</v>
      </c>
    </row>
    <row r="43" spans="1:32" ht="14.15" customHeight="1" x14ac:dyDescent="0.2">
      <c r="A43" s="290">
        <f t="shared" ca="1" si="3"/>
        <v>46322</v>
      </c>
      <c r="B43" s="291"/>
      <c r="C43" s="80">
        <f ca="1">IF(A43="","",IF(WEEKDAY(A43,1)=1,1,IF(COUNTIF(祝日管理!B:B,A43)=1,"祝",WEEKDAY(A43,1))))</f>
        <v>3</v>
      </c>
      <c r="D43" s="292"/>
      <c r="E43" s="292"/>
      <c r="F43" s="292"/>
      <c r="G43" s="292"/>
      <c r="H43" s="292"/>
      <c r="I43" s="293"/>
      <c r="J43" s="298">
        <f t="shared" si="4"/>
        <v>0</v>
      </c>
      <c r="K43" s="294"/>
      <c r="L43" s="285">
        <f t="shared" si="5"/>
        <v>0</v>
      </c>
      <c r="M43" s="296"/>
      <c r="N43" s="297">
        <f t="shared" ca="1" si="6"/>
        <v>0</v>
      </c>
      <c r="O43" s="286"/>
      <c r="P43" s="285">
        <f t="shared" ca="1" si="7"/>
        <v>0</v>
      </c>
      <c r="Q43" s="286"/>
      <c r="R43" s="285">
        <f t="shared" ca="1" si="8"/>
        <v>0</v>
      </c>
      <c r="S43" s="286"/>
      <c r="T43" s="285">
        <f t="shared" ca="1" si="9"/>
        <v>0</v>
      </c>
      <c r="U43" s="286"/>
      <c r="V43" s="285">
        <f t="shared" ca="1" si="10"/>
        <v>0</v>
      </c>
      <c r="W43" s="286"/>
      <c r="X43" s="287"/>
      <c r="Y43" s="288"/>
      <c r="Z43" s="289"/>
      <c r="AA43" s="81"/>
      <c r="AB43" s="93">
        <f t="shared" ca="1" si="2"/>
        <v>7.5</v>
      </c>
    </row>
    <row r="44" spans="1:32" ht="14.15" customHeight="1" x14ac:dyDescent="0.2">
      <c r="A44" s="290">
        <f t="shared" ca="1" si="3"/>
        <v>46323</v>
      </c>
      <c r="B44" s="291"/>
      <c r="C44" s="80">
        <f ca="1">IF(A44="","",IF(WEEKDAY(A44,1)=1,1,IF(COUNTIF(祝日管理!B:B,A44)=1,"祝",WEEKDAY(A44,1))))</f>
        <v>4</v>
      </c>
      <c r="D44" s="292"/>
      <c r="E44" s="292"/>
      <c r="F44" s="292"/>
      <c r="G44" s="292"/>
      <c r="H44" s="292"/>
      <c r="I44" s="293"/>
      <c r="J44" s="298">
        <f t="shared" si="4"/>
        <v>0</v>
      </c>
      <c r="K44" s="294"/>
      <c r="L44" s="285">
        <f t="shared" si="5"/>
        <v>0</v>
      </c>
      <c r="M44" s="296"/>
      <c r="N44" s="297">
        <f t="shared" ca="1" si="6"/>
        <v>0</v>
      </c>
      <c r="O44" s="286"/>
      <c r="P44" s="285">
        <f t="shared" ca="1" si="7"/>
        <v>0</v>
      </c>
      <c r="Q44" s="286"/>
      <c r="R44" s="285">
        <f t="shared" ca="1" si="8"/>
        <v>0</v>
      </c>
      <c r="S44" s="286"/>
      <c r="T44" s="285">
        <f t="shared" ca="1" si="9"/>
        <v>0</v>
      </c>
      <c r="U44" s="286"/>
      <c r="V44" s="285">
        <f t="shared" ca="1" si="10"/>
        <v>0</v>
      </c>
      <c r="W44" s="286"/>
      <c r="X44" s="287"/>
      <c r="Y44" s="288"/>
      <c r="Z44" s="289"/>
      <c r="AA44" s="81"/>
      <c r="AB44" s="93">
        <f t="shared" ca="1" si="2"/>
        <v>7.5</v>
      </c>
    </row>
    <row r="45" spans="1:32" ht="14.15" customHeight="1" x14ac:dyDescent="0.2">
      <c r="A45" s="290">
        <f ca="1">IF(DAY(A44+1)=29,A44+1,"")</f>
        <v>46324</v>
      </c>
      <c r="B45" s="291"/>
      <c r="C45" s="80">
        <f ca="1">IF(A45="","",IF(WEEKDAY(A45,1)=1,1,IF(COUNTIF(祝日管理!B:B,A45)=1,"祝",WEEKDAY(A45,1))))</f>
        <v>5</v>
      </c>
      <c r="D45" s="292"/>
      <c r="E45" s="292"/>
      <c r="F45" s="292"/>
      <c r="G45" s="292"/>
      <c r="H45" s="292"/>
      <c r="I45" s="293"/>
      <c r="J45" s="298">
        <f t="shared" si="4"/>
        <v>0</v>
      </c>
      <c r="K45" s="294"/>
      <c r="L45" s="285">
        <f t="shared" si="5"/>
        <v>0</v>
      </c>
      <c r="M45" s="296"/>
      <c r="N45" s="297">
        <f t="shared" ca="1" si="6"/>
        <v>0</v>
      </c>
      <c r="O45" s="286"/>
      <c r="P45" s="285">
        <f t="shared" ca="1" si="7"/>
        <v>0</v>
      </c>
      <c r="Q45" s="286"/>
      <c r="R45" s="285">
        <f t="shared" ca="1" si="8"/>
        <v>0</v>
      </c>
      <c r="S45" s="286"/>
      <c r="T45" s="285">
        <f t="shared" ca="1" si="9"/>
        <v>0</v>
      </c>
      <c r="U45" s="286"/>
      <c r="V45" s="285">
        <f t="shared" ca="1" si="10"/>
        <v>0</v>
      </c>
      <c r="W45" s="286"/>
      <c r="X45" s="287"/>
      <c r="Y45" s="288"/>
      <c r="Z45" s="289"/>
      <c r="AA45" s="82"/>
      <c r="AB45" s="93">
        <f t="shared" ca="1" si="2"/>
        <v>7.5</v>
      </c>
    </row>
    <row r="46" spans="1:32" ht="14.15" customHeight="1" x14ac:dyDescent="0.2">
      <c r="A46" s="290">
        <f ca="1">IF(A45="","",IF(DAY(A45+1)=30,A45+1,""))</f>
        <v>46325</v>
      </c>
      <c r="B46" s="291"/>
      <c r="C46" s="80">
        <f ca="1">IF(A46="","",IF(WEEKDAY(A46,1)=1,1,IF(COUNTIF(祝日管理!B:B,A46)=1,"祝",WEEKDAY(A46,1))))</f>
        <v>6</v>
      </c>
      <c r="D46" s="292"/>
      <c r="E46" s="292"/>
      <c r="F46" s="292"/>
      <c r="G46" s="292"/>
      <c r="H46" s="292"/>
      <c r="I46" s="293"/>
      <c r="J46" s="298">
        <f t="shared" si="4"/>
        <v>0</v>
      </c>
      <c r="K46" s="294"/>
      <c r="L46" s="285">
        <f t="shared" si="5"/>
        <v>0</v>
      </c>
      <c r="M46" s="296"/>
      <c r="N46" s="297">
        <f t="shared" ca="1" si="6"/>
        <v>0</v>
      </c>
      <c r="O46" s="286"/>
      <c r="P46" s="285">
        <f t="shared" ca="1" si="7"/>
        <v>0</v>
      </c>
      <c r="Q46" s="286"/>
      <c r="R46" s="285">
        <f t="shared" ca="1" si="8"/>
        <v>0</v>
      </c>
      <c r="S46" s="286"/>
      <c r="T46" s="285">
        <f t="shared" ca="1" si="9"/>
        <v>0</v>
      </c>
      <c r="U46" s="286"/>
      <c r="V46" s="285">
        <f t="shared" ca="1" si="10"/>
        <v>0</v>
      </c>
      <c r="W46" s="286"/>
      <c r="X46" s="287"/>
      <c r="Y46" s="288"/>
      <c r="Z46" s="289"/>
      <c r="AA46" s="81"/>
      <c r="AB46" s="93">
        <f t="shared" ca="1" si="2"/>
        <v>7.5</v>
      </c>
      <c r="AF46">
        <f>+時間・月額</f>
        <v>250000</v>
      </c>
    </row>
    <row r="47" spans="1:32" ht="14.15" customHeight="1" thickBot="1" x14ac:dyDescent="0.25">
      <c r="A47" s="290">
        <f ca="1">IF(A46="","",IF(DAY(A46+1)=31,A46+1,""))</f>
        <v>46326</v>
      </c>
      <c r="B47" s="291"/>
      <c r="C47" s="80">
        <f ca="1">IF(A47="","",IF(WEEKDAY(A47,1)=1,1,IF(COUNTIF(祝日管理!B:B,A47)=1,"祝",WEEKDAY(A47,1))))</f>
        <v>7</v>
      </c>
      <c r="D47" s="292"/>
      <c r="E47" s="292"/>
      <c r="F47" s="292"/>
      <c r="G47" s="292"/>
      <c r="H47" s="292"/>
      <c r="I47" s="293"/>
      <c r="J47" s="294">
        <f t="shared" si="4"/>
        <v>0</v>
      </c>
      <c r="K47" s="295"/>
      <c r="L47" s="285">
        <f t="shared" si="5"/>
        <v>0</v>
      </c>
      <c r="M47" s="296"/>
      <c r="N47" s="283">
        <f t="shared" ca="1" si="6"/>
        <v>0</v>
      </c>
      <c r="O47" s="284"/>
      <c r="P47" s="285">
        <f t="shared" ca="1" si="7"/>
        <v>0</v>
      </c>
      <c r="Q47" s="286"/>
      <c r="R47" s="285">
        <f t="shared" ca="1" si="8"/>
        <v>0</v>
      </c>
      <c r="S47" s="286"/>
      <c r="T47" s="285">
        <f t="shared" ca="1" si="9"/>
        <v>0</v>
      </c>
      <c r="U47" s="286"/>
      <c r="V47" s="285">
        <f t="shared" ca="1" si="10"/>
        <v>0</v>
      </c>
      <c r="W47" s="286"/>
      <c r="X47" s="287"/>
      <c r="Y47" s="288"/>
      <c r="Z47" s="289"/>
      <c r="AA47" s="81"/>
      <c r="AB47" s="93">
        <f ca="1">IF(ISERROR((X47="")*(7.5-N47)),0,(X47="")*(7.5-N47))</f>
        <v>7.5</v>
      </c>
    </row>
    <row r="48" spans="1:32" ht="14.15" customHeight="1" thickBot="1" x14ac:dyDescent="0.25">
      <c r="A48" s="274" t="s">
        <v>56</v>
      </c>
      <c r="B48" s="275"/>
      <c r="C48" s="35"/>
      <c r="D48" s="276"/>
      <c r="E48" s="277"/>
      <c r="F48" s="276"/>
      <c r="G48" s="277"/>
      <c r="H48" s="276"/>
      <c r="I48" s="278"/>
      <c r="J48" s="279"/>
      <c r="K48" s="280"/>
      <c r="L48" s="281" t="s">
        <v>198</v>
      </c>
      <c r="M48" s="282"/>
      <c r="N48" s="265"/>
      <c r="O48" s="266"/>
      <c r="P48" s="267" t="s">
        <v>200</v>
      </c>
      <c r="Q48" s="268"/>
      <c r="R48" s="265"/>
      <c r="S48" s="266"/>
      <c r="T48" s="269"/>
      <c r="U48" s="270"/>
      <c r="V48" s="269"/>
      <c r="W48" s="270"/>
      <c r="X48" s="271"/>
      <c r="Y48" s="272"/>
      <c r="Z48" s="273"/>
      <c r="AA48" s="66"/>
      <c r="AB48" t="s">
        <v>191</v>
      </c>
    </row>
    <row r="49" spans="1:34" ht="14.15" customHeight="1" x14ac:dyDescent="0.2">
      <c r="A49" s="255" t="s">
        <v>196</v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8">
        <f>SUM(L17:M47)+N48</f>
        <v>0</v>
      </c>
      <c r="M49" s="259"/>
      <c r="N49" s="260">
        <f ca="1">ROUNDDOWN((SUM(N17:O48)+0.01)*4,0)/4</f>
        <v>0</v>
      </c>
      <c r="O49" s="261"/>
      <c r="P49" s="262">
        <f ca="1">ROUNDDOWN((SUM(P17:Q47)+0.01)*4,0)/4</f>
        <v>0</v>
      </c>
      <c r="Q49" s="263"/>
      <c r="R49" s="242">
        <f ca="1">ROUNDDOWN((SUM(R17:S47)+0.01)*4,0)/4</f>
        <v>0</v>
      </c>
      <c r="S49" s="264"/>
      <c r="T49" s="242">
        <f ca="1">ROUNDDOWN((SUM(T17:U47)+0.01)*4,0)/4</f>
        <v>0</v>
      </c>
      <c r="U49" s="243"/>
      <c r="V49" s="242">
        <f ca="1">ROUNDDOWN((SUM(V17:W47)+0.01)*4,0)/4</f>
        <v>0</v>
      </c>
      <c r="W49" s="243"/>
      <c r="X49" s="244">
        <f ca="1">SUM(通常時間計:休日深夜時間計)</f>
        <v>0</v>
      </c>
      <c r="Y49" s="245"/>
      <c r="Z49" s="245"/>
      <c r="AA49" s="64" t="s">
        <v>142</v>
      </c>
    </row>
    <row r="50" spans="1:34" ht="14.15" customHeight="1" thickBot="1" x14ac:dyDescent="0.25">
      <c r="A50" s="246" t="s">
        <v>106</v>
      </c>
      <c r="B50" s="246"/>
      <c r="C50" s="246"/>
      <c r="D50" s="246"/>
      <c r="E50" s="246"/>
      <c r="F50" s="246"/>
      <c r="G50" s="246"/>
      <c r="H50" s="246"/>
      <c r="I50" s="246"/>
      <c r="J50" s="246"/>
      <c r="K50" s="246"/>
      <c r="L50" s="247">
        <f ca="1">SUM(N50:W50)</f>
        <v>0</v>
      </c>
      <c r="M50" s="248"/>
      <c r="N50" s="249">
        <f ca="1">通常時間計</f>
        <v>0</v>
      </c>
      <c r="O50" s="250"/>
      <c r="P50" s="249">
        <f ca="1">IF(給与体系="140-160時間制",超過勤務時間計,MAX(0,超過勤務時間計+深夜残業時間計-60)*0.25+超過勤務時間計*1.25)</f>
        <v>0</v>
      </c>
      <c r="Q50" s="250"/>
      <c r="R50" s="251">
        <f ca="1">IF(給与体系="140-160時間制",深夜残業時間計,深夜残業時間計*1.5)</f>
        <v>0</v>
      </c>
      <c r="S50" s="252"/>
      <c r="T50" s="251">
        <f ca="1">IF(給与体系="140-160時間制",休日出勤時間計,休日出勤時間計*1.35)</f>
        <v>0</v>
      </c>
      <c r="U50" s="252"/>
      <c r="V50" s="251">
        <f ca="1">IF(給与体系="140-160時間制",休日深夜時間計,休日深夜時間計*1.6)</f>
        <v>0</v>
      </c>
      <c r="W50" s="252"/>
      <c r="X50" s="253">
        <f ca="1">SUM(N50:W50)</f>
        <v>0</v>
      </c>
      <c r="Y50" s="254"/>
      <c r="Z50" s="254"/>
      <c r="AA50" s="88">
        <f>+'9月'!AA50</f>
        <v>45748</v>
      </c>
      <c r="AB50" s="98">
        <f ca="1">+IFERROR(((MAX(0,超過勤務時間計+深夜残業時間計-60)*0.25+(超過勤務時間計+深夜残業時間計)*1.25))/(超過勤務時間計+深夜残業時間計),0)</f>
        <v>0</v>
      </c>
      <c r="AC50" s="2" t="s">
        <v>158</v>
      </c>
      <c r="AD50" s="2"/>
      <c r="AE50" s="231"/>
      <c r="AF50" s="231"/>
      <c r="AG50" s="60"/>
      <c r="AH50" s="61"/>
    </row>
    <row r="51" spans="1:34" ht="14.15" customHeight="1" thickTop="1" thickBot="1" x14ac:dyDescent="0.25">
      <c r="A51" s="232" t="s">
        <v>38</v>
      </c>
      <c r="B51" s="233"/>
      <c r="C51" s="234">
        <f>COUNTA(D17:D47)-W51-W52</f>
        <v>0</v>
      </c>
      <c r="D51" s="235"/>
      <c r="E51" s="236" t="s">
        <v>32</v>
      </c>
      <c r="F51" s="233"/>
      <c r="G51" s="237">
        <f>+COUNTIF($X17:$Z47,E51)</f>
        <v>0</v>
      </c>
      <c r="H51" s="238"/>
      <c r="I51" s="169" t="s">
        <v>111</v>
      </c>
      <c r="J51" s="170"/>
      <c r="K51" s="167">
        <f>+COUNTIF($X17:$Z47,I51)</f>
        <v>0</v>
      </c>
      <c r="L51" s="168"/>
      <c r="M51" s="169" t="s">
        <v>113</v>
      </c>
      <c r="N51" s="170"/>
      <c r="O51" s="167">
        <f>+COUNTIF($X17:$Z47,M51)</f>
        <v>0</v>
      </c>
      <c r="P51" s="168"/>
      <c r="Q51" s="169" t="s">
        <v>112</v>
      </c>
      <c r="R51" s="170"/>
      <c r="S51" s="167">
        <f>+COUNTIF($X17:$Z47,Q51)</f>
        <v>0</v>
      </c>
      <c r="T51" s="168"/>
      <c r="U51" s="169" t="s">
        <v>123</v>
      </c>
      <c r="V51" s="170"/>
      <c r="W51" s="171">
        <f>+K51+(O51+S51)/2</f>
        <v>0</v>
      </c>
      <c r="X51" s="172"/>
      <c r="Y51" s="208" t="s">
        <v>124</v>
      </c>
      <c r="Z51" s="209"/>
      <c r="AA51" s="63">
        <f>+AA52-W51-AA53</f>
        <v>35</v>
      </c>
      <c r="AB51" t="s">
        <v>174</v>
      </c>
    </row>
    <row r="52" spans="1:34" ht="14.15" customHeight="1" thickTop="1" thickBot="1" x14ac:dyDescent="0.25">
      <c r="A52" s="239" t="s">
        <v>153</v>
      </c>
      <c r="B52" s="239"/>
      <c r="C52" s="239"/>
      <c r="D52" s="239"/>
      <c r="E52" s="239"/>
      <c r="F52" s="240">
        <f>+'9月'!F52</f>
        <v>250000</v>
      </c>
      <c r="G52" s="240"/>
      <c r="H52" s="241"/>
      <c r="I52" s="169" t="s">
        <v>126</v>
      </c>
      <c r="J52" s="170"/>
      <c r="K52" s="167">
        <f>+COUNTIF($X17:$Z47,"*全*")-COUNTIF($X17:$Z47,"*欠勤(全*")-COUNTIF($X17:$Z47,"*振休(全*")-COUNTIF($X17:$Z47,"*代休(全*")-K51</f>
        <v>0</v>
      </c>
      <c r="L52" s="168"/>
      <c r="M52" s="169" t="s">
        <v>135</v>
      </c>
      <c r="N52" s="170"/>
      <c r="O52" s="167">
        <f>+COUNTIF($X17:$Z47,"*AM*")-COUNTIF($X17:$Z47,"*欠勤(A*")-COUNTIF($X17:$Z47,"*代休(A*")-O51</f>
        <v>0</v>
      </c>
      <c r="P52" s="168"/>
      <c r="Q52" s="169" t="s">
        <v>136</v>
      </c>
      <c r="R52" s="170"/>
      <c r="S52" s="167">
        <f>+COUNTIF($X17:$Z47,"*PM*")-COUNTIF($X17:$Z47,"*代休(P*")-S51</f>
        <v>0</v>
      </c>
      <c r="T52" s="168"/>
      <c r="U52" s="169" t="s">
        <v>127</v>
      </c>
      <c r="V52" s="170"/>
      <c r="W52" s="171">
        <f>+K52+(O52+S52)/2</f>
        <v>0</v>
      </c>
      <c r="X52" s="172"/>
      <c r="Y52" s="208" t="s">
        <v>125</v>
      </c>
      <c r="Z52" s="209"/>
      <c r="AA52" s="62">
        <f>+'9月'!AA51</f>
        <v>35</v>
      </c>
      <c r="AB52" t="s">
        <v>173</v>
      </c>
    </row>
    <row r="53" spans="1:34" ht="14.15" customHeight="1" thickTop="1" thickBot="1" x14ac:dyDescent="0.25">
      <c r="A53" s="224"/>
      <c r="B53" s="225"/>
      <c r="C53" s="226"/>
      <c r="D53" s="227" t="s">
        <v>21</v>
      </c>
      <c r="E53" s="228"/>
      <c r="F53" s="33"/>
      <c r="G53" s="228" t="s">
        <v>22</v>
      </c>
      <c r="H53" s="228"/>
      <c r="I53" s="34"/>
      <c r="J53" s="229"/>
      <c r="K53" s="225"/>
      <c r="L53" s="230"/>
      <c r="M53" s="27"/>
      <c r="N53" s="28"/>
      <c r="O53" s="32"/>
      <c r="P53" s="4"/>
      <c r="S53" s="4"/>
      <c r="Y53" s="208" t="s">
        <v>166</v>
      </c>
      <c r="Z53" s="209"/>
      <c r="AA53" s="63">
        <v>0</v>
      </c>
      <c r="AB53" t="s">
        <v>167</v>
      </c>
    </row>
    <row r="54" spans="1:34" ht="14.15" customHeight="1" thickTop="1" thickBot="1" x14ac:dyDescent="0.25">
      <c r="A54" s="217" t="s">
        <v>256</v>
      </c>
      <c r="B54" s="218"/>
      <c r="C54" s="218"/>
      <c r="D54" s="219" t="e">
        <f ca="1">ROUNDUP(IF(給与種別=0,時間・月額+手当１金額,IF(給与体系="時給制",(時間・月額+手当１金額/150),(時間・月額+手当１金額)/SUMIF(テーブル_勤務時間,給与体系,テーブル!C:C))),0)</f>
        <v>#DIV/0!</v>
      </c>
      <c r="E54" s="220"/>
      <c r="F54" s="99" t="s">
        <v>39</v>
      </c>
      <c r="G54" s="195">
        <f ca="1">+IF(給与種別=0,1,IF(給与体系&lt;&gt;"時給制",SUMIF(テーブル_勤務時間,給与体系,テーブル!K:K),通常時間計))</f>
        <v>0</v>
      </c>
      <c r="H54" s="195"/>
      <c r="I54" s="100" t="str">
        <f ca="1">IF(給与種別=2,"h","m")</f>
        <v>h</v>
      </c>
      <c r="J54" s="221">
        <f ca="1">IF(給与体系="時給制",基本給単価*基本給時間,SUMIF(テーブル!U2:U13,当月,テーブル!V2:V13))</f>
        <v>0</v>
      </c>
      <c r="K54" s="222"/>
      <c r="L54" s="223"/>
      <c r="M54" s="4"/>
      <c r="N54" s="202" t="s">
        <v>188</v>
      </c>
      <c r="O54" s="203"/>
      <c r="P54" s="203"/>
      <c r="Q54" s="204">
        <f>(合計_15分未満切捨て-(K51+K52)*7.5-(O51+O52)*3-(S51+S52)*4.5)</f>
        <v>0</v>
      </c>
      <c r="R54" s="205"/>
      <c r="S54" s="206"/>
      <c r="T54" s="207"/>
      <c r="U54" s="92" t="s">
        <v>197</v>
      </c>
      <c r="Y54" s="208" t="s">
        <v>203</v>
      </c>
      <c r="Z54" s="209"/>
      <c r="AA54" s="63">
        <f>+SUM('10月:4月'!W51:X51)</f>
        <v>0</v>
      </c>
      <c r="AB54" t="s">
        <v>204</v>
      </c>
    </row>
    <row r="55" spans="1:34" ht="14.15" customHeight="1" thickTop="1" thickBot="1" x14ac:dyDescent="0.25">
      <c r="A55" s="192" t="str">
        <f ca="1">+IF(給与体系="時給制","超過勤務","みなし給")</f>
        <v>みなし給</v>
      </c>
      <c r="B55" s="193"/>
      <c r="C55" s="194"/>
      <c r="D55" s="210" t="e">
        <f ca="1">IF(給与体系="140-160時間制",基本給単価/4,IF(時間外係数=0,基本給単価*1.25,ROUNDUP(IF(給与体系="時給制",(時間・月額+手当１金額/150)*時間外係数,(時間・月額+手当１金額)/SUMIF(テーブル_勤務時間,給与体系,テーブル!C:C)*SUMIF(テーブル_勤務時間,給与体系,テーブル!E:E)),0)))</f>
        <v>#DIV/0!</v>
      </c>
      <c r="E55" s="211"/>
      <c r="F55" s="99" t="s">
        <v>39</v>
      </c>
      <c r="G55" s="195">
        <f ca="1">+IF(給与体系="時給制",超過勤務時間計,SUMIF(テーブル_勤務時間,給与体系,テーブル_みなし時間))</f>
        <v>0</v>
      </c>
      <c r="H55" s="195"/>
      <c r="I55" s="100" t="s">
        <v>40</v>
      </c>
      <c r="J55" s="212">
        <f ca="1">IF(みなし給時間="","",IF(給与体系="時給制",みなし給単価*みなし給時間,SUMIF(テーブル!U2:U13,当月,テーブル!W2:W13)))</f>
        <v>0</v>
      </c>
      <c r="K55" s="213"/>
      <c r="L55" s="214"/>
      <c r="M55" s="4"/>
      <c r="N55" s="215" t="s">
        <v>189</v>
      </c>
      <c r="O55" s="216"/>
      <c r="P55" s="216"/>
      <c r="Q55" s="204">
        <f>+N48+R48*7.5</f>
        <v>0</v>
      </c>
      <c r="R55" s="205"/>
      <c r="S55" s="206"/>
      <c r="T55" s="207"/>
      <c r="U55" s="92" t="s">
        <v>201</v>
      </c>
      <c r="AA55" s="87" t="s">
        <v>192</v>
      </c>
    </row>
    <row r="56" spans="1:34" ht="14.15" customHeight="1" thickTop="1" thickBot="1" x14ac:dyDescent="0.25">
      <c r="A56" s="192" t="str">
        <f ca="1">+IF(給与体系="時給制","深夜残業","月額給")</f>
        <v>月額給</v>
      </c>
      <c r="B56" s="193"/>
      <c r="C56" s="194"/>
      <c r="D56" s="200" t="e">
        <f ca="1">IF(給与体系="時給制",ROUND(基本給単価*(1.5+MAX(0,時間外係数-1.25)),0),IF(給与体系="月給制","",VLOOKUP(給与体系,テーブル!B:F,5,0)))</f>
        <v>#N/A</v>
      </c>
      <c r="E56" s="201"/>
      <c r="F56" s="99" t="str">
        <f ca="1">+IF(給与体系="時給制","＊",IF(給与体系="月給制","","－"))</f>
        <v>－</v>
      </c>
      <c r="G56" s="195" t="e">
        <f ca="1">+IF(給与体系="時給制",深夜残業時間計,IF(給与体系="月給制","月額給",VLOOKUP(給与体系,テーブル!B:G,6,0)))</f>
        <v>#N/A</v>
      </c>
      <c r="H56" s="195"/>
      <c r="I56" s="100" t="str">
        <f ca="1">+IF(給与体系="時給制","h","制")</f>
        <v>制</v>
      </c>
      <c r="J56" s="179">
        <f ca="1">IF(給与体系="時給制",D56*G56,基本給+みなし給)</f>
        <v>0</v>
      </c>
      <c r="K56" s="180"/>
      <c r="L56" s="181"/>
      <c r="M56" s="4"/>
      <c r="N56" s="202" t="s">
        <v>190</v>
      </c>
      <c r="O56" s="203"/>
      <c r="P56" s="203"/>
      <c r="Q56" s="204">
        <f>+Q54-Q55</f>
        <v>0</v>
      </c>
      <c r="R56" s="205"/>
      <c r="S56" s="206"/>
      <c r="T56" s="207"/>
      <c r="U56" s="92" t="s">
        <v>199</v>
      </c>
      <c r="AA56" s="86">
        <f>IF(D62="テレワーク手当",J62/400,IF(D63="テレワーク手当",J63/400,IF(D64="テレワーク手当",J64/400,0)))</f>
        <v>0</v>
      </c>
      <c r="AB56" t="s">
        <v>193</v>
      </c>
    </row>
    <row r="57" spans="1:34" ht="14.15" customHeight="1" thickTop="1" thickBot="1" x14ac:dyDescent="0.25">
      <c r="A57" s="192" t="str">
        <f ca="1">+IF(給与体系="時給制","休日出勤","控除精算")</f>
        <v>控除精算</v>
      </c>
      <c r="B57" s="193"/>
      <c r="C57" s="194"/>
      <c r="D57" s="176" t="e">
        <f ca="1">ROUNDUP(IF(給与種別=0,0,IF(給与体系="時給制",(基本給単価)*1.35,(時間・月額)/SUMIF(テーブル_勤務時間,給与体系,テーブル!C:C))),0)</f>
        <v>#DIV/0!</v>
      </c>
      <c r="E57" s="177"/>
      <c r="F57" s="99" t="s">
        <v>39</v>
      </c>
      <c r="G57" s="195">
        <f ca="1">IF(給与体系="時給制",休日出勤時間計,IF(給与体系="月給制",-1*欠勤時間計,IF(給与体系="140-160時間制",MIN(0,時間合計-140),MIN(0,補正勤務時間合計-SUMIF(テーブル_勤務時間,給与体系,テーブル!H:H)))))</f>
        <v>0</v>
      </c>
      <c r="H57" s="195"/>
      <c r="I57" s="100" t="s">
        <v>40</v>
      </c>
      <c r="J57" s="179" t="e">
        <f ca="1">MAX(控除単価*控除時間,時間・月額*-1)</f>
        <v>#DIV/0!</v>
      </c>
      <c r="K57" s="180"/>
      <c r="L57" s="181"/>
      <c r="M57" s="4"/>
      <c r="N57" s="196" t="s">
        <v>134</v>
      </c>
      <c r="O57" s="197"/>
      <c r="P57" s="198">
        <f ca="1">_xlfn.XLOOKUP(当月,テーブル!U2:U13,テーブル!X2:X13,テーブル!$O$6,FALSE)</f>
        <v>0</v>
      </c>
      <c r="Q57" s="198"/>
      <c r="R57" s="198"/>
      <c r="S57" s="198"/>
      <c r="T57" s="198"/>
      <c r="U57" s="198"/>
      <c r="V57" s="198"/>
      <c r="W57" s="199"/>
    </row>
    <row r="58" spans="1:34" ht="14.15" customHeight="1" x14ac:dyDescent="0.2">
      <c r="A58" s="173" t="str">
        <f ca="1">+IF(給与体系="時給制","休日深夜","超過精算")</f>
        <v>超過精算</v>
      </c>
      <c r="B58" s="174"/>
      <c r="C58" s="175"/>
      <c r="D58" s="176" t="e">
        <f ca="1">ROUNDUP(IF(給与種別=0,((時間・月額+手当１金額)/150),IF(給与体系="時給制",(基本給単価)*1.6,(時間・月額)/SUMIF(テーブル_勤務時間,給与体系,テーブル!C:C))),0)</f>
        <v>#DIV/0!</v>
      </c>
      <c r="E58" s="177"/>
      <c r="F58" s="101" t="s">
        <v>39</v>
      </c>
      <c r="G58" s="178">
        <f ca="1">IF(給与体系="時給制",休日深夜時間計,IF(給与体系="140-160時間制",MAX(0,時間合計-160)*1.25+MAX(0,深夜残業時間計-80)*0.25,(IF(給与体系="管理監督者",(深夜残業時間計+休日深夜時間計)*0.25,MAX(0,補正勤務時間合計-SUMIF(テーブル_勤務時間,給与体系,テーブル!I:I))))))</f>
        <v>0</v>
      </c>
      <c r="H58" s="178"/>
      <c r="I58" s="102" t="s">
        <v>40</v>
      </c>
      <c r="J58" s="179" t="e">
        <f ca="1">超過単価*超過時間</f>
        <v>#DIV/0!</v>
      </c>
      <c r="K58" s="180"/>
      <c r="L58" s="181"/>
      <c r="M58" s="4"/>
      <c r="N58" s="182" t="s">
        <v>157</v>
      </c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94" t="s">
        <v>211</v>
      </c>
    </row>
    <row r="59" spans="1:34" ht="14.15" customHeight="1" thickBot="1" x14ac:dyDescent="0.25">
      <c r="A59" s="183" t="s">
        <v>227</v>
      </c>
      <c r="B59" s="184"/>
      <c r="C59" s="185"/>
      <c r="D59" s="186"/>
      <c r="E59" s="187"/>
      <c r="F59" s="83"/>
      <c r="G59" s="188" t="s">
        <v>255</v>
      </c>
      <c r="H59" s="188"/>
      <c r="I59" s="84"/>
      <c r="J59" s="189" t="str">
        <f>+IF(ISERROR(過不足調整単価*過不足調整時間),"",過不足調整単価*過不足調整時間)</f>
        <v/>
      </c>
      <c r="K59" s="190"/>
      <c r="L59" s="191"/>
      <c r="M59" s="4"/>
      <c r="N59" s="154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95">
        <f ca="1">+SUM(AB17:AB47)+G51*7.5+AB59</f>
        <v>165</v>
      </c>
    </row>
    <row r="60" spans="1:34" ht="14.15" customHeight="1" thickTop="1" x14ac:dyDescent="0.2">
      <c r="A60" s="145"/>
      <c r="B60" s="146"/>
      <c r="C60" s="147"/>
      <c r="D60" s="148" t="s">
        <v>148</v>
      </c>
      <c r="E60" s="149"/>
      <c r="F60" s="149"/>
      <c r="G60" s="149"/>
      <c r="H60" s="149"/>
      <c r="I60" s="150"/>
      <c r="J60" s="151" t="e">
        <f ca="1">IF(給与体系="時給制",SUM(基本給:L59),SUM(J56:L59))</f>
        <v>#DIV/0!</v>
      </c>
      <c r="K60" s="152"/>
      <c r="L60" s="153"/>
      <c r="M60" s="4"/>
      <c r="N60" s="154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6"/>
      <c r="AB60" t="s">
        <v>229</v>
      </c>
    </row>
    <row r="61" spans="1:34" ht="14.15" customHeight="1" x14ac:dyDescent="0.2">
      <c r="A61" s="157" t="s">
        <v>137</v>
      </c>
      <c r="B61" s="158" t="s">
        <v>182</v>
      </c>
      <c r="C61" s="159"/>
      <c r="D61" s="160">
        <f>'4月'!D61</f>
        <v>0</v>
      </c>
      <c r="E61" s="161"/>
      <c r="F61" s="161"/>
      <c r="G61" s="161"/>
      <c r="H61" s="161"/>
      <c r="I61" s="162"/>
      <c r="J61" s="126">
        <f>'4月'!手当１金額</f>
        <v>0</v>
      </c>
      <c r="K61" s="127"/>
      <c r="L61" s="128"/>
      <c r="M61" s="4"/>
      <c r="N61" s="115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7"/>
      <c r="AB61" t="s">
        <v>232</v>
      </c>
      <c r="AC61" t="s">
        <v>235</v>
      </c>
    </row>
    <row r="62" spans="1:34" ht="14.15" customHeight="1" x14ac:dyDescent="0.2">
      <c r="A62" s="157"/>
      <c r="B62" s="163" t="s">
        <v>183</v>
      </c>
      <c r="C62" s="120"/>
      <c r="D62" s="133"/>
      <c r="E62" s="134"/>
      <c r="F62" s="134"/>
      <c r="G62" s="134"/>
      <c r="H62" s="134"/>
      <c r="I62" s="135"/>
      <c r="J62" s="126"/>
      <c r="K62" s="127"/>
      <c r="L62" s="128"/>
      <c r="M62" s="4"/>
      <c r="N62" s="115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7"/>
      <c r="AB62" t="s">
        <v>239</v>
      </c>
      <c r="AC62" t="s">
        <v>236</v>
      </c>
    </row>
    <row r="63" spans="1:34" ht="14.15" customHeight="1" x14ac:dyDescent="0.2">
      <c r="A63" s="157"/>
      <c r="B63" s="164"/>
      <c r="C63" s="165"/>
      <c r="D63" s="133"/>
      <c r="E63" s="134"/>
      <c r="F63" s="134"/>
      <c r="G63" s="134"/>
      <c r="H63" s="134"/>
      <c r="I63" s="135"/>
      <c r="J63" s="126"/>
      <c r="K63" s="127"/>
      <c r="L63" s="128"/>
      <c r="M63" s="4"/>
      <c r="N63" s="115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7"/>
      <c r="AB63" t="s">
        <v>245</v>
      </c>
      <c r="AC63" t="s">
        <v>249</v>
      </c>
    </row>
    <row r="64" spans="1:34" ht="14.15" customHeight="1" x14ac:dyDescent="0.2">
      <c r="A64" s="157"/>
      <c r="B64" s="166"/>
      <c r="C64" s="123"/>
      <c r="D64" s="133"/>
      <c r="E64" s="134"/>
      <c r="F64" s="134"/>
      <c r="G64" s="134"/>
      <c r="H64" s="134"/>
      <c r="I64" s="135"/>
      <c r="J64" s="126"/>
      <c r="K64" s="127"/>
      <c r="L64" s="128"/>
      <c r="M64" s="4"/>
      <c r="N64" s="115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7"/>
      <c r="AB64" t="s">
        <v>247</v>
      </c>
      <c r="AC64" t="s">
        <v>237</v>
      </c>
    </row>
    <row r="65" spans="1:29" ht="14.15" customHeight="1" x14ac:dyDescent="0.2">
      <c r="A65" s="136" t="s">
        <v>28</v>
      </c>
      <c r="B65" s="137"/>
      <c r="C65" s="137"/>
      <c r="D65" s="137"/>
      <c r="E65" s="137"/>
      <c r="F65" s="137"/>
      <c r="G65" s="137"/>
      <c r="H65" s="137"/>
      <c r="I65" s="138"/>
      <c r="J65" s="139" t="e">
        <f ca="1">J60+SUM(J62:L64)</f>
        <v>#DIV/0!</v>
      </c>
      <c r="K65" s="140"/>
      <c r="L65" s="141"/>
      <c r="M65" s="4"/>
      <c r="N65" s="142" t="str">
        <f>+IF('4月'!J66=0," ※前月の通勤費がゼロのため通勤交通費が表示されない","")</f>
        <v xml:space="preserve"> ※前月の通勤費がゼロのため通勤交通費が表示されない</v>
      </c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4"/>
    </row>
    <row r="66" spans="1:29" ht="14.15" customHeight="1" x14ac:dyDescent="0.2">
      <c r="A66" s="132" t="s">
        <v>169</v>
      </c>
      <c r="B66" s="124"/>
      <c r="C66" s="124"/>
      <c r="D66" s="124"/>
      <c r="E66" s="124"/>
      <c r="F66" s="124"/>
      <c r="G66" s="124"/>
      <c r="H66" s="124"/>
      <c r="I66" s="125"/>
      <c r="J66" s="126">
        <f>+'9月'!$J$66</f>
        <v>0</v>
      </c>
      <c r="K66" s="127"/>
      <c r="L66" s="128"/>
      <c r="M66" s="4"/>
      <c r="N66" s="115" t="str">
        <f>+IF(C51=0," ※出勤がないため通勤交通費の支給は無し","")</f>
        <v xml:space="preserve"> ※出勤がないため通勤交通費の支給は無し</v>
      </c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7"/>
      <c r="AB66" t="s">
        <v>246</v>
      </c>
      <c r="AC66" t="s">
        <v>253</v>
      </c>
    </row>
    <row r="67" spans="1:29" ht="14.15" customHeight="1" x14ac:dyDescent="0.2">
      <c r="A67" s="132" t="s">
        <v>141</v>
      </c>
      <c r="B67" s="124"/>
      <c r="C67" s="125"/>
      <c r="D67" s="124" t="s">
        <v>138</v>
      </c>
      <c r="E67" s="124"/>
      <c r="F67" s="124"/>
      <c r="G67" s="124"/>
      <c r="H67" s="124"/>
      <c r="I67" s="125"/>
      <c r="J67" s="126">
        <v>0</v>
      </c>
      <c r="K67" s="127"/>
      <c r="L67" s="128"/>
      <c r="N67" s="115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7"/>
      <c r="AB67" t="s">
        <v>248</v>
      </c>
      <c r="AC67" t="s">
        <v>254</v>
      </c>
    </row>
    <row r="68" spans="1:29" ht="14.15" customHeight="1" x14ac:dyDescent="0.2">
      <c r="A68" s="118" t="s">
        <v>140</v>
      </c>
      <c r="B68" s="119"/>
      <c r="C68" s="120"/>
      <c r="D68" s="124" t="s">
        <v>138</v>
      </c>
      <c r="E68" s="124"/>
      <c r="F68" s="124"/>
      <c r="G68" s="124"/>
      <c r="H68" s="124"/>
      <c r="I68" s="125"/>
      <c r="J68" s="126">
        <v>0</v>
      </c>
      <c r="K68" s="127"/>
      <c r="L68" s="128"/>
      <c r="N68" s="115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7"/>
    </row>
    <row r="69" spans="1:29" ht="13.5" customHeight="1" x14ac:dyDescent="0.2">
      <c r="A69" s="121"/>
      <c r="B69" s="122"/>
      <c r="C69" s="123"/>
      <c r="D69" s="124" t="s">
        <v>139</v>
      </c>
      <c r="E69" s="124"/>
      <c r="F69" s="124"/>
      <c r="G69" s="124"/>
      <c r="H69" s="124"/>
      <c r="I69" s="125"/>
      <c r="J69" s="129"/>
      <c r="K69" s="130"/>
      <c r="L69" s="131"/>
      <c r="N69" s="115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7"/>
      <c r="AB69" t="s">
        <v>240</v>
      </c>
      <c r="AC69" t="s">
        <v>233</v>
      </c>
    </row>
    <row r="70" spans="1:29" ht="14.15" customHeight="1" thickBot="1" x14ac:dyDescent="0.25">
      <c r="A70" s="109" t="s">
        <v>31</v>
      </c>
      <c r="B70" s="110"/>
      <c r="C70" s="110"/>
      <c r="D70" s="110"/>
      <c r="E70" s="110"/>
      <c r="F70" s="110"/>
      <c r="G70" s="110"/>
      <c r="H70" s="110"/>
      <c r="I70" s="111"/>
      <c r="J70" s="112" t="e">
        <f ca="1">SUM(J65:L69)</f>
        <v>#DIV/0!</v>
      </c>
      <c r="K70" s="113"/>
      <c r="L70" s="114"/>
      <c r="N70" s="115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7"/>
      <c r="AB70" t="s">
        <v>242</v>
      </c>
      <c r="AC70" t="s">
        <v>241</v>
      </c>
    </row>
    <row r="71" spans="1:29" ht="13.5" thickTop="1" x14ac:dyDescent="0.2">
      <c r="T71">
        <v>0</v>
      </c>
      <c r="AB71" t="s">
        <v>230</v>
      </c>
      <c r="AC71" t="s">
        <v>231</v>
      </c>
    </row>
    <row r="73" spans="1:29" x14ac:dyDescent="0.2">
      <c r="AB73" t="s">
        <v>228</v>
      </c>
    </row>
    <row r="74" spans="1:29" x14ac:dyDescent="0.2">
      <c r="AB74" t="s">
        <v>232</v>
      </c>
      <c r="AC74" t="s">
        <v>234</v>
      </c>
    </row>
    <row r="75" spans="1:29" x14ac:dyDescent="0.2">
      <c r="AB75" t="s">
        <v>239</v>
      </c>
      <c r="AC75" t="s">
        <v>238</v>
      </c>
    </row>
    <row r="76" spans="1:29" x14ac:dyDescent="0.2">
      <c r="AB76" t="s">
        <v>245</v>
      </c>
      <c r="AC76" t="s">
        <v>250</v>
      </c>
    </row>
    <row r="79" spans="1:29" x14ac:dyDescent="0.2">
      <c r="AB79" t="s">
        <v>246</v>
      </c>
      <c r="AC79" t="s">
        <v>251</v>
      </c>
    </row>
    <row r="80" spans="1:29" x14ac:dyDescent="0.2">
      <c r="AB80" t="s">
        <v>248</v>
      </c>
      <c r="AC80" t="s">
        <v>252</v>
      </c>
    </row>
    <row r="82" spans="28:29" x14ac:dyDescent="0.2">
      <c r="AB82" t="s">
        <v>240</v>
      </c>
      <c r="AC82" t="s">
        <v>243</v>
      </c>
    </row>
    <row r="83" spans="28:29" x14ac:dyDescent="0.2">
      <c r="AB83" t="s">
        <v>242</v>
      </c>
      <c r="AC83" t="s">
        <v>244</v>
      </c>
    </row>
  </sheetData>
  <dataConsolidate/>
  <mergeCells count="534">
    <mergeCell ref="T9:Z9"/>
    <mergeCell ref="A10:B11"/>
    <mergeCell ref="C10:J11"/>
    <mergeCell ref="T10:Z10"/>
    <mergeCell ref="Y2:Z2"/>
    <mergeCell ref="A3:Z4"/>
    <mergeCell ref="A5:D5"/>
    <mergeCell ref="E5:I6"/>
    <mergeCell ref="A6:D6"/>
    <mergeCell ref="P7:Z7"/>
    <mergeCell ref="N7:O7"/>
    <mergeCell ref="A12:B13"/>
    <mergeCell ref="C12:J13"/>
    <mergeCell ref="A15:B16"/>
    <mergeCell ref="C15:C16"/>
    <mergeCell ref="D15:G15"/>
    <mergeCell ref="H15:I16"/>
    <mergeCell ref="J15:K16"/>
    <mergeCell ref="A8:B9"/>
    <mergeCell ref="C8:J9"/>
    <mergeCell ref="A17:B17"/>
    <mergeCell ref="D17:E17"/>
    <mergeCell ref="F17:G17"/>
    <mergeCell ref="H17:I17"/>
    <mergeCell ref="J17:K17"/>
    <mergeCell ref="L17:M17"/>
    <mergeCell ref="L15:M16"/>
    <mergeCell ref="N15:O16"/>
    <mergeCell ref="P15:Q16"/>
    <mergeCell ref="N17:O17"/>
    <mergeCell ref="P17:Q17"/>
    <mergeCell ref="R17:S17"/>
    <mergeCell ref="T17:U17"/>
    <mergeCell ref="V17:W17"/>
    <mergeCell ref="X17:Z17"/>
    <mergeCell ref="X15:Z16"/>
    <mergeCell ref="AA15:AA16"/>
    <mergeCell ref="D16:E16"/>
    <mergeCell ref="F16:G16"/>
    <mergeCell ref="R15:S16"/>
    <mergeCell ref="T15:U16"/>
    <mergeCell ref="V15:W16"/>
    <mergeCell ref="N18:O18"/>
    <mergeCell ref="P18:Q18"/>
    <mergeCell ref="R18:S18"/>
    <mergeCell ref="T18:U18"/>
    <mergeCell ref="V18:W18"/>
    <mergeCell ref="X18:Z18"/>
    <mergeCell ref="A18:B18"/>
    <mergeCell ref="D18:E18"/>
    <mergeCell ref="F18:G18"/>
    <mergeCell ref="H18:I18"/>
    <mergeCell ref="J18:K18"/>
    <mergeCell ref="L18:M18"/>
    <mergeCell ref="N19:O19"/>
    <mergeCell ref="P19:Q19"/>
    <mergeCell ref="R19:S19"/>
    <mergeCell ref="T19:U19"/>
    <mergeCell ref="V19:W19"/>
    <mergeCell ref="X19:Z19"/>
    <mergeCell ref="A19:B19"/>
    <mergeCell ref="D19:E19"/>
    <mergeCell ref="F19:G19"/>
    <mergeCell ref="H19:I19"/>
    <mergeCell ref="J19:K19"/>
    <mergeCell ref="L19:M19"/>
    <mergeCell ref="N20:O20"/>
    <mergeCell ref="P20:Q20"/>
    <mergeCell ref="R20:S20"/>
    <mergeCell ref="T20:U20"/>
    <mergeCell ref="V20:W20"/>
    <mergeCell ref="X20:Z20"/>
    <mergeCell ref="A20:B20"/>
    <mergeCell ref="D20:E20"/>
    <mergeCell ref="F20:G20"/>
    <mergeCell ref="H20:I20"/>
    <mergeCell ref="J20:K20"/>
    <mergeCell ref="L20:M20"/>
    <mergeCell ref="N21:O21"/>
    <mergeCell ref="P21:Q21"/>
    <mergeCell ref="R21:S21"/>
    <mergeCell ref="T21:U21"/>
    <mergeCell ref="V21:W21"/>
    <mergeCell ref="X21:Z21"/>
    <mergeCell ref="A21:B21"/>
    <mergeCell ref="D21:E21"/>
    <mergeCell ref="F21:G21"/>
    <mergeCell ref="H21:I21"/>
    <mergeCell ref="J21:K21"/>
    <mergeCell ref="L21:M21"/>
    <mergeCell ref="N22:O22"/>
    <mergeCell ref="P22:Q22"/>
    <mergeCell ref="R22:S22"/>
    <mergeCell ref="T22:U22"/>
    <mergeCell ref="V22:W22"/>
    <mergeCell ref="X22:Z22"/>
    <mergeCell ref="A22:B22"/>
    <mergeCell ref="D22:E22"/>
    <mergeCell ref="F22:G22"/>
    <mergeCell ref="H22:I22"/>
    <mergeCell ref="J22:K22"/>
    <mergeCell ref="L22:M22"/>
    <mergeCell ref="N23:O23"/>
    <mergeCell ref="P23:Q23"/>
    <mergeCell ref="R23:S23"/>
    <mergeCell ref="T23:U23"/>
    <mergeCell ref="V23:W23"/>
    <mergeCell ref="X23:Z23"/>
    <mergeCell ref="A23:B23"/>
    <mergeCell ref="D23:E23"/>
    <mergeCell ref="F23:G23"/>
    <mergeCell ref="H23:I23"/>
    <mergeCell ref="J23:K23"/>
    <mergeCell ref="L23:M23"/>
    <mergeCell ref="N24:O24"/>
    <mergeCell ref="P24:Q24"/>
    <mergeCell ref="R24:S24"/>
    <mergeCell ref="T24:U24"/>
    <mergeCell ref="V24:W24"/>
    <mergeCell ref="X24:Z24"/>
    <mergeCell ref="A24:B24"/>
    <mergeCell ref="D24:E24"/>
    <mergeCell ref="F24:G24"/>
    <mergeCell ref="H24:I24"/>
    <mergeCell ref="J24:K24"/>
    <mergeCell ref="L24:M24"/>
    <mergeCell ref="N25:O25"/>
    <mergeCell ref="P25:Q25"/>
    <mergeCell ref="R25:S25"/>
    <mergeCell ref="T25:U25"/>
    <mergeCell ref="V25:W25"/>
    <mergeCell ref="X25:Z25"/>
    <mergeCell ref="A25:B25"/>
    <mergeCell ref="D25:E25"/>
    <mergeCell ref="F25:G25"/>
    <mergeCell ref="H25:I25"/>
    <mergeCell ref="J25:K25"/>
    <mergeCell ref="L25:M25"/>
    <mergeCell ref="N26:O26"/>
    <mergeCell ref="P26:Q26"/>
    <mergeCell ref="R26:S26"/>
    <mergeCell ref="T26:U26"/>
    <mergeCell ref="V26:W26"/>
    <mergeCell ref="X26:Z26"/>
    <mergeCell ref="A26:B26"/>
    <mergeCell ref="D26:E26"/>
    <mergeCell ref="F26:G26"/>
    <mergeCell ref="H26:I26"/>
    <mergeCell ref="J26:K26"/>
    <mergeCell ref="L26:M26"/>
    <mergeCell ref="N27:O27"/>
    <mergeCell ref="P27:Q27"/>
    <mergeCell ref="R27:S27"/>
    <mergeCell ref="T27:U27"/>
    <mergeCell ref="V27:W27"/>
    <mergeCell ref="X27:Z27"/>
    <mergeCell ref="A27:B27"/>
    <mergeCell ref="D27:E27"/>
    <mergeCell ref="F27:G27"/>
    <mergeCell ref="H27:I27"/>
    <mergeCell ref="J27:K27"/>
    <mergeCell ref="L27:M27"/>
    <mergeCell ref="N28:O28"/>
    <mergeCell ref="P28:Q28"/>
    <mergeCell ref="R28:S28"/>
    <mergeCell ref="T28:U28"/>
    <mergeCell ref="V28:W28"/>
    <mergeCell ref="X28:Z28"/>
    <mergeCell ref="A28:B28"/>
    <mergeCell ref="D28:E28"/>
    <mergeCell ref="F28:G28"/>
    <mergeCell ref="H28:I28"/>
    <mergeCell ref="J28:K28"/>
    <mergeCell ref="L28:M28"/>
    <mergeCell ref="N29:O29"/>
    <mergeCell ref="P29:Q29"/>
    <mergeCell ref="R29:S29"/>
    <mergeCell ref="T29:U29"/>
    <mergeCell ref="V29:W29"/>
    <mergeCell ref="X29:Z29"/>
    <mergeCell ref="A29:B29"/>
    <mergeCell ref="D29:E29"/>
    <mergeCell ref="F29:G29"/>
    <mergeCell ref="H29:I29"/>
    <mergeCell ref="J29:K29"/>
    <mergeCell ref="L29:M29"/>
    <mergeCell ref="N30:O30"/>
    <mergeCell ref="P30:Q30"/>
    <mergeCell ref="R30:S30"/>
    <mergeCell ref="T30:U30"/>
    <mergeCell ref="V30:W30"/>
    <mergeCell ref="X30:Z30"/>
    <mergeCell ref="A30:B30"/>
    <mergeCell ref="D30:E30"/>
    <mergeCell ref="F30:G30"/>
    <mergeCell ref="H30:I30"/>
    <mergeCell ref="J30:K30"/>
    <mergeCell ref="L30:M30"/>
    <mergeCell ref="N31:O31"/>
    <mergeCell ref="P31:Q31"/>
    <mergeCell ref="R31:S31"/>
    <mergeCell ref="T31:U31"/>
    <mergeCell ref="V31:W31"/>
    <mergeCell ref="X31:Z31"/>
    <mergeCell ref="A31:B31"/>
    <mergeCell ref="D31:E31"/>
    <mergeCell ref="F31:G31"/>
    <mergeCell ref="H31:I31"/>
    <mergeCell ref="J31:K31"/>
    <mergeCell ref="L31:M31"/>
    <mergeCell ref="N32:O32"/>
    <mergeCell ref="P32:Q32"/>
    <mergeCell ref="R32:S32"/>
    <mergeCell ref="T32:U32"/>
    <mergeCell ref="V32:W32"/>
    <mergeCell ref="X32:Z32"/>
    <mergeCell ref="A32:B32"/>
    <mergeCell ref="D32:E32"/>
    <mergeCell ref="F32:G32"/>
    <mergeCell ref="H32:I32"/>
    <mergeCell ref="J32:K32"/>
    <mergeCell ref="L32:M32"/>
    <mergeCell ref="N33:O33"/>
    <mergeCell ref="P33:Q33"/>
    <mergeCell ref="R33:S33"/>
    <mergeCell ref="T33:U33"/>
    <mergeCell ref="V33:W33"/>
    <mergeCell ref="X33:Z33"/>
    <mergeCell ref="A33:B33"/>
    <mergeCell ref="D33:E33"/>
    <mergeCell ref="F33:G33"/>
    <mergeCell ref="H33:I33"/>
    <mergeCell ref="J33:K33"/>
    <mergeCell ref="L33:M33"/>
    <mergeCell ref="N34:O34"/>
    <mergeCell ref="P34:Q34"/>
    <mergeCell ref="R34:S34"/>
    <mergeCell ref="T34:U34"/>
    <mergeCell ref="V34:W34"/>
    <mergeCell ref="X34:Z34"/>
    <mergeCell ref="A34:B34"/>
    <mergeCell ref="D34:E34"/>
    <mergeCell ref="F34:G34"/>
    <mergeCell ref="H34:I34"/>
    <mergeCell ref="J34:K34"/>
    <mergeCell ref="L34:M34"/>
    <mergeCell ref="N35:O35"/>
    <mergeCell ref="P35:Q35"/>
    <mergeCell ref="R35:S35"/>
    <mergeCell ref="T35:U35"/>
    <mergeCell ref="V35:W35"/>
    <mergeCell ref="X35:Z35"/>
    <mergeCell ref="A35:B35"/>
    <mergeCell ref="D35:E35"/>
    <mergeCell ref="F35:G35"/>
    <mergeCell ref="H35:I35"/>
    <mergeCell ref="J35:K35"/>
    <mergeCell ref="L35:M35"/>
    <mergeCell ref="N36:O36"/>
    <mergeCell ref="P36:Q36"/>
    <mergeCell ref="R36:S36"/>
    <mergeCell ref="T36:U36"/>
    <mergeCell ref="V36:W36"/>
    <mergeCell ref="X36:Z36"/>
    <mergeCell ref="A36:B36"/>
    <mergeCell ref="D36:E36"/>
    <mergeCell ref="F36:G36"/>
    <mergeCell ref="H36:I36"/>
    <mergeCell ref="J36:K36"/>
    <mergeCell ref="L36:M36"/>
    <mergeCell ref="N37:O37"/>
    <mergeCell ref="P37:Q37"/>
    <mergeCell ref="R37:S37"/>
    <mergeCell ref="T37:U37"/>
    <mergeCell ref="V37:W37"/>
    <mergeCell ref="X37:Z37"/>
    <mergeCell ref="A37:B37"/>
    <mergeCell ref="D37:E37"/>
    <mergeCell ref="F37:G37"/>
    <mergeCell ref="H37:I37"/>
    <mergeCell ref="J37:K37"/>
    <mergeCell ref="L37:M37"/>
    <mergeCell ref="N38:O38"/>
    <mergeCell ref="P38:Q38"/>
    <mergeCell ref="R38:S38"/>
    <mergeCell ref="T38:U38"/>
    <mergeCell ref="V38:W38"/>
    <mergeCell ref="X38:Z38"/>
    <mergeCell ref="A38:B38"/>
    <mergeCell ref="D38:E38"/>
    <mergeCell ref="F38:G38"/>
    <mergeCell ref="H38:I38"/>
    <mergeCell ref="J38:K38"/>
    <mergeCell ref="L38:M38"/>
    <mergeCell ref="N39:O39"/>
    <mergeCell ref="P39:Q39"/>
    <mergeCell ref="R39:S39"/>
    <mergeCell ref="T39:U39"/>
    <mergeCell ref="V39:W39"/>
    <mergeCell ref="X39:Z39"/>
    <mergeCell ref="A39:B39"/>
    <mergeCell ref="D39:E39"/>
    <mergeCell ref="F39:G39"/>
    <mergeCell ref="H39:I39"/>
    <mergeCell ref="J39:K39"/>
    <mergeCell ref="L39:M39"/>
    <mergeCell ref="N40:O40"/>
    <mergeCell ref="P40:Q40"/>
    <mergeCell ref="R40:S40"/>
    <mergeCell ref="T40:U40"/>
    <mergeCell ref="V40:W40"/>
    <mergeCell ref="X40:Z40"/>
    <mergeCell ref="A40:B40"/>
    <mergeCell ref="D40:E40"/>
    <mergeCell ref="F40:G40"/>
    <mergeCell ref="H40:I40"/>
    <mergeCell ref="J40:K40"/>
    <mergeCell ref="L40:M40"/>
    <mergeCell ref="N41:O41"/>
    <mergeCell ref="P41:Q41"/>
    <mergeCell ref="R41:S41"/>
    <mergeCell ref="T41:U41"/>
    <mergeCell ref="V41:W41"/>
    <mergeCell ref="X41:Z41"/>
    <mergeCell ref="A41:B41"/>
    <mergeCell ref="D41:E41"/>
    <mergeCell ref="F41:G41"/>
    <mergeCell ref="H41:I41"/>
    <mergeCell ref="J41:K41"/>
    <mergeCell ref="L41:M41"/>
    <mergeCell ref="N42:O42"/>
    <mergeCell ref="P42:Q42"/>
    <mergeCell ref="R42:S42"/>
    <mergeCell ref="T42:U42"/>
    <mergeCell ref="V42:W42"/>
    <mergeCell ref="X42:Z42"/>
    <mergeCell ref="A42:B42"/>
    <mergeCell ref="D42:E42"/>
    <mergeCell ref="F42:G42"/>
    <mergeCell ref="H42:I42"/>
    <mergeCell ref="J42:K42"/>
    <mergeCell ref="L42:M42"/>
    <mergeCell ref="N43:O43"/>
    <mergeCell ref="P43:Q43"/>
    <mergeCell ref="R43:S43"/>
    <mergeCell ref="T43:U43"/>
    <mergeCell ref="V43:W43"/>
    <mergeCell ref="X43:Z43"/>
    <mergeCell ref="A43:B43"/>
    <mergeCell ref="D43:E43"/>
    <mergeCell ref="F43:G43"/>
    <mergeCell ref="H43:I43"/>
    <mergeCell ref="J43:K43"/>
    <mergeCell ref="L43:M43"/>
    <mergeCell ref="N44:O44"/>
    <mergeCell ref="P44:Q44"/>
    <mergeCell ref="R44:S44"/>
    <mergeCell ref="T44:U44"/>
    <mergeCell ref="V44:W44"/>
    <mergeCell ref="X44:Z44"/>
    <mergeCell ref="A44:B44"/>
    <mergeCell ref="D44:E44"/>
    <mergeCell ref="F44:G44"/>
    <mergeCell ref="H44:I44"/>
    <mergeCell ref="J44:K44"/>
    <mergeCell ref="L44:M44"/>
    <mergeCell ref="N45:O45"/>
    <mergeCell ref="P45:Q45"/>
    <mergeCell ref="R45:S45"/>
    <mergeCell ref="T45:U45"/>
    <mergeCell ref="V45:W45"/>
    <mergeCell ref="X45:Z45"/>
    <mergeCell ref="A45:B45"/>
    <mergeCell ref="D45:E45"/>
    <mergeCell ref="F45:G45"/>
    <mergeCell ref="H45:I45"/>
    <mergeCell ref="J45:K45"/>
    <mergeCell ref="L45:M45"/>
    <mergeCell ref="N46:O46"/>
    <mergeCell ref="P46:Q46"/>
    <mergeCell ref="R46:S46"/>
    <mergeCell ref="T46:U46"/>
    <mergeCell ref="V46:W46"/>
    <mergeCell ref="X46:Z46"/>
    <mergeCell ref="A46:B46"/>
    <mergeCell ref="D46:E46"/>
    <mergeCell ref="F46:G46"/>
    <mergeCell ref="H46:I46"/>
    <mergeCell ref="J46:K46"/>
    <mergeCell ref="L46:M46"/>
    <mergeCell ref="N47:O47"/>
    <mergeCell ref="P47:Q47"/>
    <mergeCell ref="R47:S47"/>
    <mergeCell ref="T47:U47"/>
    <mergeCell ref="V47:W47"/>
    <mergeCell ref="X47:Z47"/>
    <mergeCell ref="A47:B47"/>
    <mergeCell ref="D47:E47"/>
    <mergeCell ref="F47:G47"/>
    <mergeCell ref="H47:I47"/>
    <mergeCell ref="J47:K47"/>
    <mergeCell ref="L47:M47"/>
    <mergeCell ref="N48:O48"/>
    <mergeCell ref="P48:Q48"/>
    <mergeCell ref="R48:S48"/>
    <mergeCell ref="T48:U48"/>
    <mergeCell ref="V48:W48"/>
    <mergeCell ref="X48:Z48"/>
    <mergeCell ref="A48:B48"/>
    <mergeCell ref="D48:E48"/>
    <mergeCell ref="F48:G48"/>
    <mergeCell ref="H48:I48"/>
    <mergeCell ref="J48:K48"/>
    <mergeCell ref="L48:M48"/>
    <mergeCell ref="Y52:Z52"/>
    <mergeCell ref="A52:E52"/>
    <mergeCell ref="F52:H52"/>
    <mergeCell ref="I52:J52"/>
    <mergeCell ref="V49:W49"/>
    <mergeCell ref="X49:Z49"/>
    <mergeCell ref="A50:K50"/>
    <mergeCell ref="L50:M50"/>
    <mergeCell ref="N50:O50"/>
    <mergeCell ref="P50:Q50"/>
    <mergeCell ref="R50:S50"/>
    <mergeCell ref="T50:U50"/>
    <mergeCell ref="V50:W50"/>
    <mergeCell ref="X50:Z50"/>
    <mergeCell ref="A49:K49"/>
    <mergeCell ref="L49:M49"/>
    <mergeCell ref="N49:O49"/>
    <mergeCell ref="P49:Q49"/>
    <mergeCell ref="R49:S49"/>
    <mergeCell ref="T49:U49"/>
    <mergeCell ref="K52:L52"/>
    <mergeCell ref="M52:N52"/>
    <mergeCell ref="O52:P52"/>
    <mergeCell ref="Q52:R52"/>
    <mergeCell ref="AE50:AF50"/>
    <mergeCell ref="A51:B51"/>
    <mergeCell ref="C51:D51"/>
    <mergeCell ref="E51:F51"/>
    <mergeCell ref="G51:H51"/>
    <mergeCell ref="I51:J51"/>
    <mergeCell ref="K51:L51"/>
    <mergeCell ref="M51:N51"/>
    <mergeCell ref="O51:P51"/>
    <mergeCell ref="Q51:R51"/>
    <mergeCell ref="S51:T51"/>
    <mergeCell ref="U51:V51"/>
    <mergeCell ref="W51:X51"/>
    <mergeCell ref="Y51:Z51"/>
    <mergeCell ref="Q56:T56"/>
    <mergeCell ref="Y53:Z53"/>
    <mergeCell ref="Y54:Z54"/>
    <mergeCell ref="A55:C55"/>
    <mergeCell ref="D55:E55"/>
    <mergeCell ref="G55:H55"/>
    <mergeCell ref="J55:L55"/>
    <mergeCell ref="N55:P55"/>
    <mergeCell ref="Q55:T55"/>
    <mergeCell ref="A54:C54"/>
    <mergeCell ref="D54:E54"/>
    <mergeCell ref="G54:H54"/>
    <mergeCell ref="J54:L54"/>
    <mergeCell ref="N54:P54"/>
    <mergeCell ref="Q54:T54"/>
    <mergeCell ref="A53:C53"/>
    <mergeCell ref="D53:E53"/>
    <mergeCell ref="G53:H53"/>
    <mergeCell ref="J53:L53"/>
    <mergeCell ref="S52:T52"/>
    <mergeCell ref="U52:V52"/>
    <mergeCell ref="W52:X52"/>
    <mergeCell ref="A58:C58"/>
    <mergeCell ref="D58:E58"/>
    <mergeCell ref="G58:H58"/>
    <mergeCell ref="J58:L58"/>
    <mergeCell ref="N58:Z58"/>
    <mergeCell ref="A59:C59"/>
    <mergeCell ref="D59:E59"/>
    <mergeCell ref="G59:H59"/>
    <mergeCell ref="J59:L59"/>
    <mergeCell ref="N59:Z59"/>
    <mergeCell ref="A57:C57"/>
    <mergeCell ref="D57:E57"/>
    <mergeCell ref="G57:H57"/>
    <mergeCell ref="J57:L57"/>
    <mergeCell ref="N57:O57"/>
    <mergeCell ref="P57:W57"/>
    <mergeCell ref="A56:C56"/>
    <mergeCell ref="D56:E56"/>
    <mergeCell ref="G56:H56"/>
    <mergeCell ref="J56:L56"/>
    <mergeCell ref="N56:P56"/>
    <mergeCell ref="D62:I62"/>
    <mergeCell ref="J62:L62"/>
    <mergeCell ref="N62:Z62"/>
    <mergeCell ref="D63:I63"/>
    <mergeCell ref="J63:L63"/>
    <mergeCell ref="N63:Z63"/>
    <mergeCell ref="A60:C60"/>
    <mergeCell ref="D60:I60"/>
    <mergeCell ref="J60:L60"/>
    <mergeCell ref="N60:Z60"/>
    <mergeCell ref="A61:A64"/>
    <mergeCell ref="B61:C61"/>
    <mergeCell ref="D61:I61"/>
    <mergeCell ref="J61:L61"/>
    <mergeCell ref="N61:Z61"/>
    <mergeCell ref="B62:C64"/>
    <mergeCell ref="A66:I66"/>
    <mergeCell ref="J66:L66"/>
    <mergeCell ref="N66:Z66"/>
    <mergeCell ref="A67:C67"/>
    <mergeCell ref="D67:I67"/>
    <mergeCell ref="J67:L67"/>
    <mergeCell ref="N67:Z67"/>
    <mergeCell ref="D64:I64"/>
    <mergeCell ref="J64:L64"/>
    <mergeCell ref="N64:Z64"/>
    <mergeCell ref="A65:I65"/>
    <mergeCell ref="J65:L65"/>
    <mergeCell ref="N65:Z65"/>
    <mergeCell ref="A70:I70"/>
    <mergeCell ref="J70:L70"/>
    <mergeCell ref="N70:Z70"/>
    <mergeCell ref="A68:C69"/>
    <mergeCell ref="D68:I68"/>
    <mergeCell ref="J68:L68"/>
    <mergeCell ref="N68:Z68"/>
    <mergeCell ref="D69:I69"/>
    <mergeCell ref="J69:L69"/>
    <mergeCell ref="N69:Z69"/>
  </mergeCells>
  <phoneticPr fontId="3"/>
  <conditionalFormatting sqref="A17:AA47">
    <cfRule type="expression" dxfId="2197" priority="314" stopIfTrue="1">
      <formula>$X17="所休"</formula>
    </cfRule>
    <cfRule type="expression" dxfId="2196" priority="313">
      <formula>$X17="法休"</formula>
    </cfRule>
  </conditionalFormatting>
  <conditionalFormatting sqref="J17:K17">
    <cfRule type="cellIs" dxfId="2195" priority="312" stopIfTrue="1" operator="equal">
      <formula>0</formula>
    </cfRule>
  </conditionalFormatting>
  <conditionalFormatting sqref="L17:M17">
    <cfRule type="cellIs" dxfId="2194" priority="311" stopIfTrue="1" operator="equal">
      <formula>0</formula>
    </cfRule>
  </conditionalFormatting>
  <conditionalFormatting sqref="N17:O17">
    <cfRule type="cellIs" dxfId="2193" priority="310" stopIfTrue="1" operator="equal">
      <formula>0</formula>
    </cfRule>
  </conditionalFormatting>
  <conditionalFormatting sqref="P17:Q17">
    <cfRule type="cellIs" dxfId="2192" priority="309" stopIfTrue="1" operator="equal">
      <formula>0</formula>
    </cfRule>
  </conditionalFormatting>
  <conditionalFormatting sqref="R17:S17">
    <cfRule type="cellIs" dxfId="2191" priority="308" stopIfTrue="1" operator="equal">
      <formula>0</formula>
    </cfRule>
  </conditionalFormatting>
  <conditionalFormatting sqref="T17:U17">
    <cfRule type="cellIs" dxfId="2190" priority="307" stopIfTrue="1" operator="equal">
      <formula>0</formula>
    </cfRule>
  </conditionalFormatting>
  <conditionalFormatting sqref="V17:W17">
    <cfRule type="cellIs" dxfId="2189" priority="306" stopIfTrue="1" operator="equal">
      <formula>0</formula>
    </cfRule>
  </conditionalFormatting>
  <conditionalFormatting sqref="J18:K18">
    <cfRule type="cellIs" dxfId="2188" priority="305" stopIfTrue="1" operator="equal">
      <formula>0</formula>
    </cfRule>
  </conditionalFormatting>
  <conditionalFormatting sqref="L18:M18">
    <cfRule type="cellIs" dxfId="2187" priority="304" stopIfTrue="1" operator="equal">
      <formula>0</formula>
    </cfRule>
  </conditionalFormatting>
  <conditionalFormatting sqref="N18:O18">
    <cfRule type="cellIs" dxfId="2186" priority="303" stopIfTrue="1" operator="equal">
      <formula>0</formula>
    </cfRule>
  </conditionalFormatting>
  <conditionalFormatting sqref="P18:Q18">
    <cfRule type="cellIs" dxfId="2185" priority="302" stopIfTrue="1" operator="equal">
      <formula>0</formula>
    </cfRule>
  </conditionalFormatting>
  <conditionalFormatting sqref="R18:S18">
    <cfRule type="cellIs" dxfId="2184" priority="301" stopIfTrue="1" operator="equal">
      <formula>0</formula>
    </cfRule>
  </conditionalFormatting>
  <conditionalFormatting sqref="T18:U18">
    <cfRule type="cellIs" dxfId="2183" priority="300" stopIfTrue="1" operator="equal">
      <formula>0</formula>
    </cfRule>
  </conditionalFormatting>
  <conditionalFormatting sqref="V18:W18">
    <cfRule type="cellIs" dxfId="2182" priority="299" stopIfTrue="1" operator="equal">
      <formula>0</formula>
    </cfRule>
  </conditionalFormatting>
  <conditionalFormatting sqref="J19:K19">
    <cfRule type="cellIs" dxfId="2181" priority="298" stopIfTrue="1" operator="equal">
      <formula>0</formula>
    </cfRule>
  </conditionalFormatting>
  <conditionalFormatting sqref="L19:M19">
    <cfRule type="cellIs" dxfId="2180" priority="297" stopIfTrue="1" operator="equal">
      <formula>0</formula>
    </cfRule>
  </conditionalFormatting>
  <conditionalFormatting sqref="N19:O19">
    <cfRule type="cellIs" dxfId="2179" priority="296" stopIfTrue="1" operator="equal">
      <formula>0</formula>
    </cfRule>
  </conditionalFormatting>
  <conditionalFormatting sqref="P19:Q19">
    <cfRule type="cellIs" dxfId="2178" priority="295" stopIfTrue="1" operator="equal">
      <formula>0</formula>
    </cfRule>
  </conditionalFormatting>
  <conditionalFormatting sqref="R19:S19">
    <cfRule type="cellIs" dxfId="2177" priority="294" stopIfTrue="1" operator="equal">
      <formula>0</formula>
    </cfRule>
  </conditionalFormatting>
  <conditionalFormatting sqref="T19:U19">
    <cfRule type="cellIs" dxfId="2176" priority="293" stopIfTrue="1" operator="equal">
      <formula>0</formula>
    </cfRule>
  </conditionalFormatting>
  <conditionalFormatting sqref="V19:W19">
    <cfRule type="cellIs" dxfId="2175" priority="292" stopIfTrue="1" operator="equal">
      <formula>0</formula>
    </cfRule>
  </conditionalFormatting>
  <conditionalFormatting sqref="J20:K20">
    <cfRule type="cellIs" dxfId="2174" priority="291" stopIfTrue="1" operator="equal">
      <formula>0</formula>
    </cfRule>
  </conditionalFormatting>
  <conditionalFormatting sqref="L20:M20">
    <cfRule type="cellIs" dxfId="2173" priority="290" stopIfTrue="1" operator="equal">
      <formula>0</formula>
    </cfRule>
  </conditionalFormatting>
  <conditionalFormatting sqref="N20:O20">
    <cfRule type="cellIs" dxfId="2172" priority="289" stopIfTrue="1" operator="equal">
      <formula>0</formula>
    </cfRule>
  </conditionalFormatting>
  <conditionalFormatting sqref="P20:Q20">
    <cfRule type="cellIs" dxfId="2171" priority="288" stopIfTrue="1" operator="equal">
      <formula>0</formula>
    </cfRule>
  </conditionalFormatting>
  <conditionalFormatting sqref="R20:S20">
    <cfRule type="cellIs" dxfId="2170" priority="287" stopIfTrue="1" operator="equal">
      <formula>0</formula>
    </cfRule>
  </conditionalFormatting>
  <conditionalFormatting sqref="T20:U20">
    <cfRule type="cellIs" dxfId="2169" priority="286" stopIfTrue="1" operator="equal">
      <formula>0</formula>
    </cfRule>
  </conditionalFormatting>
  <conditionalFormatting sqref="V20:W20">
    <cfRule type="cellIs" dxfId="2168" priority="285" stopIfTrue="1" operator="equal">
      <formula>0</formula>
    </cfRule>
  </conditionalFormatting>
  <conditionalFormatting sqref="J21:K21">
    <cfRule type="cellIs" dxfId="2167" priority="284" stopIfTrue="1" operator="equal">
      <formula>0</formula>
    </cfRule>
  </conditionalFormatting>
  <conditionalFormatting sqref="L21:M21">
    <cfRule type="cellIs" dxfId="2166" priority="283" stopIfTrue="1" operator="equal">
      <formula>0</formula>
    </cfRule>
  </conditionalFormatting>
  <conditionalFormatting sqref="N21:O21">
    <cfRule type="cellIs" dxfId="2165" priority="282" stopIfTrue="1" operator="equal">
      <formula>0</formula>
    </cfRule>
  </conditionalFormatting>
  <conditionalFormatting sqref="P21:Q21">
    <cfRule type="cellIs" dxfId="2164" priority="281" stopIfTrue="1" operator="equal">
      <formula>0</formula>
    </cfRule>
  </conditionalFormatting>
  <conditionalFormatting sqref="R21:S21">
    <cfRule type="cellIs" dxfId="2163" priority="280" stopIfTrue="1" operator="equal">
      <formula>0</formula>
    </cfRule>
  </conditionalFormatting>
  <conditionalFormatting sqref="T21:U21">
    <cfRule type="cellIs" dxfId="2162" priority="279" stopIfTrue="1" operator="equal">
      <formula>0</formula>
    </cfRule>
  </conditionalFormatting>
  <conditionalFormatting sqref="V21:W21">
    <cfRule type="cellIs" dxfId="2161" priority="278" stopIfTrue="1" operator="equal">
      <formula>0</formula>
    </cfRule>
  </conditionalFormatting>
  <conditionalFormatting sqref="J22:K22">
    <cfRule type="cellIs" dxfId="2160" priority="277" stopIfTrue="1" operator="equal">
      <formula>0</formula>
    </cfRule>
  </conditionalFormatting>
  <conditionalFormatting sqref="L22:M22">
    <cfRule type="cellIs" dxfId="2159" priority="276" stopIfTrue="1" operator="equal">
      <formula>0</formula>
    </cfRule>
  </conditionalFormatting>
  <conditionalFormatting sqref="N22:O22">
    <cfRule type="cellIs" dxfId="2158" priority="275" stopIfTrue="1" operator="equal">
      <formula>0</formula>
    </cfRule>
  </conditionalFormatting>
  <conditionalFormatting sqref="P22:Q22">
    <cfRule type="cellIs" dxfId="2157" priority="274" stopIfTrue="1" operator="equal">
      <formula>0</formula>
    </cfRule>
  </conditionalFormatting>
  <conditionalFormatting sqref="R22:S22">
    <cfRule type="cellIs" dxfId="2156" priority="273" stopIfTrue="1" operator="equal">
      <formula>0</formula>
    </cfRule>
  </conditionalFormatting>
  <conditionalFormatting sqref="T22:U22">
    <cfRule type="cellIs" dxfId="2155" priority="272" stopIfTrue="1" operator="equal">
      <formula>0</formula>
    </cfRule>
  </conditionalFormatting>
  <conditionalFormatting sqref="V22:W22">
    <cfRule type="cellIs" dxfId="2154" priority="271" stopIfTrue="1" operator="equal">
      <formula>0</formula>
    </cfRule>
  </conditionalFormatting>
  <conditionalFormatting sqref="J23:K23">
    <cfRule type="cellIs" dxfId="2153" priority="270" stopIfTrue="1" operator="equal">
      <formula>0</formula>
    </cfRule>
  </conditionalFormatting>
  <conditionalFormatting sqref="L23:M23">
    <cfRule type="cellIs" dxfId="2152" priority="269" stopIfTrue="1" operator="equal">
      <formula>0</formula>
    </cfRule>
  </conditionalFormatting>
  <conditionalFormatting sqref="N23:O23">
    <cfRule type="cellIs" dxfId="2151" priority="268" stopIfTrue="1" operator="equal">
      <formula>0</formula>
    </cfRule>
  </conditionalFormatting>
  <conditionalFormatting sqref="P23:Q23">
    <cfRule type="cellIs" dxfId="2150" priority="267" stopIfTrue="1" operator="equal">
      <formula>0</formula>
    </cfRule>
  </conditionalFormatting>
  <conditionalFormatting sqref="R23:S23">
    <cfRule type="cellIs" dxfId="2149" priority="266" stopIfTrue="1" operator="equal">
      <formula>0</formula>
    </cfRule>
  </conditionalFormatting>
  <conditionalFormatting sqref="T23:U23">
    <cfRule type="cellIs" dxfId="2148" priority="265" stopIfTrue="1" operator="equal">
      <formula>0</formula>
    </cfRule>
  </conditionalFormatting>
  <conditionalFormatting sqref="V23:W23">
    <cfRule type="cellIs" dxfId="2147" priority="264" stopIfTrue="1" operator="equal">
      <formula>0</formula>
    </cfRule>
  </conditionalFormatting>
  <conditionalFormatting sqref="J24:K24">
    <cfRule type="cellIs" dxfId="2146" priority="263" stopIfTrue="1" operator="equal">
      <formula>0</formula>
    </cfRule>
  </conditionalFormatting>
  <conditionalFormatting sqref="L24:M24">
    <cfRule type="cellIs" dxfId="2145" priority="262" stopIfTrue="1" operator="equal">
      <formula>0</formula>
    </cfRule>
  </conditionalFormatting>
  <conditionalFormatting sqref="N24:O24">
    <cfRule type="cellIs" dxfId="2144" priority="261" stopIfTrue="1" operator="equal">
      <formula>0</formula>
    </cfRule>
  </conditionalFormatting>
  <conditionalFormatting sqref="P24:Q24">
    <cfRule type="cellIs" dxfId="2143" priority="260" stopIfTrue="1" operator="equal">
      <formula>0</formula>
    </cfRule>
  </conditionalFormatting>
  <conditionalFormatting sqref="R24:S24">
    <cfRule type="cellIs" dxfId="2142" priority="259" stopIfTrue="1" operator="equal">
      <formula>0</formula>
    </cfRule>
  </conditionalFormatting>
  <conditionalFormatting sqref="T24:U24">
    <cfRule type="cellIs" dxfId="2141" priority="258" stopIfTrue="1" operator="equal">
      <formula>0</formula>
    </cfRule>
  </conditionalFormatting>
  <conditionalFormatting sqref="V24:W24">
    <cfRule type="cellIs" dxfId="2140" priority="257" stopIfTrue="1" operator="equal">
      <formula>0</formula>
    </cfRule>
  </conditionalFormatting>
  <conditionalFormatting sqref="J25:K25">
    <cfRule type="cellIs" dxfId="2139" priority="256" stopIfTrue="1" operator="equal">
      <formula>0</formula>
    </cfRule>
  </conditionalFormatting>
  <conditionalFormatting sqref="L25:M25">
    <cfRule type="cellIs" dxfId="2138" priority="255" stopIfTrue="1" operator="equal">
      <formula>0</formula>
    </cfRule>
  </conditionalFormatting>
  <conditionalFormatting sqref="N25:O25">
    <cfRule type="cellIs" dxfId="2137" priority="254" stopIfTrue="1" operator="equal">
      <formula>0</formula>
    </cfRule>
  </conditionalFormatting>
  <conditionalFormatting sqref="P25:Q25">
    <cfRule type="cellIs" dxfId="2136" priority="253" stopIfTrue="1" operator="equal">
      <formula>0</formula>
    </cfRule>
  </conditionalFormatting>
  <conditionalFormatting sqref="R25:S25">
    <cfRule type="cellIs" dxfId="2135" priority="252" stopIfTrue="1" operator="equal">
      <formula>0</formula>
    </cfRule>
  </conditionalFormatting>
  <conditionalFormatting sqref="T25:U25">
    <cfRule type="cellIs" dxfId="2134" priority="251" stopIfTrue="1" operator="equal">
      <formula>0</formula>
    </cfRule>
  </conditionalFormatting>
  <conditionalFormatting sqref="V25:W25">
    <cfRule type="cellIs" dxfId="2133" priority="250" stopIfTrue="1" operator="equal">
      <formula>0</formula>
    </cfRule>
  </conditionalFormatting>
  <conditionalFormatting sqref="J26:K26">
    <cfRule type="cellIs" dxfId="2132" priority="249" stopIfTrue="1" operator="equal">
      <formula>0</formula>
    </cfRule>
  </conditionalFormatting>
  <conditionalFormatting sqref="L26:M26">
    <cfRule type="cellIs" dxfId="2131" priority="248" stopIfTrue="1" operator="equal">
      <formula>0</formula>
    </cfRule>
  </conditionalFormatting>
  <conditionalFormatting sqref="N26:O26">
    <cfRule type="cellIs" dxfId="2130" priority="247" stopIfTrue="1" operator="equal">
      <formula>0</formula>
    </cfRule>
  </conditionalFormatting>
  <conditionalFormatting sqref="P26:Q26">
    <cfRule type="cellIs" dxfId="2129" priority="246" stopIfTrue="1" operator="equal">
      <formula>0</formula>
    </cfRule>
  </conditionalFormatting>
  <conditionalFormatting sqref="R26:S26">
    <cfRule type="cellIs" dxfId="2128" priority="245" stopIfTrue="1" operator="equal">
      <formula>0</formula>
    </cfRule>
  </conditionalFormatting>
  <conditionalFormatting sqref="T26:U26">
    <cfRule type="cellIs" dxfId="2127" priority="244" stopIfTrue="1" operator="equal">
      <formula>0</formula>
    </cfRule>
  </conditionalFormatting>
  <conditionalFormatting sqref="V26:W26">
    <cfRule type="cellIs" dxfId="2126" priority="243" stopIfTrue="1" operator="equal">
      <formula>0</formula>
    </cfRule>
  </conditionalFormatting>
  <conditionalFormatting sqref="J27:K27">
    <cfRule type="cellIs" dxfId="2125" priority="242" stopIfTrue="1" operator="equal">
      <formula>0</formula>
    </cfRule>
  </conditionalFormatting>
  <conditionalFormatting sqref="L27:M27">
    <cfRule type="cellIs" dxfId="2124" priority="241" stopIfTrue="1" operator="equal">
      <formula>0</formula>
    </cfRule>
  </conditionalFormatting>
  <conditionalFormatting sqref="N27:O27">
    <cfRule type="cellIs" dxfId="2123" priority="240" stopIfTrue="1" operator="equal">
      <formula>0</formula>
    </cfRule>
  </conditionalFormatting>
  <conditionalFormatting sqref="P27:Q27">
    <cfRule type="cellIs" dxfId="2122" priority="239" stopIfTrue="1" operator="equal">
      <formula>0</formula>
    </cfRule>
  </conditionalFormatting>
  <conditionalFormatting sqref="R27:S27">
    <cfRule type="cellIs" dxfId="2121" priority="238" stopIfTrue="1" operator="equal">
      <formula>0</formula>
    </cfRule>
  </conditionalFormatting>
  <conditionalFormatting sqref="T27:U27">
    <cfRule type="cellIs" dxfId="2120" priority="237" stopIfTrue="1" operator="equal">
      <formula>0</formula>
    </cfRule>
  </conditionalFormatting>
  <conditionalFormatting sqref="V27:W27">
    <cfRule type="cellIs" dxfId="2119" priority="236" stopIfTrue="1" operator="equal">
      <formula>0</formula>
    </cfRule>
  </conditionalFormatting>
  <conditionalFormatting sqref="J28:K28">
    <cfRule type="cellIs" dxfId="2118" priority="235" stopIfTrue="1" operator="equal">
      <formula>0</formula>
    </cfRule>
  </conditionalFormatting>
  <conditionalFormatting sqref="L28:M28">
    <cfRule type="cellIs" dxfId="2117" priority="234" stopIfTrue="1" operator="equal">
      <formula>0</formula>
    </cfRule>
  </conditionalFormatting>
  <conditionalFormatting sqref="N28:O28">
    <cfRule type="cellIs" dxfId="2116" priority="233" stopIfTrue="1" operator="equal">
      <formula>0</formula>
    </cfRule>
  </conditionalFormatting>
  <conditionalFormatting sqref="P28:Q28">
    <cfRule type="cellIs" dxfId="2115" priority="232" stopIfTrue="1" operator="equal">
      <formula>0</formula>
    </cfRule>
  </conditionalFormatting>
  <conditionalFormatting sqref="R28:S28">
    <cfRule type="cellIs" dxfId="2114" priority="231" stopIfTrue="1" operator="equal">
      <formula>0</formula>
    </cfRule>
  </conditionalFormatting>
  <conditionalFormatting sqref="T28:U28">
    <cfRule type="cellIs" dxfId="2113" priority="230" stopIfTrue="1" operator="equal">
      <formula>0</formula>
    </cfRule>
  </conditionalFormatting>
  <conditionalFormatting sqref="V28:W28">
    <cfRule type="cellIs" dxfId="2112" priority="229" stopIfTrue="1" operator="equal">
      <formula>0</formula>
    </cfRule>
  </conditionalFormatting>
  <conditionalFormatting sqref="J29:K29">
    <cfRule type="cellIs" dxfId="2111" priority="228" stopIfTrue="1" operator="equal">
      <formula>0</formula>
    </cfRule>
  </conditionalFormatting>
  <conditionalFormatting sqref="L29:M29">
    <cfRule type="cellIs" dxfId="2110" priority="227" stopIfTrue="1" operator="equal">
      <formula>0</formula>
    </cfRule>
  </conditionalFormatting>
  <conditionalFormatting sqref="N29:O29">
    <cfRule type="cellIs" dxfId="2109" priority="226" stopIfTrue="1" operator="equal">
      <formula>0</formula>
    </cfRule>
  </conditionalFormatting>
  <conditionalFormatting sqref="P29:Q29">
    <cfRule type="cellIs" dxfId="2108" priority="225" stopIfTrue="1" operator="equal">
      <formula>0</formula>
    </cfRule>
  </conditionalFormatting>
  <conditionalFormatting sqref="R29:S29">
    <cfRule type="cellIs" dxfId="2107" priority="224" stopIfTrue="1" operator="equal">
      <formula>0</formula>
    </cfRule>
  </conditionalFormatting>
  <conditionalFormatting sqref="T29:U29">
    <cfRule type="cellIs" dxfId="2106" priority="223" stopIfTrue="1" operator="equal">
      <formula>0</formula>
    </cfRule>
  </conditionalFormatting>
  <conditionalFormatting sqref="V29:W29">
    <cfRule type="cellIs" dxfId="2105" priority="222" stopIfTrue="1" operator="equal">
      <formula>0</formula>
    </cfRule>
  </conditionalFormatting>
  <conditionalFormatting sqref="J30:K30">
    <cfRule type="cellIs" dxfId="2104" priority="221" stopIfTrue="1" operator="equal">
      <formula>0</formula>
    </cfRule>
  </conditionalFormatting>
  <conditionalFormatting sqref="L30:M30">
    <cfRule type="cellIs" dxfId="2103" priority="220" stopIfTrue="1" operator="equal">
      <formula>0</formula>
    </cfRule>
  </conditionalFormatting>
  <conditionalFormatting sqref="N30:O30">
    <cfRule type="cellIs" dxfId="2102" priority="219" stopIfTrue="1" operator="equal">
      <formula>0</formula>
    </cfRule>
  </conditionalFormatting>
  <conditionalFormatting sqref="P30:Q30">
    <cfRule type="cellIs" dxfId="2101" priority="218" stopIfTrue="1" operator="equal">
      <formula>0</formula>
    </cfRule>
  </conditionalFormatting>
  <conditionalFormatting sqref="R30:S30">
    <cfRule type="cellIs" dxfId="2100" priority="217" stopIfTrue="1" operator="equal">
      <formula>0</formula>
    </cfRule>
  </conditionalFormatting>
  <conditionalFormatting sqref="T30:U30">
    <cfRule type="cellIs" dxfId="2099" priority="216" stopIfTrue="1" operator="equal">
      <formula>0</formula>
    </cfRule>
  </conditionalFormatting>
  <conditionalFormatting sqref="V30:W30">
    <cfRule type="cellIs" dxfId="2098" priority="215" stopIfTrue="1" operator="equal">
      <formula>0</formula>
    </cfRule>
  </conditionalFormatting>
  <conditionalFormatting sqref="J31:K31">
    <cfRule type="cellIs" dxfId="2097" priority="214" stopIfTrue="1" operator="equal">
      <formula>0</formula>
    </cfRule>
  </conditionalFormatting>
  <conditionalFormatting sqref="L31:M31">
    <cfRule type="cellIs" dxfId="2096" priority="213" stopIfTrue="1" operator="equal">
      <formula>0</formula>
    </cfRule>
  </conditionalFormatting>
  <conditionalFormatting sqref="N31:O31">
    <cfRule type="cellIs" dxfId="2095" priority="212" stopIfTrue="1" operator="equal">
      <formula>0</formula>
    </cfRule>
  </conditionalFormatting>
  <conditionalFormatting sqref="P31:Q31">
    <cfRule type="cellIs" dxfId="2094" priority="211" stopIfTrue="1" operator="equal">
      <formula>0</formula>
    </cfRule>
  </conditionalFormatting>
  <conditionalFormatting sqref="R31:S31">
    <cfRule type="cellIs" dxfId="2093" priority="210" stopIfTrue="1" operator="equal">
      <formula>0</formula>
    </cfRule>
  </conditionalFormatting>
  <conditionalFormatting sqref="T31:U31">
    <cfRule type="cellIs" dxfId="2092" priority="209" stopIfTrue="1" operator="equal">
      <formula>0</formula>
    </cfRule>
  </conditionalFormatting>
  <conditionalFormatting sqref="V31:W31">
    <cfRule type="cellIs" dxfId="2091" priority="208" stopIfTrue="1" operator="equal">
      <formula>0</formula>
    </cfRule>
  </conditionalFormatting>
  <conditionalFormatting sqref="J32:K32">
    <cfRule type="cellIs" dxfId="2090" priority="207" stopIfTrue="1" operator="equal">
      <formula>0</formula>
    </cfRule>
  </conditionalFormatting>
  <conditionalFormatting sqref="L32:M32">
    <cfRule type="cellIs" dxfId="2089" priority="206" stopIfTrue="1" operator="equal">
      <formula>0</formula>
    </cfRule>
  </conditionalFormatting>
  <conditionalFormatting sqref="N32:O32">
    <cfRule type="cellIs" dxfId="2088" priority="205" stopIfTrue="1" operator="equal">
      <formula>0</formula>
    </cfRule>
  </conditionalFormatting>
  <conditionalFormatting sqref="P32:Q32">
    <cfRule type="cellIs" dxfId="2087" priority="204" stopIfTrue="1" operator="equal">
      <formula>0</formula>
    </cfRule>
  </conditionalFormatting>
  <conditionalFormatting sqref="R32:S32">
    <cfRule type="cellIs" dxfId="2086" priority="203" stopIfTrue="1" operator="equal">
      <formula>0</formula>
    </cfRule>
  </conditionalFormatting>
  <conditionalFormatting sqref="T32:U32">
    <cfRule type="cellIs" dxfId="2085" priority="202" stopIfTrue="1" operator="equal">
      <formula>0</formula>
    </cfRule>
  </conditionalFormatting>
  <conditionalFormatting sqref="V32:W32">
    <cfRule type="cellIs" dxfId="2084" priority="201" stopIfTrue="1" operator="equal">
      <formula>0</formula>
    </cfRule>
  </conditionalFormatting>
  <conditionalFormatting sqref="J33:K33">
    <cfRule type="cellIs" dxfId="2083" priority="200" stopIfTrue="1" operator="equal">
      <formula>0</formula>
    </cfRule>
  </conditionalFormatting>
  <conditionalFormatting sqref="L33:M33">
    <cfRule type="cellIs" dxfId="2082" priority="199" stopIfTrue="1" operator="equal">
      <formula>0</formula>
    </cfRule>
  </conditionalFormatting>
  <conditionalFormatting sqref="N33:O33">
    <cfRule type="cellIs" dxfId="2081" priority="198" stopIfTrue="1" operator="equal">
      <formula>0</formula>
    </cfRule>
  </conditionalFormatting>
  <conditionalFormatting sqref="P33:Q33">
    <cfRule type="cellIs" dxfId="2080" priority="197" stopIfTrue="1" operator="equal">
      <formula>0</formula>
    </cfRule>
  </conditionalFormatting>
  <conditionalFormatting sqref="R33:S33">
    <cfRule type="cellIs" dxfId="2079" priority="196" stopIfTrue="1" operator="equal">
      <formula>0</formula>
    </cfRule>
  </conditionalFormatting>
  <conditionalFormatting sqref="T33:U33">
    <cfRule type="cellIs" dxfId="2078" priority="195" stopIfTrue="1" operator="equal">
      <formula>0</formula>
    </cfRule>
  </conditionalFormatting>
  <conditionalFormatting sqref="V33:W33">
    <cfRule type="cellIs" dxfId="2077" priority="194" stopIfTrue="1" operator="equal">
      <formula>0</formula>
    </cfRule>
  </conditionalFormatting>
  <conditionalFormatting sqref="J34:K34">
    <cfRule type="cellIs" dxfId="2076" priority="193" stopIfTrue="1" operator="equal">
      <formula>0</formula>
    </cfRule>
  </conditionalFormatting>
  <conditionalFormatting sqref="L34:M34">
    <cfRule type="cellIs" dxfId="2075" priority="192" stopIfTrue="1" operator="equal">
      <formula>0</formula>
    </cfRule>
  </conditionalFormatting>
  <conditionalFormatting sqref="N34:O34">
    <cfRule type="cellIs" dxfId="2074" priority="191" stopIfTrue="1" operator="equal">
      <formula>0</formula>
    </cfRule>
  </conditionalFormatting>
  <conditionalFormatting sqref="P34:Q34">
    <cfRule type="cellIs" dxfId="2073" priority="190" stopIfTrue="1" operator="equal">
      <formula>0</formula>
    </cfRule>
  </conditionalFormatting>
  <conditionalFormatting sqref="R34:S34">
    <cfRule type="cellIs" dxfId="2072" priority="189" stopIfTrue="1" operator="equal">
      <formula>0</formula>
    </cfRule>
  </conditionalFormatting>
  <conditionalFormatting sqref="T34:U34">
    <cfRule type="cellIs" dxfId="2071" priority="188" stopIfTrue="1" operator="equal">
      <formula>0</formula>
    </cfRule>
  </conditionalFormatting>
  <conditionalFormatting sqref="V34:W34">
    <cfRule type="cellIs" dxfId="2070" priority="187" stopIfTrue="1" operator="equal">
      <formula>0</formula>
    </cfRule>
  </conditionalFormatting>
  <conditionalFormatting sqref="J35:K35">
    <cfRule type="cellIs" dxfId="2069" priority="186" stopIfTrue="1" operator="equal">
      <formula>0</formula>
    </cfRule>
  </conditionalFormatting>
  <conditionalFormatting sqref="L35:M35">
    <cfRule type="cellIs" dxfId="2068" priority="185" stopIfTrue="1" operator="equal">
      <formula>0</formula>
    </cfRule>
  </conditionalFormatting>
  <conditionalFormatting sqref="N35:O35">
    <cfRule type="cellIs" dxfId="2067" priority="184" stopIfTrue="1" operator="equal">
      <formula>0</formula>
    </cfRule>
  </conditionalFormatting>
  <conditionalFormatting sqref="P35:Q35">
    <cfRule type="cellIs" dxfId="2066" priority="183" stopIfTrue="1" operator="equal">
      <formula>0</formula>
    </cfRule>
  </conditionalFormatting>
  <conditionalFormatting sqref="R35:S35">
    <cfRule type="cellIs" dxfId="2065" priority="182" stopIfTrue="1" operator="equal">
      <formula>0</formula>
    </cfRule>
  </conditionalFormatting>
  <conditionalFormatting sqref="T35:U35">
    <cfRule type="cellIs" dxfId="2064" priority="181" stopIfTrue="1" operator="equal">
      <formula>0</formula>
    </cfRule>
  </conditionalFormatting>
  <conditionalFormatting sqref="V35:W35">
    <cfRule type="cellIs" dxfId="2063" priority="180" stopIfTrue="1" operator="equal">
      <formula>0</formula>
    </cfRule>
  </conditionalFormatting>
  <conditionalFormatting sqref="J36:K36">
    <cfRule type="cellIs" dxfId="2062" priority="179" stopIfTrue="1" operator="equal">
      <formula>0</formula>
    </cfRule>
  </conditionalFormatting>
  <conditionalFormatting sqref="L36:M36">
    <cfRule type="cellIs" dxfId="2061" priority="178" stopIfTrue="1" operator="equal">
      <formula>0</formula>
    </cfRule>
  </conditionalFormatting>
  <conditionalFormatting sqref="N36:O36">
    <cfRule type="cellIs" dxfId="2060" priority="177" stopIfTrue="1" operator="equal">
      <formula>0</formula>
    </cfRule>
  </conditionalFormatting>
  <conditionalFormatting sqref="P36:Q36">
    <cfRule type="cellIs" dxfId="2059" priority="176" stopIfTrue="1" operator="equal">
      <formula>0</formula>
    </cfRule>
  </conditionalFormatting>
  <conditionalFormatting sqref="R36:S36">
    <cfRule type="cellIs" dxfId="2058" priority="175" stopIfTrue="1" operator="equal">
      <formula>0</formula>
    </cfRule>
  </conditionalFormatting>
  <conditionalFormatting sqref="T36:U36">
    <cfRule type="cellIs" dxfId="2057" priority="174" stopIfTrue="1" operator="equal">
      <formula>0</formula>
    </cfRule>
  </conditionalFormatting>
  <conditionalFormatting sqref="V36:W36">
    <cfRule type="cellIs" dxfId="2056" priority="173" stopIfTrue="1" operator="equal">
      <formula>0</formula>
    </cfRule>
  </conditionalFormatting>
  <conditionalFormatting sqref="J37:K37">
    <cfRule type="cellIs" dxfId="2055" priority="172" stopIfTrue="1" operator="equal">
      <formula>0</formula>
    </cfRule>
  </conditionalFormatting>
  <conditionalFormatting sqref="L37:M37">
    <cfRule type="cellIs" dxfId="2054" priority="171" stopIfTrue="1" operator="equal">
      <formula>0</formula>
    </cfRule>
  </conditionalFormatting>
  <conditionalFormatting sqref="N37:O37">
    <cfRule type="cellIs" dxfId="2053" priority="170" stopIfTrue="1" operator="equal">
      <formula>0</formula>
    </cfRule>
  </conditionalFormatting>
  <conditionalFormatting sqref="P37:Q37">
    <cfRule type="cellIs" dxfId="2052" priority="169" stopIfTrue="1" operator="equal">
      <formula>0</formula>
    </cfRule>
  </conditionalFormatting>
  <conditionalFormatting sqref="R37:S37">
    <cfRule type="cellIs" dxfId="2051" priority="168" stopIfTrue="1" operator="equal">
      <formula>0</formula>
    </cfRule>
  </conditionalFormatting>
  <conditionalFormatting sqref="T37:U37">
    <cfRule type="cellIs" dxfId="2050" priority="167" stopIfTrue="1" operator="equal">
      <formula>0</formula>
    </cfRule>
  </conditionalFormatting>
  <conditionalFormatting sqref="V37:W37">
    <cfRule type="cellIs" dxfId="2049" priority="166" stopIfTrue="1" operator="equal">
      <formula>0</formula>
    </cfRule>
  </conditionalFormatting>
  <conditionalFormatting sqref="J38:K38">
    <cfRule type="cellIs" dxfId="2048" priority="165" stopIfTrue="1" operator="equal">
      <formula>0</formula>
    </cfRule>
  </conditionalFormatting>
  <conditionalFormatting sqref="L38:M38">
    <cfRule type="cellIs" dxfId="2047" priority="164" stopIfTrue="1" operator="equal">
      <formula>0</formula>
    </cfRule>
  </conditionalFormatting>
  <conditionalFormatting sqref="N38:O38">
    <cfRule type="cellIs" dxfId="2046" priority="163" stopIfTrue="1" operator="equal">
      <formula>0</formula>
    </cfRule>
  </conditionalFormatting>
  <conditionalFormatting sqref="P38:Q38">
    <cfRule type="cellIs" dxfId="2045" priority="162" stopIfTrue="1" operator="equal">
      <formula>0</formula>
    </cfRule>
  </conditionalFormatting>
  <conditionalFormatting sqref="R38:S38">
    <cfRule type="cellIs" dxfId="2044" priority="161" stopIfTrue="1" operator="equal">
      <formula>0</formula>
    </cfRule>
  </conditionalFormatting>
  <conditionalFormatting sqref="T38:U38">
    <cfRule type="cellIs" dxfId="2043" priority="160" stopIfTrue="1" operator="equal">
      <formula>0</formula>
    </cfRule>
  </conditionalFormatting>
  <conditionalFormatting sqref="V38:W38">
    <cfRule type="cellIs" dxfId="2042" priority="159" stopIfTrue="1" operator="equal">
      <formula>0</formula>
    </cfRule>
  </conditionalFormatting>
  <conditionalFormatting sqref="J39:K39">
    <cfRule type="cellIs" dxfId="2041" priority="158" stopIfTrue="1" operator="equal">
      <formula>0</formula>
    </cfRule>
  </conditionalFormatting>
  <conditionalFormatting sqref="L39:M39">
    <cfRule type="cellIs" dxfId="2040" priority="157" stopIfTrue="1" operator="equal">
      <formula>0</formula>
    </cfRule>
  </conditionalFormatting>
  <conditionalFormatting sqref="N39:O39">
    <cfRule type="cellIs" dxfId="2039" priority="156" stopIfTrue="1" operator="equal">
      <formula>0</formula>
    </cfRule>
  </conditionalFormatting>
  <conditionalFormatting sqref="P39:Q39">
    <cfRule type="cellIs" dxfId="2038" priority="155" stopIfTrue="1" operator="equal">
      <formula>0</formula>
    </cfRule>
  </conditionalFormatting>
  <conditionalFormatting sqref="R39:S39">
    <cfRule type="cellIs" dxfId="2037" priority="154" stopIfTrue="1" operator="equal">
      <formula>0</formula>
    </cfRule>
  </conditionalFormatting>
  <conditionalFormatting sqref="T39:U39">
    <cfRule type="cellIs" dxfId="2036" priority="153" stopIfTrue="1" operator="equal">
      <formula>0</formula>
    </cfRule>
  </conditionalFormatting>
  <conditionalFormatting sqref="V39:W39">
    <cfRule type="cellIs" dxfId="2035" priority="152" stopIfTrue="1" operator="equal">
      <formula>0</formula>
    </cfRule>
  </conditionalFormatting>
  <conditionalFormatting sqref="J40:K40">
    <cfRule type="cellIs" dxfId="2034" priority="151" stopIfTrue="1" operator="equal">
      <formula>0</formula>
    </cfRule>
  </conditionalFormatting>
  <conditionalFormatting sqref="L40:M40">
    <cfRule type="cellIs" dxfId="2033" priority="150" stopIfTrue="1" operator="equal">
      <formula>0</formula>
    </cfRule>
  </conditionalFormatting>
  <conditionalFormatting sqref="N40:O40">
    <cfRule type="cellIs" dxfId="2032" priority="149" stopIfTrue="1" operator="equal">
      <formula>0</formula>
    </cfRule>
  </conditionalFormatting>
  <conditionalFormatting sqref="P40:Q40">
    <cfRule type="cellIs" dxfId="2031" priority="148" stopIfTrue="1" operator="equal">
      <formula>0</formula>
    </cfRule>
  </conditionalFormatting>
  <conditionalFormatting sqref="R40:S40">
    <cfRule type="cellIs" dxfId="2030" priority="147" stopIfTrue="1" operator="equal">
      <formula>0</formula>
    </cfRule>
  </conditionalFormatting>
  <conditionalFormatting sqref="T40:U40">
    <cfRule type="cellIs" dxfId="2029" priority="146" stopIfTrue="1" operator="equal">
      <formula>0</formula>
    </cfRule>
  </conditionalFormatting>
  <conditionalFormatting sqref="V40:W40">
    <cfRule type="cellIs" dxfId="2028" priority="145" stopIfTrue="1" operator="equal">
      <formula>0</formula>
    </cfRule>
  </conditionalFormatting>
  <conditionalFormatting sqref="J41:K41">
    <cfRule type="cellIs" dxfId="2027" priority="144" stopIfTrue="1" operator="equal">
      <formula>0</formula>
    </cfRule>
  </conditionalFormatting>
  <conditionalFormatting sqref="L41:M41">
    <cfRule type="cellIs" dxfId="2026" priority="143" stopIfTrue="1" operator="equal">
      <formula>0</formula>
    </cfRule>
  </conditionalFormatting>
  <conditionalFormatting sqref="N41:O41">
    <cfRule type="cellIs" dxfId="2025" priority="142" stopIfTrue="1" operator="equal">
      <formula>0</formula>
    </cfRule>
  </conditionalFormatting>
  <conditionalFormatting sqref="P41:Q41">
    <cfRule type="cellIs" dxfId="2024" priority="141" stopIfTrue="1" operator="equal">
      <formula>0</formula>
    </cfRule>
  </conditionalFormatting>
  <conditionalFormatting sqref="R41:S41">
    <cfRule type="cellIs" dxfId="2023" priority="140" stopIfTrue="1" operator="equal">
      <formula>0</formula>
    </cfRule>
  </conditionalFormatting>
  <conditionalFormatting sqref="T41:U41">
    <cfRule type="cellIs" dxfId="2022" priority="139" stopIfTrue="1" operator="equal">
      <formula>0</formula>
    </cfRule>
  </conditionalFormatting>
  <conditionalFormatting sqref="V41:W41">
    <cfRule type="cellIs" dxfId="2021" priority="138" stopIfTrue="1" operator="equal">
      <formula>0</formula>
    </cfRule>
  </conditionalFormatting>
  <conditionalFormatting sqref="J42:K42">
    <cfRule type="cellIs" dxfId="2020" priority="137" stopIfTrue="1" operator="equal">
      <formula>0</formula>
    </cfRule>
  </conditionalFormatting>
  <conditionalFormatting sqref="L42:M42">
    <cfRule type="cellIs" dxfId="2019" priority="136" stopIfTrue="1" operator="equal">
      <formula>0</formula>
    </cfRule>
  </conditionalFormatting>
  <conditionalFormatting sqref="N42:O42">
    <cfRule type="cellIs" dxfId="2018" priority="135" stopIfTrue="1" operator="equal">
      <formula>0</formula>
    </cfRule>
  </conditionalFormatting>
  <conditionalFormatting sqref="P42:Q42">
    <cfRule type="cellIs" dxfId="2017" priority="134" stopIfTrue="1" operator="equal">
      <formula>0</formula>
    </cfRule>
  </conditionalFormatting>
  <conditionalFormatting sqref="R42:S42">
    <cfRule type="cellIs" dxfId="2016" priority="133" stopIfTrue="1" operator="equal">
      <formula>0</formula>
    </cfRule>
  </conditionalFormatting>
  <conditionalFormatting sqref="T42:U42">
    <cfRule type="cellIs" dxfId="2015" priority="132" stopIfTrue="1" operator="equal">
      <formula>0</formula>
    </cfRule>
  </conditionalFormatting>
  <conditionalFormatting sqref="V42:W42">
    <cfRule type="cellIs" dxfId="2014" priority="131" stopIfTrue="1" operator="equal">
      <formula>0</formula>
    </cfRule>
  </conditionalFormatting>
  <conditionalFormatting sqref="J43:K43">
    <cfRule type="cellIs" dxfId="2013" priority="130" stopIfTrue="1" operator="equal">
      <formula>0</formula>
    </cfRule>
  </conditionalFormatting>
  <conditionalFormatting sqref="L43:M43">
    <cfRule type="cellIs" dxfId="2012" priority="129" stopIfTrue="1" operator="equal">
      <formula>0</formula>
    </cfRule>
  </conditionalFormatting>
  <conditionalFormatting sqref="N43:O43">
    <cfRule type="cellIs" dxfId="2011" priority="128" stopIfTrue="1" operator="equal">
      <formula>0</formula>
    </cfRule>
  </conditionalFormatting>
  <conditionalFormatting sqref="P43:Q43">
    <cfRule type="cellIs" dxfId="2010" priority="127" stopIfTrue="1" operator="equal">
      <formula>0</formula>
    </cfRule>
  </conditionalFormatting>
  <conditionalFormatting sqref="R43:S43">
    <cfRule type="cellIs" dxfId="2009" priority="126" stopIfTrue="1" operator="equal">
      <formula>0</formula>
    </cfRule>
  </conditionalFormatting>
  <conditionalFormatting sqref="T43:U43">
    <cfRule type="cellIs" dxfId="2008" priority="125" stopIfTrue="1" operator="equal">
      <formula>0</formula>
    </cfRule>
  </conditionalFormatting>
  <conditionalFormatting sqref="V43:W43">
    <cfRule type="cellIs" dxfId="2007" priority="124" stopIfTrue="1" operator="equal">
      <formula>0</formula>
    </cfRule>
  </conditionalFormatting>
  <conditionalFormatting sqref="J44:K44">
    <cfRule type="cellIs" dxfId="2006" priority="123" stopIfTrue="1" operator="equal">
      <formula>0</formula>
    </cfRule>
  </conditionalFormatting>
  <conditionalFormatting sqref="L44:M44">
    <cfRule type="cellIs" dxfId="2005" priority="122" stopIfTrue="1" operator="equal">
      <formula>0</formula>
    </cfRule>
  </conditionalFormatting>
  <conditionalFormatting sqref="N44:O44">
    <cfRule type="cellIs" dxfId="2004" priority="121" stopIfTrue="1" operator="equal">
      <formula>0</formula>
    </cfRule>
  </conditionalFormatting>
  <conditionalFormatting sqref="P44:Q44">
    <cfRule type="cellIs" dxfId="2003" priority="120" stopIfTrue="1" operator="equal">
      <formula>0</formula>
    </cfRule>
  </conditionalFormatting>
  <conditionalFormatting sqref="R44:S44">
    <cfRule type="cellIs" dxfId="2002" priority="119" stopIfTrue="1" operator="equal">
      <formula>0</formula>
    </cfRule>
  </conditionalFormatting>
  <conditionalFormatting sqref="T44:U44">
    <cfRule type="cellIs" dxfId="2001" priority="118" stopIfTrue="1" operator="equal">
      <formula>0</formula>
    </cfRule>
  </conditionalFormatting>
  <conditionalFormatting sqref="V44:W44">
    <cfRule type="cellIs" dxfId="2000" priority="117" stopIfTrue="1" operator="equal">
      <formula>0</formula>
    </cfRule>
  </conditionalFormatting>
  <conditionalFormatting sqref="J45:K45">
    <cfRule type="cellIs" dxfId="1999" priority="116" stopIfTrue="1" operator="equal">
      <formula>0</formula>
    </cfRule>
  </conditionalFormatting>
  <conditionalFormatting sqref="L45:M45">
    <cfRule type="cellIs" dxfId="1998" priority="115" stopIfTrue="1" operator="equal">
      <formula>0</formula>
    </cfRule>
  </conditionalFormatting>
  <conditionalFormatting sqref="N45:O45">
    <cfRule type="cellIs" dxfId="1997" priority="114" stopIfTrue="1" operator="equal">
      <formula>0</formula>
    </cfRule>
  </conditionalFormatting>
  <conditionalFormatting sqref="P45:Q45">
    <cfRule type="cellIs" dxfId="1996" priority="113" stopIfTrue="1" operator="equal">
      <formula>0</formula>
    </cfRule>
  </conditionalFormatting>
  <conditionalFormatting sqref="R45:S45">
    <cfRule type="cellIs" dxfId="1995" priority="112" stopIfTrue="1" operator="equal">
      <formula>0</formula>
    </cfRule>
  </conditionalFormatting>
  <conditionalFormatting sqref="T45:U45">
    <cfRule type="cellIs" dxfId="1994" priority="111" stopIfTrue="1" operator="equal">
      <formula>0</formula>
    </cfRule>
  </conditionalFormatting>
  <conditionalFormatting sqref="V45:W45">
    <cfRule type="cellIs" dxfId="1993" priority="110" stopIfTrue="1" operator="equal">
      <formula>0</formula>
    </cfRule>
  </conditionalFormatting>
  <conditionalFormatting sqref="J46:K46">
    <cfRule type="cellIs" dxfId="1992" priority="109" stopIfTrue="1" operator="equal">
      <formula>0</formula>
    </cfRule>
  </conditionalFormatting>
  <conditionalFormatting sqref="L46:M46">
    <cfRule type="cellIs" dxfId="1991" priority="108" stopIfTrue="1" operator="equal">
      <formula>0</formula>
    </cfRule>
  </conditionalFormatting>
  <conditionalFormatting sqref="N46:O46">
    <cfRule type="cellIs" dxfId="1990" priority="107" stopIfTrue="1" operator="equal">
      <formula>0</formula>
    </cfRule>
  </conditionalFormatting>
  <conditionalFormatting sqref="P46:Q46">
    <cfRule type="cellIs" dxfId="1989" priority="106" stopIfTrue="1" operator="equal">
      <formula>0</formula>
    </cfRule>
  </conditionalFormatting>
  <conditionalFormatting sqref="R46:S46">
    <cfRule type="cellIs" dxfId="1988" priority="105" stopIfTrue="1" operator="equal">
      <formula>0</formula>
    </cfRule>
  </conditionalFormatting>
  <conditionalFormatting sqref="T46:U46">
    <cfRule type="cellIs" dxfId="1987" priority="104" stopIfTrue="1" operator="equal">
      <formula>0</formula>
    </cfRule>
  </conditionalFormatting>
  <conditionalFormatting sqref="V46:W46">
    <cfRule type="cellIs" dxfId="1986" priority="103" stopIfTrue="1" operator="equal">
      <formula>0</formula>
    </cfRule>
  </conditionalFormatting>
  <conditionalFormatting sqref="J47:K47">
    <cfRule type="cellIs" dxfId="1985" priority="102" stopIfTrue="1" operator="equal">
      <formula>0</formula>
    </cfRule>
  </conditionalFormatting>
  <conditionalFormatting sqref="L47:M47">
    <cfRule type="cellIs" dxfId="1984" priority="101" stopIfTrue="1" operator="equal">
      <formula>0</formula>
    </cfRule>
  </conditionalFormatting>
  <conditionalFormatting sqref="N47:O47">
    <cfRule type="cellIs" dxfId="1983" priority="100" stopIfTrue="1" operator="equal">
      <formula>0</formula>
    </cfRule>
  </conditionalFormatting>
  <conditionalFormatting sqref="P47:Q47">
    <cfRule type="cellIs" dxfId="1982" priority="99" stopIfTrue="1" operator="equal">
      <formula>0</formula>
    </cfRule>
  </conditionalFormatting>
  <conditionalFormatting sqref="R47:S47">
    <cfRule type="cellIs" dxfId="1981" priority="98" stopIfTrue="1" operator="equal">
      <formula>0</formula>
    </cfRule>
  </conditionalFormatting>
  <conditionalFormatting sqref="T47:U47">
    <cfRule type="cellIs" dxfId="1980" priority="97" stopIfTrue="1" operator="equal">
      <formula>0</formula>
    </cfRule>
  </conditionalFormatting>
  <conditionalFormatting sqref="V47:W47">
    <cfRule type="cellIs" dxfId="1979" priority="96" stopIfTrue="1" operator="equal">
      <formula>0</formula>
    </cfRule>
  </conditionalFormatting>
  <conditionalFormatting sqref="D54:L59">
    <cfRule type="expression" dxfId="1978" priority="95">
      <formula>$AB$8=0</formula>
    </cfRule>
  </conditionalFormatting>
  <conditionalFormatting sqref="D54:I56">
    <cfRule type="expression" dxfId="1977" priority="94">
      <formula>$AB$8=1</formula>
    </cfRule>
  </conditionalFormatting>
  <printOptions horizontalCentered="1"/>
  <pageMargins left="0.7" right="0.7" top="0.39370078740157477" bottom="0.39370078740157477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Button 1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Button 2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5" r:id="rId6" name="Button 3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6" r:id="rId7" name="Button 4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7" r:id="rId8" name="Button 5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8" r:id="rId9" name="Button 6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9" r:id="rId10" name="Button 7">
              <controlPr defaultSize="0" print="0" autoFill="0" autoPict="0" macro="[0]!休日初期化">
                <anchor moveWithCells="1" sizeWithCells="1">
                  <from>
                    <xdr:col>27</xdr:col>
                    <xdr:colOff>488950</xdr:colOff>
                    <xdr:row>25</xdr:row>
                    <xdr:rowOff>69850</xdr:rowOff>
                  </from>
                  <to>
                    <xdr:col>28</xdr:col>
                    <xdr:colOff>266700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0" r:id="rId11" name="Button 8">
              <controlPr defaultSize="0" print="0" autoFill="0" autoPict="0" macro="[0]!初期状態">
                <anchor moveWithCells="1" sizeWithCells="1">
                  <from>
                    <xdr:col>27</xdr:col>
                    <xdr:colOff>533400</xdr:colOff>
                    <xdr:row>32</xdr:row>
                    <xdr:rowOff>31750</xdr:rowOff>
                  </from>
                  <to>
                    <xdr:col>28</xdr:col>
                    <xdr:colOff>419100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1" r:id="rId12" name="Button 9">
              <controlPr defaultSize="0" print="0" autoFill="0" autoPict="0" macro="[0]!ws_add">
                <anchor moveWithCells="1" sizeWithCells="1">
                  <from>
                    <xdr:col>27</xdr:col>
                    <xdr:colOff>488950</xdr:colOff>
                    <xdr:row>35</xdr:row>
                    <xdr:rowOff>69850</xdr:rowOff>
                  </from>
                  <to>
                    <xdr:col>29</xdr:col>
                    <xdr:colOff>603250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2" r:id="rId13" name="Button 10">
              <controlPr defaultSize="0" print="0" autoFill="0" autoPict="0" macro="[0]!統合">
                <anchor moveWithCells="1" sizeWithCells="1">
                  <from>
                    <xdr:col>26</xdr:col>
                    <xdr:colOff>63500</xdr:colOff>
                    <xdr:row>59</xdr:row>
                    <xdr:rowOff>19050</xdr:rowOff>
                  </from>
                  <to>
                    <xdr:col>26</xdr:col>
                    <xdr:colOff>673100</xdr:colOff>
                    <xdr:row>60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3" r:id="rId14" name="Button 11">
              <controlPr defaultSize="0" print="0" autoFill="0" autoPict="0" macro="[0]!休暇処理">
                <anchor moveWithCells="1" sizeWithCells="1">
                  <from>
                    <xdr:col>26</xdr:col>
                    <xdr:colOff>63500</xdr:colOff>
                    <xdr:row>61</xdr:row>
                    <xdr:rowOff>19050</xdr:rowOff>
                  </from>
                  <to>
                    <xdr:col>26</xdr:col>
                    <xdr:colOff>673100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4" r:id="rId15" name="Button 12">
              <controlPr defaultSize="0" print="0" autoFill="0" autoPict="0" macro="[0]!化粧直し">
                <anchor moveWithCells="1" sizeWithCells="1">
                  <from>
                    <xdr:col>26</xdr:col>
                    <xdr:colOff>69850</xdr:colOff>
                    <xdr:row>63</xdr:row>
                    <xdr:rowOff>31750</xdr:rowOff>
                  </from>
                  <to>
                    <xdr:col>26</xdr:col>
                    <xdr:colOff>679450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5" r:id="rId16" name="Button 13">
              <controlPr defaultSize="0" print="0" autoFill="0" autoPict="0" macro="[0]!休日初期化">
                <anchor moveWithCells="1" sizeWithCells="1">
                  <from>
                    <xdr:col>26</xdr:col>
                    <xdr:colOff>146050</xdr:colOff>
                    <xdr:row>65</xdr:row>
                    <xdr:rowOff>69850</xdr:rowOff>
                  </from>
                  <to>
                    <xdr:col>26</xdr:col>
                    <xdr:colOff>641350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6" r:id="rId17" name="Button 14">
              <controlPr defaultSize="0" print="0" autoFill="0" autoPict="0" macro="[0]!初期状態">
                <anchor moveWithCells="1" sizeWithCells="1">
                  <from>
                    <xdr:col>26</xdr:col>
                    <xdr:colOff>57150</xdr:colOff>
                    <xdr:row>67</xdr:row>
                    <xdr:rowOff>88900</xdr:rowOff>
                  </from>
                  <to>
                    <xdr:col>26</xdr:col>
                    <xdr:colOff>666750</xdr:colOff>
                    <xdr:row>69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stopIfTrue="1" id="{CAF1491A-15F3-45E6-B74B-45A0D695CDF2}">
            <xm:f xml:space="preserve"> OR($X$17=+テーブル!A2,$X$17=+テーブル!A3,$X$17=+テーブル!A9,$X$17=+テーブル!A10,$X$17=+テーブル!A12,$X$17=+テーブル!A13,$X$17=+テーブル!A16)</xm:f>
            <x14:dxf>
              <font>
                <color rgb="FFFF0000"/>
              </font>
            </x14:dxf>
          </x14:cfRule>
          <xm:sqref>D17:E17</xm:sqref>
        </x14:conditionalFormatting>
        <x14:conditionalFormatting xmlns:xm="http://schemas.microsoft.com/office/excel/2006/main">
          <x14:cfRule type="expression" priority="92" stopIfTrue="1" id="{7CB42DF6-79FD-4BA3-BA0D-48F282F3857B}">
            <xm:f xml:space="preserve"> OR($X$17=+テーブル!A2,$X$17=+テーブル!A4,$X$17=+テーブル!A9,$X$17=+テーブル!A11,$X$17=+テーブル!A12,$X$17=+テーブル!A14,$X$17=+テーブル!A16)</xm:f>
            <x14:dxf>
              <font>
                <color rgb="FFFF0000"/>
              </font>
            </x14:dxf>
          </x14:cfRule>
          <xm:sqref>F17:G17</xm:sqref>
        </x14:conditionalFormatting>
        <x14:conditionalFormatting xmlns:xm="http://schemas.microsoft.com/office/excel/2006/main">
          <x14:cfRule type="expression" priority="91" stopIfTrue="1" id="{C1EB1331-51A6-4785-994A-7A7B8FF2FFCC}">
            <xm:f xml:space="preserve"> OR($X$17=+テーブル!A2,$X$17=+テーブル!A3,$X$17=+テーブル!A4,$X$17=+テーブル!A9,$X$17=+テーブル!A10,$X$17=+テーブル!A11,$X$17=+テーブル!A12,$X$17=+テーブル!A13,$X$17=+テーブル!A14,$X$17=+テーブル!A16)</xm:f>
            <x14:dxf>
              <font>
                <color rgb="FFFF0000"/>
              </font>
            </x14:dxf>
          </x14:cfRule>
          <xm:sqref>H17:I17</xm:sqref>
        </x14:conditionalFormatting>
        <x14:conditionalFormatting xmlns:xm="http://schemas.microsoft.com/office/excel/2006/main">
          <x14:cfRule type="expression" priority="90" stopIfTrue="1" id="{2C1B2EA0-5B0C-43E6-B072-29A01DDE04B4}">
            <xm:f xml:space="preserve"> OR($X$18=+テーブル!A2,$X$18=+テーブル!A3,$X$18=+テーブル!A9,$X$18=+テーブル!A10,$X$18=+テーブル!A12,$X$18=+テーブル!A13,$X$18=+テーブル!A16)</xm:f>
            <x14:dxf>
              <font>
                <color rgb="FFFF0000"/>
              </font>
            </x14:dxf>
          </x14:cfRule>
          <xm:sqref>D18:E18</xm:sqref>
        </x14:conditionalFormatting>
        <x14:conditionalFormatting xmlns:xm="http://schemas.microsoft.com/office/excel/2006/main">
          <x14:cfRule type="expression" priority="89" stopIfTrue="1" id="{F657F890-A485-4683-A6AE-A61683E9ED9E}">
            <xm:f xml:space="preserve"> OR($X$18=+テーブル!A2,$X$18=+テーブル!A4,$X$18=+テーブル!A9,$X$18=+テーブル!A11,$X$18=+テーブル!A12,$X$18=+テーブル!A14,$X$18=+テーブル!A16)</xm:f>
            <x14:dxf>
              <font>
                <color rgb="FFFF0000"/>
              </font>
            </x14:dxf>
          </x14:cfRule>
          <xm:sqref>F18:G18</xm:sqref>
        </x14:conditionalFormatting>
        <x14:conditionalFormatting xmlns:xm="http://schemas.microsoft.com/office/excel/2006/main">
          <x14:cfRule type="expression" priority="88" stopIfTrue="1" id="{57AB6EAF-AAC6-4A00-9026-51DC1F0D59BB}">
            <xm:f xml:space="preserve"> OR($X$18=+テーブル!A2,$X$18=+テーブル!A3,$X$18=+テーブル!A4,$X$18=+テーブル!A9,$X$18=+テーブル!A10,$X$18=+テーブル!A11,$X$18=+テーブル!A12,$X$18=+テーブル!A13,$X$18=+テーブル!A14,$X$18=+テーブル!A16)</xm:f>
            <x14:dxf>
              <font>
                <color rgb="FFFF0000"/>
              </font>
            </x14:dxf>
          </x14:cfRule>
          <xm:sqref>H18:I18</xm:sqref>
        </x14:conditionalFormatting>
        <x14:conditionalFormatting xmlns:xm="http://schemas.microsoft.com/office/excel/2006/main">
          <x14:cfRule type="expression" priority="87" stopIfTrue="1" id="{7940B4A4-F2A8-4E32-966E-67CA979FFB77}">
            <xm:f xml:space="preserve"> OR($X$19=+テーブル!A2,$X$19=+テーブル!A3,$X$19=+テーブル!A9,$X$19=+テーブル!A10,$X$19=+テーブル!A12,$X$19=+テーブル!A13,$X$19=+テーブル!A16)</xm:f>
            <x14:dxf>
              <font>
                <color rgb="FFFF0000"/>
              </font>
            </x14:dxf>
          </x14:cfRule>
          <xm:sqref>D19:E19</xm:sqref>
        </x14:conditionalFormatting>
        <x14:conditionalFormatting xmlns:xm="http://schemas.microsoft.com/office/excel/2006/main">
          <x14:cfRule type="expression" priority="86" stopIfTrue="1" id="{2EFED797-39FE-46D1-8953-04BEAB6051F9}">
            <xm:f xml:space="preserve"> OR($X$19=+テーブル!A2,$X$19=+テーブル!A4,$X$19=+テーブル!A9,$X$19=+テーブル!A11,$X$19=+テーブル!A12,$X$19=+テーブル!A14,$X$19=+テーブル!A16)</xm:f>
            <x14:dxf>
              <font>
                <color rgb="FFFF0000"/>
              </font>
            </x14:dxf>
          </x14:cfRule>
          <xm:sqref>F19:G19</xm:sqref>
        </x14:conditionalFormatting>
        <x14:conditionalFormatting xmlns:xm="http://schemas.microsoft.com/office/excel/2006/main">
          <x14:cfRule type="expression" priority="85" stopIfTrue="1" id="{0DE5C877-B3B6-4199-AFE5-784F235AA4D7}">
            <xm:f xml:space="preserve"> OR($X$19=+テーブル!A2,$X$19=+テーブル!A3,$X$19=+テーブル!A4,$X$19=+テーブル!A9,$X$19=+テーブル!A10,$X$19=+テーブル!A11,$X$19=+テーブル!A12,$X$19=+テーブル!A13,$X$19=+テーブル!A14,$X$19=+テーブル!A16)</xm:f>
            <x14:dxf>
              <font>
                <color rgb="FFFF0000"/>
              </font>
            </x14:dxf>
          </x14:cfRule>
          <xm:sqref>H19:I19</xm:sqref>
        </x14:conditionalFormatting>
        <x14:conditionalFormatting xmlns:xm="http://schemas.microsoft.com/office/excel/2006/main">
          <x14:cfRule type="expression" priority="84" stopIfTrue="1" id="{63DD04E2-E605-4984-ADF3-4822435F020A}">
            <xm:f xml:space="preserve"> OR($X$20=+テーブル!A2,$X$20=+テーブル!A3,$X$20=+テーブル!A9,$X$20=+テーブル!A10,$X$20=+テーブル!A12,$X$20=+テーブル!A13,$X$20=+テーブル!A16)</xm:f>
            <x14:dxf>
              <font>
                <color rgb="FFFF000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83" stopIfTrue="1" id="{61C7E6D7-C166-473F-B825-3F6813F700BF}">
            <xm:f xml:space="preserve"> OR($X$20=+テーブル!A2,$X$20=+テーブル!A4,$X$20=+テーブル!A9,$X$20=+テーブル!A11,$X$20=+テーブル!A12,$X$20=+テーブル!A14,$X$20=+テーブル!A16)</xm:f>
            <x14:dxf>
              <font>
                <color rgb="FFFF0000"/>
              </font>
            </x14:dxf>
          </x14:cfRule>
          <xm:sqref>F20:G20</xm:sqref>
        </x14:conditionalFormatting>
        <x14:conditionalFormatting xmlns:xm="http://schemas.microsoft.com/office/excel/2006/main">
          <x14:cfRule type="expression" priority="82" stopIfTrue="1" id="{C9FA6429-24BC-429B-96EE-C6E3D18A1C61}">
            <xm:f xml:space="preserve"> OR($X$20=+テーブル!A2,$X$20=+テーブル!A3,$X$20=+テーブル!A4,$X$20=+テーブル!A9,$X$20=+テーブル!A10,$X$20=+テーブル!A11,$X$20=+テーブル!A12,$X$20=+テーブル!A13,$X$20=+テーブル!A14,$X$20=+テーブル!A16)</xm:f>
            <x14:dxf>
              <font>
                <color rgb="FFFF0000"/>
              </font>
            </x14:dxf>
          </x14:cfRule>
          <xm:sqref>H20:I20</xm:sqref>
        </x14:conditionalFormatting>
        <x14:conditionalFormatting xmlns:xm="http://schemas.microsoft.com/office/excel/2006/main">
          <x14:cfRule type="expression" priority="81" stopIfTrue="1" id="{74A2F3FE-5245-4CBA-8581-6D0F70A9497E}">
            <xm:f xml:space="preserve"> OR($X$21=+テーブル!A2,$X$21=+テーブル!A3,$X$21=+テーブル!A9,$X$21=+テーブル!A10,$X$21=+テーブル!A12,$X$21=+テーブル!A13,$X$21=+テーブル!A16)</xm:f>
            <x14:dxf>
              <font>
                <color rgb="FFFF0000"/>
              </font>
            </x14:dxf>
          </x14:cfRule>
          <xm:sqref>D21:E21</xm:sqref>
        </x14:conditionalFormatting>
        <x14:conditionalFormatting xmlns:xm="http://schemas.microsoft.com/office/excel/2006/main">
          <x14:cfRule type="expression" priority="80" stopIfTrue="1" id="{FD46AD93-4063-424A-A7A6-2C6C09568292}">
            <xm:f xml:space="preserve"> OR($X$21=+テーブル!A2,$X$21=+テーブル!A4,$X$21=+テーブル!A9,$X$21=+テーブル!A11,$X$21=+テーブル!A12,$X$21=+テーブル!A14,$X$21=+テーブル!A16)</xm:f>
            <x14:dxf>
              <font>
                <color rgb="FFFF0000"/>
              </font>
            </x14:dxf>
          </x14:cfRule>
          <xm:sqref>F21:G21</xm:sqref>
        </x14:conditionalFormatting>
        <x14:conditionalFormatting xmlns:xm="http://schemas.microsoft.com/office/excel/2006/main">
          <x14:cfRule type="expression" priority="79" stopIfTrue="1" id="{C60BA469-3743-4A23-9418-279AC4716FDA}">
            <xm:f xml:space="preserve"> OR($X$21=+テーブル!A2,$X$21=+テーブル!A3,$X$21=+テーブル!A4,$X$21=+テーブル!A9,$X$21=+テーブル!A10,$X$21=+テーブル!A11,$X$21=+テーブル!A12,$X$21=+テーブル!A13,$X$21=+テーブル!A14,$X$21=+テーブル!A16)</xm:f>
            <x14:dxf>
              <font>
                <color rgb="FFFF0000"/>
              </font>
            </x14:dxf>
          </x14:cfRule>
          <xm:sqref>H21:I21</xm:sqref>
        </x14:conditionalFormatting>
        <x14:conditionalFormatting xmlns:xm="http://schemas.microsoft.com/office/excel/2006/main">
          <x14:cfRule type="expression" priority="78" stopIfTrue="1" id="{03801E48-BC01-4085-ACC8-980D413B65F4}">
            <xm:f xml:space="preserve"> OR($X$22=+テーブル!A2,$X$22=+テーブル!A3,$X$22=+テーブル!A9,$X$22=+テーブル!A10,$X$22=+テーブル!A12,$X$22=+テーブル!A13,$X$22=+テーブル!A16)</xm:f>
            <x14:dxf>
              <font>
                <color rgb="FFFF0000"/>
              </font>
            </x14:dxf>
          </x14:cfRule>
          <xm:sqref>D22:E22</xm:sqref>
        </x14:conditionalFormatting>
        <x14:conditionalFormatting xmlns:xm="http://schemas.microsoft.com/office/excel/2006/main">
          <x14:cfRule type="expression" priority="77" stopIfTrue="1" id="{090917A0-D851-4E35-9C03-DC993BC2ABAB}">
            <xm:f xml:space="preserve"> OR($X$22=+テーブル!A2,$X$22=+テーブル!A4,$X$22=+テーブル!A9,$X$22=+テーブル!A11,$X$22=+テーブル!A12,$X$22=+テーブル!A14,$X$22=+テーブル!A16)</xm:f>
            <x14:dxf>
              <font>
                <color rgb="FFFF0000"/>
              </font>
            </x14:dxf>
          </x14:cfRule>
          <xm:sqref>F22:G22</xm:sqref>
        </x14:conditionalFormatting>
        <x14:conditionalFormatting xmlns:xm="http://schemas.microsoft.com/office/excel/2006/main">
          <x14:cfRule type="expression" priority="76" stopIfTrue="1" id="{A046DBCF-3E33-4C2D-A8FB-2ACA54ABDFCB}">
            <xm:f xml:space="preserve"> OR($X$22=+テーブル!A2,$X$22=+テーブル!A3,$X$22=+テーブル!A4,$X$22=+テーブル!A9,$X$22=+テーブル!A10,$X$22=+テーブル!A11,$X$22=+テーブル!A12,$X$22=+テーブル!A13,$X$22=+テーブル!A14,$X$22=+テーブル!A16)</xm:f>
            <x14:dxf>
              <font>
                <color rgb="FFFF0000"/>
              </font>
            </x14:dxf>
          </x14:cfRule>
          <xm:sqref>H22:I22</xm:sqref>
        </x14:conditionalFormatting>
        <x14:conditionalFormatting xmlns:xm="http://schemas.microsoft.com/office/excel/2006/main">
          <x14:cfRule type="expression" priority="75" stopIfTrue="1" id="{D0B611B5-F615-428C-A03F-0E7AC5DA618F}">
            <xm:f xml:space="preserve"> OR($X$23=+テーブル!A2,$X$23=+テーブル!A3,$X$23=+テーブル!A9,$X$23=+テーブル!A10,$X$23=+テーブル!A12,$X$23=+テーブル!A13,$X$23=+テーブル!A16)</xm:f>
            <x14:dxf>
              <font>
                <color rgb="FFFF0000"/>
              </font>
            </x14:dxf>
          </x14:cfRule>
          <xm:sqref>D23:E23</xm:sqref>
        </x14:conditionalFormatting>
        <x14:conditionalFormatting xmlns:xm="http://schemas.microsoft.com/office/excel/2006/main">
          <x14:cfRule type="expression" priority="74" stopIfTrue="1" id="{A03AD243-6C6A-484B-8A50-56EA86E8EA23}">
            <xm:f xml:space="preserve"> OR($X$23=+テーブル!A2,$X$23=+テーブル!A4,$X$23=+テーブル!A9,$X$23=+テーブル!A11,$X$23=+テーブル!A12,$X$23=+テーブル!A14,$X$23=+テーブル!A16)</xm:f>
            <x14:dxf>
              <font>
                <color rgb="FFFF0000"/>
              </font>
            </x14:dxf>
          </x14:cfRule>
          <xm:sqref>F23:G23</xm:sqref>
        </x14:conditionalFormatting>
        <x14:conditionalFormatting xmlns:xm="http://schemas.microsoft.com/office/excel/2006/main">
          <x14:cfRule type="expression" priority="73" stopIfTrue="1" id="{50EA79F6-60EE-4C03-9D9B-46D6DAD5F30F}">
            <xm:f xml:space="preserve"> OR($X$23=+テーブル!A2,$X$23=+テーブル!A3,$X$23=+テーブル!A4,$X$23=+テーブル!A9,$X$23=+テーブル!A10,$X$23=+テーブル!A11,$X$23=+テーブル!A12,$X$23=+テーブル!A13,$X$23=+テーブル!A14,$X$23=+テーブル!A16)</xm:f>
            <x14:dxf>
              <font>
                <color rgb="FFFF0000"/>
              </font>
            </x14:dxf>
          </x14:cfRule>
          <xm:sqref>H23:I23</xm:sqref>
        </x14:conditionalFormatting>
        <x14:conditionalFormatting xmlns:xm="http://schemas.microsoft.com/office/excel/2006/main">
          <x14:cfRule type="expression" priority="72" stopIfTrue="1" id="{1D56F589-DD48-410A-839B-8E901E577B21}">
            <xm:f xml:space="preserve"> OR($X$24=+テーブル!A2,$X$24=+テーブル!A3,$X$24=+テーブル!A9,$X$24=+テーブル!A10,$X$24=+テーブル!A12,$X$24=+テーブル!A13,$X$24=+テーブル!A16)</xm:f>
            <x14:dxf>
              <font>
                <color rgb="FFFF0000"/>
              </font>
            </x14:dxf>
          </x14:cfRule>
          <xm:sqref>D24:E24</xm:sqref>
        </x14:conditionalFormatting>
        <x14:conditionalFormatting xmlns:xm="http://schemas.microsoft.com/office/excel/2006/main">
          <x14:cfRule type="expression" priority="71" stopIfTrue="1" id="{1F41AE6C-8E59-4B2B-8181-3989424F2673}">
            <xm:f xml:space="preserve"> OR($X$24=+テーブル!A2,$X$24=+テーブル!A4,$X$24=+テーブル!A9,$X$24=+テーブル!A11,$X$24=+テーブル!A12,$X$24=+テーブル!A14,$X$24=+テーブル!A16)</xm:f>
            <x14:dxf>
              <font>
                <color rgb="FFFF0000"/>
              </font>
            </x14:dxf>
          </x14:cfRule>
          <xm:sqref>F24:G24</xm:sqref>
        </x14:conditionalFormatting>
        <x14:conditionalFormatting xmlns:xm="http://schemas.microsoft.com/office/excel/2006/main">
          <x14:cfRule type="expression" priority="70" stopIfTrue="1" id="{67FC75AB-4691-4603-BC73-FB4A6FDDB274}">
            <xm:f xml:space="preserve"> OR($X$24=+テーブル!A2,$X$24=+テーブル!A3,$X$24=+テーブル!A4,$X$24=+テーブル!A9,$X$24=+テーブル!A10,$X$24=+テーブル!A11,$X$24=+テーブル!A12,$X$24=+テーブル!A13,$X$24=+テーブル!A14,$X$24=+テーブル!A16)</xm:f>
            <x14:dxf>
              <font>
                <color rgb="FFFF0000"/>
              </font>
            </x14:dxf>
          </x14:cfRule>
          <xm:sqref>H24:I24</xm:sqref>
        </x14:conditionalFormatting>
        <x14:conditionalFormatting xmlns:xm="http://schemas.microsoft.com/office/excel/2006/main">
          <x14:cfRule type="expression" priority="69" stopIfTrue="1" id="{9929DD69-B097-472E-BA33-5B17021ED5E2}">
            <xm:f xml:space="preserve"> OR($X$25=+テーブル!A2,$X$25=+テーブル!A3,$X$25=+テーブル!A9,$X$25=+テーブル!A10,$X$25=+テーブル!A12,$X$25=+テーブル!A13,$X$25=+テーブル!A16)</xm:f>
            <x14:dxf>
              <font>
                <color rgb="FFFF0000"/>
              </font>
            </x14:dxf>
          </x14:cfRule>
          <xm:sqref>D25:E25</xm:sqref>
        </x14:conditionalFormatting>
        <x14:conditionalFormatting xmlns:xm="http://schemas.microsoft.com/office/excel/2006/main">
          <x14:cfRule type="expression" priority="68" stopIfTrue="1" id="{9A1ABCD7-A7B1-428B-9646-0DFE2BB238B2}">
            <xm:f xml:space="preserve"> OR($X$25=+テーブル!A2,$X$25=+テーブル!A4,$X$25=+テーブル!A9,$X$25=+テーブル!A11,$X$25=+テーブル!A12,$X$25=+テーブル!A14,$X$25=+テーブル!A16)</xm:f>
            <x14:dxf>
              <font>
                <color rgb="FFFF0000"/>
              </font>
            </x14:dxf>
          </x14:cfRule>
          <xm:sqref>F25:G25</xm:sqref>
        </x14:conditionalFormatting>
        <x14:conditionalFormatting xmlns:xm="http://schemas.microsoft.com/office/excel/2006/main">
          <x14:cfRule type="expression" priority="67" stopIfTrue="1" id="{479C239E-50E9-4451-9040-7FD2354E61D7}">
            <xm:f xml:space="preserve"> OR($X$25=+テーブル!A2,$X$25=+テーブル!A3,$X$25=+テーブル!A4,$X$25=+テーブル!A9,$X$25=+テーブル!A10,$X$25=+テーブル!A11,$X$25=+テーブル!A12,$X$25=+テーブル!A13,$X$25=+テーブル!A14,$X$25=+テーブル!A16)</xm:f>
            <x14:dxf>
              <font>
                <color rgb="FFFF0000"/>
              </font>
            </x14:dxf>
          </x14:cfRule>
          <xm:sqref>H25:I25</xm:sqref>
        </x14:conditionalFormatting>
        <x14:conditionalFormatting xmlns:xm="http://schemas.microsoft.com/office/excel/2006/main">
          <x14:cfRule type="expression" priority="66" stopIfTrue="1" id="{D6BD07ED-14A9-4D90-9510-A12FD6883DB0}">
            <xm:f xml:space="preserve"> OR($X$26=+テーブル!A2,$X$26=+テーブル!A3,$X$26=+テーブル!A9,$X$26=+テーブル!A10,$X$26=+テーブル!A12,$X$26=+テーブル!A13,$X$26=+テーブル!A16)</xm:f>
            <x14:dxf>
              <font>
                <color rgb="FFFF0000"/>
              </font>
            </x14:dxf>
          </x14:cfRule>
          <xm:sqref>D26:E26</xm:sqref>
        </x14:conditionalFormatting>
        <x14:conditionalFormatting xmlns:xm="http://schemas.microsoft.com/office/excel/2006/main">
          <x14:cfRule type="expression" priority="65" stopIfTrue="1" id="{8F4CCE53-98E6-4F14-A7DB-5DF907509073}">
            <xm:f xml:space="preserve"> OR($X$26=+テーブル!A2,$X$26=+テーブル!A4,$X$26=+テーブル!A9,$X$26=+テーブル!A11,$X$26=+テーブル!A12,$X$26=+テーブル!A14,$X$26=+テーブル!A16)</xm:f>
            <x14:dxf>
              <font>
                <color rgb="FFFF0000"/>
              </font>
            </x14:dxf>
          </x14:cfRule>
          <xm:sqref>F26:G26</xm:sqref>
        </x14:conditionalFormatting>
        <x14:conditionalFormatting xmlns:xm="http://schemas.microsoft.com/office/excel/2006/main">
          <x14:cfRule type="expression" priority="64" stopIfTrue="1" id="{7CCAB634-939B-4EDE-AB6D-31E2049C1BA8}">
            <xm:f xml:space="preserve"> OR($X$26=+テーブル!A2,$X$26=+テーブル!A3,$X$26=+テーブル!A4,$X$26=+テーブル!A9,$X$26=+テーブル!A10,$X$26=+テーブル!A11,$X$26=+テーブル!A12,$X$26=+テーブル!A13,$X$26=+テーブル!A14,$X$26=+テーブル!A16)</xm:f>
            <x14:dxf>
              <font>
                <color rgb="FFFF0000"/>
              </font>
            </x14:dxf>
          </x14:cfRule>
          <xm:sqref>H26:I26</xm:sqref>
        </x14:conditionalFormatting>
        <x14:conditionalFormatting xmlns:xm="http://schemas.microsoft.com/office/excel/2006/main">
          <x14:cfRule type="expression" priority="63" stopIfTrue="1" id="{004E1651-002D-4B4C-8047-11FEF0F4A4E6}">
            <xm:f xml:space="preserve"> OR($X$27=+テーブル!A2,$X$27=+テーブル!A3,$X$27=+テーブル!A9,$X$27=+テーブル!A10,$X$27=+テーブル!A12,$X$27=+テーブル!A13,$X$27=+テーブル!A16)</xm:f>
            <x14:dxf>
              <font>
                <color rgb="FFFF0000"/>
              </font>
            </x14:dxf>
          </x14:cfRule>
          <xm:sqref>D27:E27</xm:sqref>
        </x14:conditionalFormatting>
        <x14:conditionalFormatting xmlns:xm="http://schemas.microsoft.com/office/excel/2006/main">
          <x14:cfRule type="expression" priority="62" stopIfTrue="1" id="{8FC81BC9-1531-42B2-99FC-76B90205ED85}">
            <xm:f xml:space="preserve"> OR($X$27=+テーブル!A2,$X$27=+テーブル!A4,$X$27=+テーブル!A9,$X$27=+テーブル!A11,$X$27=+テーブル!A12,$X$27=+テーブル!A14,$X$27=+テーブル!A16)</xm:f>
            <x14:dxf>
              <font>
                <color rgb="FFFF0000"/>
              </font>
            </x14:dxf>
          </x14:cfRule>
          <xm:sqref>F27:G27</xm:sqref>
        </x14:conditionalFormatting>
        <x14:conditionalFormatting xmlns:xm="http://schemas.microsoft.com/office/excel/2006/main">
          <x14:cfRule type="expression" priority="61" stopIfTrue="1" id="{A120ECBE-6914-475D-A60A-458652681EBC}">
            <xm:f xml:space="preserve"> OR($X$27=+テーブル!A2,$X$27=+テーブル!A3,$X$27=+テーブル!A4,$X$27=+テーブル!A9,$X$27=+テーブル!A10,$X$27=+テーブル!A11,$X$27=+テーブル!A12,$X$27=+テーブル!A13,$X$27=+テーブル!A14,$X$27=+テーブル!A16)</xm:f>
            <x14:dxf>
              <font>
                <color rgb="FFFF0000"/>
              </font>
            </x14:dxf>
          </x14:cfRule>
          <xm:sqref>H27:I27</xm:sqref>
        </x14:conditionalFormatting>
        <x14:conditionalFormatting xmlns:xm="http://schemas.microsoft.com/office/excel/2006/main">
          <x14:cfRule type="expression" priority="60" stopIfTrue="1" id="{68FBAA1E-9E84-44F5-9AFD-B631E659236C}">
            <xm:f xml:space="preserve"> OR($X$28=+テーブル!A2,$X$28=+テーブル!A3,$X$28=+テーブル!A9,$X$28=+テーブル!A10,$X$28=+テーブル!A12,$X$28=+テーブル!A13,$X$28=+テーブル!A16)</xm:f>
            <x14:dxf>
              <font>
                <color rgb="FFFF0000"/>
              </font>
            </x14:dxf>
          </x14:cfRule>
          <xm:sqref>D28:E28</xm:sqref>
        </x14:conditionalFormatting>
        <x14:conditionalFormatting xmlns:xm="http://schemas.microsoft.com/office/excel/2006/main">
          <x14:cfRule type="expression" priority="59" stopIfTrue="1" id="{0127DB8B-9606-44CF-A530-FC967AD4AD91}">
            <xm:f xml:space="preserve"> OR($X$28=+テーブル!A2,$X$28=+テーブル!A4,$X$28=+テーブル!A9,$X$28=+テーブル!A11,$X$28=+テーブル!A12,$X$28=+テーブル!A14,$X$28=+テーブル!A16)</xm:f>
            <x14:dxf>
              <font>
                <color rgb="FFFF0000"/>
              </font>
            </x14:dxf>
          </x14:cfRule>
          <xm:sqref>F28:G28</xm:sqref>
        </x14:conditionalFormatting>
        <x14:conditionalFormatting xmlns:xm="http://schemas.microsoft.com/office/excel/2006/main">
          <x14:cfRule type="expression" priority="58" stopIfTrue="1" id="{30F22082-638F-4551-96CB-C4545B4F0617}">
            <xm:f xml:space="preserve"> OR($X$28=+テーブル!A2,$X$28=+テーブル!A3,$X$28=+テーブル!A4,$X$28=+テーブル!A9,$X$28=+テーブル!A10,$X$28=+テーブル!A11,$X$28=+テーブル!A12,$X$28=+テーブル!A13,$X$28=+テーブル!A14,$X$28=+テーブル!A16)</xm:f>
            <x14:dxf>
              <font>
                <color rgb="FFFF0000"/>
              </font>
            </x14:dxf>
          </x14:cfRule>
          <xm:sqref>H28:I28</xm:sqref>
        </x14:conditionalFormatting>
        <x14:conditionalFormatting xmlns:xm="http://schemas.microsoft.com/office/excel/2006/main">
          <x14:cfRule type="expression" priority="57" stopIfTrue="1" id="{9E3E8992-3EB6-4C7B-AB5D-2A0C00C0C44D}">
            <xm:f xml:space="preserve"> OR($X$29=+テーブル!A2,$X$29=+テーブル!A3,$X$29=+テーブル!A9,$X$29=+テーブル!A10,$X$29=+テーブル!A12,$X$29=+テーブル!A13,$X$29=+テーブル!A16)</xm:f>
            <x14:dxf>
              <font>
                <color rgb="FFFF0000"/>
              </font>
            </x14:dxf>
          </x14:cfRule>
          <xm:sqref>D29:E29</xm:sqref>
        </x14:conditionalFormatting>
        <x14:conditionalFormatting xmlns:xm="http://schemas.microsoft.com/office/excel/2006/main">
          <x14:cfRule type="expression" priority="56" stopIfTrue="1" id="{FA17DAD7-B676-4B87-BB38-A994A95AA601}">
            <xm:f xml:space="preserve"> OR($X$29=+テーブル!A2,$X$29=+テーブル!A4,$X$29=+テーブル!A9,$X$29=+テーブル!A11,$X$29=+テーブル!A12,$X$29=+テーブル!A14,$X$29=+テーブル!A16)</xm:f>
            <x14:dxf>
              <font>
                <color rgb="FFFF0000"/>
              </font>
            </x14:dxf>
          </x14:cfRule>
          <xm:sqref>F29:G29</xm:sqref>
        </x14:conditionalFormatting>
        <x14:conditionalFormatting xmlns:xm="http://schemas.microsoft.com/office/excel/2006/main">
          <x14:cfRule type="expression" priority="55" stopIfTrue="1" id="{482E71CD-D3E9-4A30-8A57-B5211941673F}">
            <xm:f xml:space="preserve"> OR($X$29=+テーブル!A2,$X$29=+テーブル!A3,$X$29=+テーブル!A4,$X$29=+テーブル!A9,$X$29=+テーブル!A10,$X$29=+テーブル!A11,$X$29=+テーブル!A12,$X$29=+テーブル!A13,$X$29=+テーブル!A14,$X$29=+テーブル!A16)</xm:f>
            <x14:dxf>
              <font>
                <color rgb="FFFF0000"/>
              </font>
            </x14:dxf>
          </x14:cfRule>
          <xm:sqref>H29:I29</xm:sqref>
        </x14:conditionalFormatting>
        <x14:conditionalFormatting xmlns:xm="http://schemas.microsoft.com/office/excel/2006/main">
          <x14:cfRule type="expression" priority="54" stopIfTrue="1" id="{810437FF-2B1B-44C1-A43D-A4F1A25F7631}">
            <xm:f xml:space="preserve"> OR($X$30=+テーブル!A2,$X$30=+テーブル!A3,$X$30=+テーブル!A9,$X$30=+テーブル!A10,$X$30=+テーブル!A12,$X$30=+テーブル!A13,$X$30=+テーブル!A16)</xm:f>
            <x14:dxf>
              <font>
                <color rgb="FFFF0000"/>
              </font>
            </x14:dxf>
          </x14:cfRule>
          <xm:sqref>D30:E30</xm:sqref>
        </x14:conditionalFormatting>
        <x14:conditionalFormatting xmlns:xm="http://schemas.microsoft.com/office/excel/2006/main">
          <x14:cfRule type="expression" priority="53" stopIfTrue="1" id="{ADDE292C-112A-4185-B018-3F6FFD4A6DC9}">
            <xm:f xml:space="preserve"> OR($X$30=+テーブル!A2,$X$30=+テーブル!A4,$X$30=+テーブル!A9,$X$30=+テーブル!A11,$X$30=+テーブル!A12,$X$30=+テーブル!A14,$X$30=+テーブル!A16)</xm:f>
            <x14:dxf>
              <font>
                <color rgb="FFFF0000"/>
              </font>
            </x14:dxf>
          </x14:cfRule>
          <xm:sqref>F30:G30</xm:sqref>
        </x14:conditionalFormatting>
        <x14:conditionalFormatting xmlns:xm="http://schemas.microsoft.com/office/excel/2006/main">
          <x14:cfRule type="expression" priority="52" stopIfTrue="1" id="{A91E2222-62AE-453E-AA32-59F8AE3D256C}">
            <xm:f xml:space="preserve"> OR($X$30=+テーブル!A2,$X$30=+テーブル!A3,$X$30=+テーブル!A4,$X$30=+テーブル!A9,$X$30=+テーブル!A10,$X$30=+テーブル!A11,$X$30=+テーブル!A12,$X$30=+テーブル!A13,$X$30=+テーブル!A14,$X$30=+テーブル!A16)</xm:f>
            <x14:dxf>
              <font>
                <color rgb="FFFF0000"/>
              </font>
            </x14:dxf>
          </x14:cfRule>
          <xm:sqref>H30:I30</xm:sqref>
        </x14:conditionalFormatting>
        <x14:conditionalFormatting xmlns:xm="http://schemas.microsoft.com/office/excel/2006/main">
          <x14:cfRule type="expression" priority="51" stopIfTrue="1" id="{42916B9B-9BAB-4089-BEB0-4CBB1DC2DF3A}">
            <xm:f xml:space="preserve"> OR($X$31=+テーブル!A2,$X$31=+テーブル!A3,$X$31=+テーブル!A9,$X$31=+テーブル!A10,$X$31=+テーブル!A12,$X$31=+テーブル!A13,$X$31=+テーブル!A16)</xm:f>
            <x14:dxf>
              <font>
                <color rgb="FFFF0000"/>
              </font>
            </x14:dxf>
          </x14:cfRule>
          <xm:sqref>D31:E31</xm:sqref>
        </x14:conditionalFormatting>
        <x14:conditionalFormatting xmlns:xm="http://schemas.microsoft.com/office/excel/2006/main">
          <x14:cfRule type="expression" priority="50" stopIfTrue="1" id="{185A8363-B670-40ED-8A65-0A25E4E6DDFE}">
            <xm:f xml:space="preserve"> OR($X$31=+テーブル!A2,$X$31=+テーブル!A4,$X$31=+テーブル!A9,$X$31=+テーブル!A11,$X$31=+テーブル!A12,$X$31=+テーブル!A14,$X$31=+テーブル!A16)</xm:f>
            <x14:dxf>
              <font>
                <color rgb="FFFF0000"/>
              </font>
            </x14:dxf>
          </x14:cfRule>
          <xm:sqref>F31:G31</xm:sqref>
        </x14:conditionalFormatting>
        <x14:conditionalFormatting xmlns:xm="http://schemas.microsoft.com/office/excel/2006/main">
          <x14:cfRule type="expression" priority="49" stopIfTrue="1" id="{CF355F4E-9D5B-4577-922C-DF84828B849B}">
            <xm:f xml:space="preserve"> OR($X$31=+テーブル!A2,$X$31=+テーブル!A3,$X$31=+テーブル!A4,$X$31=+テーブル!A9,$X$31=+テーブル!A10,$X$31=+テーブル!A11,$X$31=+テーブル!A12,$X$31=+テーブル!A13,$X$31=+テーブル!A14,$X$31=+テーブル!A16)</xm:f>
            <x14:dxf>
              <font>
                <color rgb="FFFF0000"/>
              </font>
            </x14:dxf>
          </x14:cfRule>
          <xm:sqref>H31:I31</xm:sqref>
        </x14:conditionalFormatting>
        <x14:conditionalFormatting xmlns:xm="http://schemas.microsoft.com/office/excel/2006/main">
          <x14:cfRule type="expression" priority="48" stopIfTrue="1" id="{6D739EAF-610E-4173-BCC2-89A13B37B1AC}">
            <xm:f xml:space="preserve"> OR($X$32=+テーブル!A2,$X$32=+テーブル!A3,$X$32=+テーブル!A9,$X$32=+テーブル!A10,$X$32=+テーブル!A12,$X$32=+テーブル!A13,$X$32=+テーブル!A16)</xm:f>
            <x14:dxf>
              <font>
                <color rgb="FFFF0000"/>
              </font>
            </x14:dxf>
          </x14:cfRule>
          <xm:sqref>D32:E32</xm:sqref>
        </x14:conditionalFormatting>
        <x14:conditionalFormatting xmlns:xm="http://schemas.microsoft.com/office/excel/2006/main">
          <x14:cfRule type="expression" priority="47" stopIfTrue="1" id="{360D470F-F603-4E98-B805-05AD6ECE44AB}">
            <xm:f xml:space="preserve"> OR($X$32=+テーブル!A2,$X$32=+テーブル!A4,$X$32=+テーブル!A9,$X$32=+テーブル!A11,$X$32=+テーブル!A12,$X$32=+テーブル!A14,$X$32=+テーブル!A16)</xm:f>
            <x14:dxf>
              <font>
                <color rgb="FFFF0000"/>
              </font>
            </x14:dxf>
          </x14:cfRule>
          <xm:sqref>F32:G32</xm:sqref>
        </x14:conditionalFormatting>
        <x14:conditionalFormatting xmlns:xm="http://schemas.microsoft.com/office/excel/2006/main">
          <x14:cfRule type="expression" priority="46" stopIfTrue="1" id="{3A2E29A2-8FEF-4E0E-A488-5EDCFF0DB08E}">
            <xm:f xml:space="preserve"> OR($X$32=+テーブル!A2,$X$32=+テーブル!A3,$X$32=+テーブル!A4,$X$32=+テーブル!A9,$X$32=+テーブル!A10,$X$32=+テーブル!A11,$X$32=+テーブル!A12,$X$32=+テーブル!A13,$X$32=+テーブル!A14,$X$32=+テーブル!A16)</xm:f>
            <x14:dxf>
              <font>
                <color rgb="FFFF0000"/>
              </font>
            </x14:dxf>
          </x14:cfRule>
          <xm:sqref>H32:I32</xm:sqref>
        </x14:conditionalFormatting>
        <x14:conditionalFormatting xmlns:xm="http://schemas.microsoft.com/office/excel/2006/main">
          <x14:cfRule type="expression" priority="45" stopIfTrue="1" id="{1C9000C0-F0EB-4809-B8DF-CBC696B8C98E}">
            <xm:f xml:space="preserve"> OR($X$33=+テーブル!A2,$X$33=+テーブル!A3,$X$33=+テーブル!A9,$X$33=+テーブル!A10,$X$33=+テーブル!A12,$X$33=+テーブル!A13,$X$33=+テーブル!A16)</xm:f>
            <x14:dxf>
              <font>
                <color rgb="FFFF0000"/>
              </font>
            </x14:dxf>
          </x14:cfRule>
          <xm:sqref>D33:E33</xm:sqref>
        </x14:conditionalFormatting>
        <x14:conditionalFormatting xmlns:xm="http://schemas.microsoft.com/office/excel/2006/main">
          <x14:cfRule type="expression" priority="44" stopIfTrue="1" id="{C00C2CCF-F50E-437F-944F-B8669EE5C103}">
            <xm:f xml:space="preserve"> OR($X$33=+テーブル!A2,$X$33=+テーブル!A4,$X$33=+テーブル!A9,$X$33=+テーブル!A11,$X$33=+テーブル!A12,$X$33=+テーブル!A14,$X$33=+テーブル!A16)</xm:f>
            <x14:dxf>
              <font>
                <color rgb="FFFF0000"/>
              </font>
            </x14:dxf>
          </x14:cfRule>
          <xm:sqref>F33:G33</xm:sqref>
        </x14:conditionalFormatting>
        <x14:conditionalFormatting xmlns:xm="http://schemas.microsoft.com/office/excel/2006/main">
          <x14:cfRule type="expression" priority="43" stopIfTrue="1" id="{5ECFB9DA-B7CE-46CD-8E8D-4A96D2320349}">
            <xm:f xml:space="preserve"> OR($X$33=+テーブル!A2,$X$33=+テーブル!A3,$X$33=+テーブル!A4,$X$33=+テーブル!A9,$X$33=+テーブル!A10,$X$33=+テーブル!A11,$X$33=+テーブル!A12,$X$33=+テーブル!A13,$X$33=+テーブル!A14,$X$33=+テーブル!A16)</xm:f>
            <x14:dxf>
              <font>
                <color rgb="FFFF0000"/>
              </font>
            </x14:dxf>
          </x14:cfRule>
          <xm:sqref>H33:I33</xm:sqref>
        </x14:conditionalFormatting>
        <x14:conditionalFormatting xmlns:xm="http://schemas.microsoft.com/office/excel/2006/main">
          <x14:cfRule type="expression" priority="42" stopIfTrue="1" id="{015173D3-33E6-4A7C-ABA2-1B4AA39713E5}">
            <xm:f xml:space="preserve"> OR($X$34=+テーブル!A2,$X$34=+テーブル!A3,$X$34=+テーブル!A9,$X$34=+テーブル!A10,$X$34=+テーブル!A12,$X$34=+テーブル!A13,$X$34=+テーブル!A16)</xm:f>
            <x14:dxf>
              <font>
                <color rgb="FFFF0000"/>
              </font>
            </x14:dxf>
          </x14:cfRule>
          <xm:sqref>D34:E34</xm:sqref>
        </x14:conditionalFormatting>
        <x14:conditionalFormatting xmlns:xm="http://schemas.microsoft.com/office/excel/2006/main">
          <x14:cfRule type="expression" priority="41" stopIfTrue="1" id="{A0390F2D-D209-4246-ABA1-D657BCF99D6C}">
            <xm:f xml:space="preserve"> OR($X$34=+テーブル!A2,$X$34=+テーブル!A4,$X$34=+テーブル!A9,$X$34=+テーブル!A11,$X$34=+テーブル!A12,$X$34=+テーブル!A14,$X$34=+テーブル!A16)</xm:f>
            <x14:dxf>
              <font>
                <color rgb="FFFF0000"/>
              </font>
            </x14:dxf>
          </x14:cfRule>
          <xm:sqref>F34:G34</xm:sqref>
        </x14:conditionalFormatting>
        <x14:conditionalFormatting xmlns:xm="http://schemas.microsoft.com/office/excel/2006/main">
          <x14:cfRule type="expression" priority="40" stopIfTrue="1" id="{5342D898-6B94-490E-AF9A-7516EA6ABF28}">
            <xm:f xml:space="preserve"> OR($X$34=+テーブル!A2,$X$34=+テーブル!A3,$X$34=+テーブル!A4,$X$34=+テーブル!A9,$X$34=+テーブル!A10,$X$34=+テーブル!A11,$X$34=+テーブル!A12,$X$34=+テーブル!A13,$X$34=+テーブル!A14,$X$34=+テーブル!A16)</xm:f>
            <x14:dxf>
              <font>
                <color rgb="FFFF0000"/>
              </font>
            </x14:dxf>
          </x14:cfRule>
          <xm:sqref>H34:I34</xm:sqref>
        </x14:conditionalFormatting>
        <x14:conditionalFormatting xmlns:xm="http://schemas.microsoft.com/office/excel/2006/main">
          <x14:cfRule type="expression" priority="39" stopIfTrue="1" id="{978C664E-0049-44AF-83BC-38CAFAA692E4}">
            <xm:f xml:space="preserve"> OR($X$35=+テーブル!A2,$X$35=+テーブル!A3,$X$35=+テーブル!A9,$X$35=+テーブル!A10,$X$35=+テーブル!A12,$X$35=+テーブル!A13,$X$35=+テーブル!A16)</xm:f>
            <x14:dxf>
              <font>
                <color rgb="FFFF0000"/>
              </font>
            </x14:dxf>
          </x14:cfRule>
          <xm:sqref>D35:E35</xm:sqref>
        </x14:conditionalFormatting>
        <x14:conditionalFormatting xmlns:xm="http://schemas.microsoft.com/office/excel/2006/main">
          <x14:cfRule type="expression" priority="38" stopIfTrue="1" id="{2776132F-35E7-41C5-9915-884C92DA69DA}">
            <xm:f xml:space="preserve"> OR($X$35=+テーブル!A2,$X$35=+テーブル!A4,$X$35=+テーブル!A9,$X$35=+テーブル!A11,$X$35=+テーブル!A12,$X$35=+テーブル!A14,$X$35=+テーブル!A16)</xm:f>
            <x14:dxf>
              <font>
                <color rgb="FFFF0000"/>
              </font>
            </x14:dxf>
          </x14:cfRule>
          <xm:sqref>F35:G35</xm:sqref>
        </x14:conditionalFormatting>
        <x14:conditionalFormatting xmlns:xm="http://schemas.microsoft.com/office/excel/2006/main">
          <x14:cfRule type="expression" priority="37" stopIfTrue="1" id="{1DDBC83B-2142-4B7B-A6E5-2575C4230A68}">
            <xm:f xml:space="preserve"> OR($X$35=+テーブル!A2,$X$35=+テーブル!A3,$X$35=+テーブル!A4,$X$35=+テーブル!A9,$X$35=+テーブル!A10,$X$35=+テーブル!A11,$X$35=+テーブル!A12,$X$35=+テーブル!A13,$X$35=+テーブル!A14,$X$35=+テーブル!A16)</xm:f>
            <x14:dxf>
              <font>
                <color rgb="FFFF0000"/>
              </font>
            </x14:dxf>
          </x14:cfRule>
          <xm:sqref>H35:I35</xm:sqref>
        </x14:conditionalFormatting>
        <x14:conditionalFormatting xmlns:xm="http://schemas.microsoft.com/office/excel/2006/main">
          <x14:cfRule type="expression" priority="36" stopIfTrue="1" id="{3BAB28A7-D5ED-41B7-8589-B67182AB6D47}">
            <xm:f xml:space="preserve"> OR($X$36=+テーブル!A2,$X$36=+テーブル!A3,$X$36=+テーブル!A9,$X$36=+テーブル!A10,$X$36=+テーブル!A12,$X$36=+テーブル!A13,$X$36=+テーブル!A16)</xm:f>
            <x14:dxf>
              <font>
                <color rgb="FFFF0000"/>
              </font>
            </x14:dxf>
          </x14:cfRule>
          <xm:sqref>D36:E36</xm:sqref>
        </x14:conditionalFormatting>
        <x14:conditionalFormatting xmlns:xm="http://schemas.microsoft.com/office/excel/2006/main">
          <x14:cfRule type="expression" priority="35" stopIfTrue="1" id="{5E166650-351A-4B9C-8A7F-E6A3A322DB11}">
            <xm:f xml:space="preserve"> OR($X$36=+テーブル!A2,$X$36=+テーブル!A4,$X$36=+テーブル!A9,$X$36=+テーブル!A11,$X$36=+テーブル!A12,$X$36=+テーブル!A14,$X$36=+テーブル!A16)</xm:f>
            <x14:dxf>
              <font>
                <color rgb="FFFF0000"/>
              </font>
            </x14:dxf>
          </x14:cfRule>
          <xm:sqref>F36:G36</xm:sqref>
        </x14:conditionalFormatting>
        <x14:conditionalFormatting xmlns:xm="http://schemas.microsoft.com/office/excel/2006/main">
          <x14:cfRule type="expression" priority="34" stopIfTrue="1" id="{DFF5F586-823A-4BD9-A83A-E64571F7FA25}">
            <xm:f xml:space="preserve"> OR($X$36=+テーブル!A2,$X$36=+テーブル!A3,$X$36=+テーブル!A4,$X$36=+テーブル!A9,$X$36=+テーブル!A10,$X$36=+テーブル!A11,$X$36=+テーブル!A12,$X$36=+テーブル!A13,$X$36=+テーブル!A14,$X$36=+テーブル!A16)</xm:f>
            <x14:dxf>
              <font>
                <color rgb="FFFF0000"/>
              </font>
            </x14:dxf>
          </x14:cfRule>
          <xm:sqref>H36:I36</xm:sqref>
        </x14:conditionalFormatting>
        <x14:conditionalFormatting xmlns:xm="http://schemas.microsoft.com/office/excel/2006/main">
          <x14:cfRule type="expression" priority="33" stopIfTrue="1" id="{FD92FEBE-361E-42F6-ACC3-8518342E2A07}">
            <xm:f xml:space="preserve"> OR($X$37=+テーブル!A2,$X$37=+テーブル!A3,$X$37=+テーブル!A9,$X$37=+テーブル!A10,$X$37=+テーブル!A12,$X$37=+テーブル!A13,$X$37=+テーブル!A16)</xm:f>
            <x14:dxf>
              <font>
                <color rgb="FFFF0000"/>
              </font>
            </x14:dxf>
          </x14:cfRule>
          <xm:sqref>D37:E37</xm:sqref>
        </x14:conditionalFormatting>
        <x14:conditionalFormatting xmlns:xm="http://schemas.microsoft.com/office/excel/2006/main">
          <x14:cfRule type="expression" priority="32" stopIfTrue="1" id="{34CF6415-2C69-4DB3-A3DE-C033CE561B10}">
            <xm:f xml:space="preserve"> OR($X$37=+テーブル!A2,$X$37=+テーブル!A4,$X$37=+テーブル!A9,$X$37=+テーブル!A11,$X$37=+テーブル!A12,$X$37=+テーブル!A14,$X$37=+テーブル!A16)</xm:f>
            <x14:dxf>
              <font>
                <color rgb="FFFF0000"/>
              </font>
            </x14:dxf>
          </x14:cfRule>
          <xm:sqref>F37:G37</xm:sqref>
        </x14:conditionalFormatting>
        <x14:conditionalFormatting xmlns:xm="http://schemas.microsoft.com/office/excel/2006/main">
          <x14:cfRule type="expression" priority="31" stopIfTrue="1" id="{B9BB810D-2D06-46F3-836D-E730CBDC36AA}">
            <xm:f xml:space="preserve"> OR($X$37=+テーブル!A2,$X$37=+テーブル!A3,$X$37=+テーブル!A4,$X$37=+テーブル!A9,$X$37=+テーブル!A10,$X$37=+テーブル!A11,$X$37=+テーブル!A12,$X$37=+テーブル!A13,$X$37=+テーブル!A14,$X$37=+テーブル!A16)</xm:f>
            <x14:dxf>
              <font>
                <color rgb="FFFF0000"/>
              </font>
            </x14:dxf>
          </x14:cfRule>
          <xm:sqref>H37:I37</xm:sqref>
        </x14:conditionalFormatting>
        <x14:conditionalFormatting xmlns:xm="http://schemas.microsoft.com/office/excel/2006/main">
          <x14:cfRule type="expression" priority="30" stopIfTrue="1" id="{4F52137D-08B5-4D08-996B-F490BF8F023E}">
            <xm:f xml:space="preserve"> OR($X$38=+テーブル!A2,$X$38=+テーブル!A3,$X$38=+テーブル!A9,$X$38=+テーブル!A10,$X$38=+テーブル!A12,$X$38=+テーブル!A13,$X$38=+テーブル!A16)</xm:f>
            <x14:dxf>
              <font>
                <color rgb="FFFF0000"/>
              </font>
            </x14:dxf>
          </x14:cfRule>
          <xm:sqref>D38:E38</xm:sqref>
        </x14:conditionalFormatting>
        <x14:conditionalFormatting xmlns:xm="http://schemas.microsoft.com/office/excel/2006/main">
          <x14:cfRule type="expression" priority="29" stopIfTrue="1" id="{8373923C-5952-4FCF-8D0D-D64A222977DF}">
            <xm:f xml:space="preserve"> OR($X$38=+テーブル!A2,$X$38=+テーブル!A4,$X$38=+テーブル!A9,$X$38=+テーブル!A11,$X$38=+テーブル!A12,$X$38=+テーブル!A14,$X$38=+テーブル!A16)</xm:f>
            <x14:dxf>
              <font>
                <color rgb="FFFF0000"/>
              </font>
            </x14:dxf>
          </x14:cfRule>
          <xm:sqref>F38:G38</xm:sqref>
        </x14:conditionalFormatting>
        <x14:conditionalFormatting xmlns:xm="http://schemas.microsoft.com/office/excel/2006/main">
          <x14:cfRule type="expression" priority="28" stopIfTrue="1" id="{39DDD3AB-7CB7-4C2F-92A6-53A2D1B6211A}">
            <xm:f xml:space="preserve"> OR($X$38=+テーブル!A2,$X$38=+テーブル!A3,$X$38=+テーブル!A4,$X$38=+テーブル!A9,$X$38=+テーブル!A10,$X$38=+テーブル!A11,$X$38=+テーブル!A12,$X$38=+テーブル!A13,$X$38=+テーブル!A14,$X$38=+テーブル!A16)</xm:f>
            <x14:dxf>
              <font>
                <color rgb="FFFF0000"/>
              </font>
            </x14:dxf>
          </x14:cfRule>
          <xm:sqref>H38:I38</xm:sqref>
        </x14:conditionalFormatting>
        <x14:conditionalFormatting xmlns:xm="http://schemas.microsoft.com/office/excel/2006/main">
          <x14:cfRule type="expression" priority="27" stopIfTrue="1" id="{1CA794D0-F056-40BE-A78F-2D0A238EA99E}">
            <xm:f xml:space="preserve"> OR($X$39=+テーブル!A2,$X$39=+テーブル!A3,$X$39=+テーブル!A9,$X$39=+テーブル!A10,$X$39=+テーブル!A12,$X$39=+テーブル!A13,$X$39=+テーブル!A16)</xm:f>
            <x14:dxf>
              <font>
                <color rgb="FFFF0000"/>
              </font>
            </x14:dxf>
          </x14:cfRule>
          <xm:sqref>D39:E39</xm:sqref>
        </x14:conditionalFormatting>
        <x14:conditionalFormatting xmlns:xm="http://schemas.microsoft.com/office/excel/2006/main">
          <x14:cfRule type="expression" priority="26" stopIfTrue="1" id="{9989144F-10A4-411D-8D1B-AE1398717F1D}">
            <xm:f xml:space="preserve"> OR($X$39=+テーブル!A2,$X$39=+テーブル!A4,$X$39=+テーブル!A9,$X$39=+テーブル!A11,$X$39=+テーブル!A12,$X$39=+テーブル!A14,$X$39=+テーブル!A16)</xm:f>
            <x14:dxf>
              <font>
                <color rgb="FFFF0000"/>
              </font>
            </x14:dxf>
          </x14:cfRule>
          <xm:sqref>F39:G39</xm:sqref>
        </x14:conditionalFormatting>
        <x14:conditionalFormatting xmlns:xm="http://schemas.microsoft.com/office/excel/2006/main">
          <x14:cfRule type="expression" priority="25" stopIfTrue="1" id="{DC9E1FDF-9292-4477-A8E2-83A050A6B3EB}">
            <xm:f xml:space="preserve"> OR($X$39=+テーブル!A2,$X$39=+テーブル!A3,$X$39=+テーブル!A4,$X$39=+テーブル!A9,$X$39=+テーブル!A10,$X$39=+テーブル!A11,$X$39=+テーブル!A12,$X$39=+テーブル!A13,$X$39=+テーブル!A14,$X$39=+テーブル!A16)</xm:f>
            <x14:dxf>
              <font>
                <color rgb="FFFF0000"/>
              </font>
            </x14:dxf>
          </x14:cfRule>
          <xm:sqref>H39:I39</xm:sqref>
        </x14:conditionalFormatting>
        <x14:conditionalFormatting xmlns:xm="http://schemas.microsoft.com/office/excel/2006/main">
          <x14:cfRule type="expression" priority="24" stopIfTrue="1" id="{BF5CE94E-54F0-43F3-94D8-B32C3F62D0EF}">
            <xm:f xml:space="preserve"> OR($X$40=+テーブル!A2,$X$40=+テーブル!A3,$X$40=+テーブル!A9,$X$40=+テーブル!A10,$X$40=+テーブル!A12,$X$40=+テーブル!A13,$X$40=+テーブル!A16)</xm:f>
            <x14:dxf>
              <font>
                <color rgb="FFFF0000"/>
              </font>
            </x14:dxf>
          </x14:cfRule>
          <xm:sqref>D40:E40</xm:sqref>
        </x14:conditionalFormatting>
        <x14:conditionalFormatting xmlns:xm="http://schemas.microsoft.com/office/excel/2006/main">
          <x14:cfRule type="expression" priority="23" stopIfTrue="1" id="{1ECD6F34-19B4-494C-B177-18CEE6BABB53}">
            <xm:f xml:space="preserve"> OR($X$40=+テーブル!A2,$X$40=+テーブル!A4,$X$40=+テーブル!A9,$X$40=+テーブル!A11,$X$40=+テーブル!A12,$X$40=+テーブル!A14,$X$40=+テーブル!A16)</xm:f>
            <x14:dxf>
              <font>
                <color rgb="FFFF0000"/>
              </font>
            </x14:dxf>
          </x14:cfRule>
          <xm:sqref>F40:G40</xm:sqref>
        </x14:conditionalFormatting>
        <x14:conditionalFormatting xmlns:xm="http://schemas.microsoft.com/office/excel/2006/main">
          <x14:cfRule type="expression" priority="22" stopIfTrue="1" id="{74E88900-4A92-40E4-8F6C-F5581BF6CC39}">
            <xm:f xml:space="preserve"> OR($X$40=+テーブル!A2,$X$40=+テーブル!A3,$X$40=+テーブル!A4,$X$40=+テーブル!A9,$X$40=+テーブル!A10,$X$40=+テーブル!A11,$X$40=+テーブル!A12,$X$40=+テーブル!A13,$X$40=+テーブル!A14,$X$40=+テーブル!A16)</xm:f>
            <x14:dxf>
              <font>
                <color rgb="FFFF0000"/>
              </font>
            </x14:dxf>
          </x14:cfRule>
          <xm:sqref>H40:I40</xm:sqref>
        </x14:conditionalFormatting>
        <x14:conditionalFormatting xmlns:xm="http://schemas.microsoft.com/office/excel/2006/main">
          <x14:cfRule type="expression" priority="21" stopIfTrue="1" id="{2E40D64D-BD89-491C-9CFC-6160A5EDC0EF}">
            <xm:f xml:space="preserve"> OR($X$41=+テーブル!A2,$X$41=+テーブル!A3,$X$41=+テーブル!A9,$X$41=+テーブル!A10,$X$41=+テーブル!A12,$X$41=+テーブル!A13,$X$41=+テーブル!A16)</xm:f>
            <x14:dxf>
              <font>
                <color rgb="FFFF0000"/>
              </font>
            </x14:dxf>
          </x14:cfRule>
          <xm:sqref>D41:E41</xm:sqref>
        </x14:conditionalFormatting>
        <x14:conditionalFormatting xmlns:xm="http://schemas.microsoft.com/office/excel/2006/main">
          <x14:cfRule type="expression" priority="20" stopIfTrue="1" id="{2C17C3B2-F403-4248-B158-1571AA4C923B}">
            <xm:f xml:space="preserve"> OR($X$41=+テーブル!A2,$X$41=+テーブル!A4,$X$41=+テーブル!A9,$X$41=+テーブル!A11,$X$41=+テーブル!A12,$X$41=+テーブル!A14,$X$41=+テーブル!A16)</xm:f>
            <x14:dxf>
              <font>
                <color rgb="FFFF0000"/>
              </font>
            </x14:dxf>
          </x14:cfRule>
          <xm:sqref>F41:G41</xm:sqref>
        </x14:conditionalFormatting>
        <x14:conditionalFormatting xmlns:xm="http://schemas.microsoft.com/office/excel/2006/main">
          <x14:cfRule type="expression" priority="19" stopIfTrue="1" id="{5709927A-CF5D-4BB7-B52A-301BB645676B}">
            <xm:f xml:space="preserve"> OR($X$41=+テーブル!A2,$X$41=+テーブル!A3,$X$41=+テーブル!A4,$X$41=+テーブル!A9,$X$41=+テーブル!A10,$X$41=+テーブル!A11,$X$41=+テーブル!A12,$X$41=+テーブル!A13,$X$41=+テーブル!A14,$X$41=+テーブル!A16)</xm:f>
            <x14:dxf>
              <font>
                <color rgb="FFFF0000"/>
              </font>
            </x14:dxf>
          </x14:cfRule>
          <xm:sqref>H41:I41</xm:sqref>
        </x14:conditionalFormatting>
        <x14:conditionalFormatting xmlns:xm="http://schemas.microsoft.com/office/excel/2006/main">
          <x14:cfRule type="expression" priority="18" stopIfTrue="1" id="{EF7209B6-A85A-4650-9A92-D83FD449D7AB}">
            <xm:f xml:space="preserve"> OR($X$42=+テーブル!A2,$X$42=+テーブル!A3,$X$42=+テーブル!A9,$X$42=+テーブル!A10,$X$42=+テーブル!A12,$X$42=+テーブル!A13,$X$42=+テーブル!A16)</xm:f>
            <x14:dxf>
              <font>
                <color rgb="FFFF0000"/>
              </font>
            </x14:dxf>
          </x14:cfRule>
          <xm:sqref>D42:E42</xm:sqref>
        </x14:conditionalFormatting>
        <x14:conditionalFormatting xmlns:xm="http://schemas.microsoft.com/office/excel/2006/main">
          <x14:cfRule type="expression" priority="17" stopIfTrue="1" id="{BEA87BEF-8F53-400D-8B1C-FE4F8CC57026}">
            <xm:f xml:space="preserve"> OR($X$42=+テーブル!A2,$X$42=+テーブル!A4,$X$42=+テーブル!A9,$X$42=+テーブル!A11,$X$42=+テーブル!A12,$X$42=+テーブル!A14,$X$42=+テーブル!A16)</xm:f>
            <x14:dxf>
              <font>
                <color rgb="FFFF0000"/>
              </font>
            </x14:dxf>
          </x14:cfRule>
          <xm:sqref>F42:G42</xm:sqref>
        </x14:conditionalFormatting>
        <x14:conditionalFormatting xmlns:xm="http://schemas.microsoft.com/office/excel/2006/main">
          <x14:cfRule type="expression" priority="16" stopIfTrue="1" id="{CD9ACF63-5004-4AE0-85EA-0DD36C9CDB2C}">
            <xm:f xml:space="preserve"> OR($X$42=+テーブル!A2,$X$42=+テーブル!A3,$X$42=+テーブル!A4,$X$42=+テーブル!A9,$X$42=+テーブル!A10,$X$42=+テーブル!A11,$X$42=+テーブル!A12,$X$42=+テーブル!A13,$X$42=+テーブル!A14,$X$42=+テーブル!A16)</xm:f>
            <x14:dxf>
              <font>
                <color rgb="FFFF0000"/>
              </font>
            </x14:dxf>
          </x14:cfRule>
          <xm:sqref>H42:I42</xm:sqref>
        </x14:conditionalFormatting>
        <x14:conditionalFormatting xmlns:xm="http://schemas.microsoft.com/office/excel/2006/main">
          <x14:cfRule type="expression" priority="15" stopIfTrue="1" id="{B88F39C7-FD63-44EF-A3AC-9928DB50444D}">
            <xm:f xml:space="preserve"> OR($X$43=+テーブル!A2,$X$43=+テーブル!A3,$X$43=+テーブル!A9,$X$43=+テーブル!A10,$X$43=+テーブル!A12,$X$43=+テーブル!A13,$X$43=+テーブル!A16)</xm:f>
            <x14:dxf>
              <font>
                <color rgb="FFFF0000"/>
              </font>
            </x14:dxf>
          </x14:cfRule>
          <xm:sqref>D43:E43</xm:sqref>
        </x14:conditionalFormatting>
        <x14:conditionalFormatting xmlns:xm="http://schemas.microsoft.com/office/excel/2006/main">
          <x14:cfRule type="expression" priority="14" stopIfTrue="1" id="{8249361D-F502-433A-A479-3A7B576491E4}">
            <xm:f xml:space="preserve"> OR($X$43=+テーブル!A2,$X$43=+テーブル!A4,$X$43=+テーブル!A9,$X$43=+テーブル!A11,$X$43=+テーブル!A12,$X$43=+テーブル!A14,$X$43=+テーブル!A16)</xm:f>
            <x14:dxf>
              <font>
                <color rgb="FFFF0000"/>
              </font>
            </x14:dxf>
          </x14:cfRule>
          <xm:sqref>F43:G43</xm:sqref>
        </x14:conditionalFormatting>
        <x14:conditionalFormatting xmlns:xm="http://schemas.microsoft.com/office/excel/2006/main">
          <x14:cfRule type="expression" priority="13" stopIfTrue="1" id="{BB53E333-2417-4D11-A6FC-8A582E578689}">
            <xm:f xml:space="preserve"> OR($X$43=+テーブル!A2,$X$43=+テーブル!A3,$X$43=+テーブル!A4,$X$43=+テーブル!A9,$X$43=+テーブル!A10,$X$43=+テーブル!A11,$X$43=+テーブル!A12,$X$43=+テーブル!A13,$X$43=+テーブル!A14,$X$43=+テーブル!A16)</xm:f>
            <x14:dxf>
              <font>
                <color rgb="FFFF0000"/>
              </font>
            </x14:dxf>
          </x14:cfRule>
          <xm:sqref>H43:I43</xm:sqref>
        </x14:conditionalFormatting>
        <x14:conditionalFormatting xmlns:xm="http://schemas.microsoft.com/office/excel/2006/main">
          <x14:cfRule type="expression" priority="12" stopIfTrue="1" id="{0194FD92-3167-4AA3-B92D-C9FA3DC7264E}">
            <xm:f xml:space="preserve"> OR($X$44=+テーブル!A2,$X$44=+テーブル!A3,$X$44=+テーブル!A9,$X$44=+テーブル!A10,$X$44=+テーブル!A12,$X$44=+テーブル!A13,$X$44=+テーブル!A16)</xm:f>
            <x14:dxf>
              <font>
                <color rgb="FFFF0000"/>
              </font>
            </x14:dxf>
          </x14:cfRule>
          <xm:sqref>D44:E44</xm:sqref>
        </x14:conditionalFormatting>
        <x14:conditionalFormatting xmlns:xm="http://schemas.microsoft.com/office/excel/2006/main">
          <x14:cfRule type="expression" priority="11" stopIfTrue="1" id="{3F3E9CDF-0A97-494A-B13C-1AAF60DB3140}">
            <xm:f xml:space="preserve"> OR($X$44=+テーブル!A2,$X$44=+テーブル!A4,$X$44=+テーブル!A9,$X$44=+テーブル!A11,$X$44=+テーブル!A12,$X$44=+テーブル!A14,$X$44=+テーブル!A16)</xm:f>
            <x14:dxf>
              <font>
                <color rgb="FFFF0000"/>
              </font>
            </x14:dxf>
          </x14:cfRule>
          <xm:sqref>F44:G44</xm:sqref>
        </x14:conditionalFormatting>
        <x14:conditionalFormatting xmlns:xm="http://schemas.microsoft.com/office/excel/2006/main">
          <x14:cfRule type="expression" priority="10" stopIfTrue="1" id="{A5F6C41D-DF33-454F-9003-3D4741340D9F}">
            <xm:f xml:space="preserve"> OR($X$44=+テーブル!A2,$X$44=+テーブル!A3,$X$44=+テーブル!A4,$X$44=+テーブル!A9,$X$44=+テーブル!A10,$X$44=+テーブル!A11,$X$44=+テーブル!A12,$X$44=+テーブル!A13,$X$44=+テーブル!A14,$X$44=+テーブル!A16)</xm:f>
            <x14:dxf>
              <font>
                <color rgb="FFFF0000"/>
              </font>
            </x14:dxf>
          </x14:cfRule>
          <xm:sqref>H44:I44</xm:sqref>
        </x14:conditionalFormatting>
        <x14:conditionalFormatting xmlns:xm="http://schemas.microsoft.com/office/excel/2006/main">
          <x14:cfRule type="expression" priority="9" stopIfTrue="1" id="{982E6463-796E-4E48-82B3-0FD38969A667}">
            <xm:f xml:space="preserve"> OR($X$45=+テーブル!A2,$X$45=+テーブル!A3,$X$45=+テーブル!A9,$X$45=+テーブル!A10,$X$45=+テーブル!A12,$X$45=+テーブル!A13,$X$45=+テーブル!A16)</xm:f>
            <x14:dxf>
              <font>
                <color rgb="FFFF0000"/>
              </font>
            </x14:dxf>
          </x14:cfRule>
          <xm:sqref>D45:E45</xm:sqref>
        </x14:conditionalFormatting>
        <x14:conditionalFormatting xmlns:xm="http://schemas.microsoft.com/office/excel/2006/main">
          <x14:cfRule type="expression" priority="8" stopIfTrue="1" id="{B87E6FCE-E5EF-4A03-B6FD-50E47152E5DA}">
            <xm:f xml:space="preserve"> OR($X$45=+テーブル!A2,$X$45=+テーブル!A4,$X$45=+テーブル!A9,$X$45=+テーブル!A11,$X$45=+テーブル!A12,$X$45=+テーブル!A14,$X$45=+テーブル!A16)</xm:f>
            <x14:dxf>
              <font>
                <color rgb="FFFF0000"/>
              </font>
            </x14:dxf>
          </x14:cfRule>
          <xm:sqref>F45:G45</xm:sqref>
        </x14:conditionalFormatting>
        <x14:conditionalFormatting xmlns:xm="http://schemas.microsoft.com/office/excel/2006/main">
          <x14:cfRule type="expression" priority="7" stopIfTrue="1" id="{2D35D4E1-195E-4C0F-BEBA-BBF040F95955}">
            <xm:f xml:space="preserve"> OR($X$45=+テーブル!A2,$X$45=+テーブル!A3,$X$45=+テーブル!A4,$X$45=+テーブル!A9,$X$45=+テーブル!A10,$X$45=+テーブル!A11,$X$45=+テーブル!A12,$X$45=+テーブル!A13,$X$45=+テーブル!A14,$X$45=+テーブル!A16)</xm:f>
            <x14:dxf>
              <font>
                <color rgb="FFFF0000"/>
              </font>
            </x14:dxf>
          </x14:cfRule>
          <xm:sqref>H45:I45</xm:sqref>
        </x14:conditionalFormatting>
        <x14:conditionalFormatting xmlns:xm="http://schemas.microsoft.com/office/excel/2006/main">
          <x14:cfRule type="expression" priority="6" stopIfTrue="1" id="{9283A679-FA42-4FBB-979D-E65AD0BDAB0C}">
            <xm:f xml:space="preserve"> OR($X$46=+テーブル!A2,$X$46=+テーブル!A3,$X$46=+テーブル!A9,$X$46=+テーブル!A10,$X$46=+テーブル!A12,$X$46=+テーブル!A13,$X$46=+テーブル!A16)</xm:f>
            <x14:dxf>
              <font>
                <color rgb="FFFF0000"/>
              </font>
            </x14:dxf>
          </x14:cfRule>
          <xm:sqref>D46:E46</xm:sqref>
        </x14:conditionalFormatting>
        <x14:conditionalFormatting xmlns:xm="http://schemas.microsoft.com/office/excel/2006/main">
          <x14:cfRule type="expression" priority="5" stopIfTrue="1" id="{33263AE1-9B95-41C3-871E-3E63245BC192}">
            <xm:f xml:space="preserve"> OR($X$46=+テーブル!A2,$X$46=+テーブル!A4,$X$46=+テーブル!A9,$X$46=+テーブル!A11,$X$46=+テーブル!A12,$X$46=+テーブル!A14,$X$46=+テーブル!A16)</xm:f>
            <x14:dxf>
              <font>
                <color rgb="FFFF0000"/>
              </font>
            </x14:dxf>
          </x14:cfRule>
          <xm:sqref>F46:G46</xm:sqref>
        </x14:conditionalFormatting>
        <x14:conditionalFormatting xmlns:xm="http://schemas.microsoft.com/office/excel/2006/main">
          <x14:cfRule type="expression" priority="4" stopIfTrue="1" id="{2D7D798B-B41E-41FE-93A6-45AC8237B60B}">
            <xm:f xml:space="preserve"> OR($X$46=+テーブル!A2,$X$46=+テーブル!A3,$X$46=+テーブル!A4,$X$46=+テーブル!A9,$X$46=+テーブル!A10,$X$46=+テーブル!A11,$X$46=+テーブル!A12,$X$46=+テーブル!A13,$X$46=+テーブル!A14,$X$46=+テーブル!A16)</xm:f>
            <x14:dxf>
              <font>
                <color rgb="FFFF0000"/>
              </font>
            </x14:dxf>
          </x14:cfRule>
          <xm:sqref>H46:I46</xm:sqref>
        </x14:conditionalFormatting>
        <x14:conditionalFormatting xmlns:xm="http://schemas.microsoft.com/office/excel/2006/main">
          <x14:cfRule type="expression" priority="3" stopIfTrue="1" id="{3D4A965E-AE5E-4A5A-9035-942D535A231B}">
            <xm:f xml:space="preserve"> OR($X$47=+テーブル!A2,$X$47=+テーブル!A3,$X$47=+テーブル!A9,$X$47=+テーブル!A10,$X$47=+テーブル!A12,$X$47=+テーブル!A13,$X$47=+テーブル!A16)</xm:f>
            <x14:dxf>
              <font>
                <color rgb="FFFF0000"/>
              </font>
            </x14:dxf>
          </x14:cfRule>
          <xm:sqref>D47:E47</xm:sqref>
        </x14:conditionalFormatting>
        <x14:conditionalFormatting xmlns:xm="http://schemas.microsoft.com/office/excel/2006/main">
          <x14:cfRule type="expression" priority="2" stopIfTrue="1" id="{398B83D1-794D-48D9-9802-AE1A9EDFBFCF}">
            <xm:f xml:space="preserve"> OR($X$47=+テーブル!A2,$X$47=+テーブル!A4,$X$47=+テーブル!A9,$X$47=+テーブル!A11,$X$47=+テーブル!A12,$X$47=+テーブル!A14,$X$47=+テーブル!A16)</xm:f>
            <x14:dxf>
              <font>
                <color rgb="FFFF0000"/>
              </font>
            </x14:dxf>
          </x14:cfRule>
          <xm:sqref>F47:G47</xm:sqref>
        </x14:conditionalFormatting>
        <x14:conditionalFormatting xmlns:xm="http://schemas.microsoft.com/office/excel/2006/main">
          <x14:cfRule type="expression" priority="1" stopIfTrue="1" id="{324626C8-0E69-4689-B428-73AC554693BD}">
            <xm:f xml:space="preserve"> OR($X$47=+テーブル!A2,$X$47=+テーブル!A3,$X$47=+テーブル!A4,$X$47=+テーブル!A9,$X$47=+テーブル!A10,$X$47=+テーブル!A11,$X$47=+テーブル!A12,$X$47=+テーブル!A13,$X$47=+テーブル!A14,$X$47=+テーブル!A16)</xm:f>
            <x14:dxf>
              <font>
                <color rgb="FFFF0000"/>
              </font>
            </x14:dxf>
          </x14:cfRule>
          <xm:sqref>H47:I47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BC487A7-B77D-4541-A890-886FA0FEF29F}">
          <x14:formula1>
            <xm:f>テーブル!$Q:$Q</xm:f>
          </x14:formula1>
          <xm:sqref>D62:I64</xm:sqref>
        </x14:dataValidation>
        <x14:dataValidation type="list" allowBlank="1" showInputMessage="1" showErrorMessage="1" xr:uid="{D013E338-04CC-4C96-9B44-562E278DACFE}">
          <x14:formula1>
            <xm:f>テーブル!$P:$P</xm:f>
          </x14:formula1>
          <xm:sqref>D61:I61</xm:sqref>
        </x14:dataValidation>
        <x14:dataValidation type="list" allowBlank="1" showInputMessage="1" showErrorMessage="1" xr:uid="{98C2F65D-2C5B-452A-A5C5-FDF1106D46F2}">
          <x14:formula1>
            <xm:f>テーブル!$B:$B</xm:f>
          </x14:formula1>
          <xm:sqref>P57:W57</xm:sqref>
        </x14:dataValidation>
        <x14:dataValidation type="list" allowBlank="1" showInputMessage="1" showErrorMessage="1" xr:uid="{411B49D1-ABF3-4FB3-B3FE-CCEF01D1B4A3}">
          <x14:formula1>
            <xm:f>テーブル!$A:$A</xm:f>
          </x14:formula1>
          <xm:sqref>X17:Z47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CEDF-E835-4B50-B7FA-96E7FB399525}">
  <sheetPr codeName="Sheet32">
    <pageSetUpPr fitToPage="1"/>
  </sheetPr>
  <dimension ref="A1:AH83"/>
  <sheetViews>
    <sheetView view="pageBreakPreview" zoomScaleNormal="130" zoomScaleSheetLayoutView="100" workbookViewId="0">
      <pane ySplit="16" topLeftCell="A17" activePane="bottomLeft" state="frozen"/>
      <selection activeCell="AC46" sqref="AC46"/>
      <selection pane="bottomLeft" activeCell="AJ27" sqref="AJ27"/>
    </sheetView>
  </sheetViews>
  <sheetFormatPr defaultRowHeight="13" x14ac:dyDescent="0.2"/>
  <cols>
    <col min="1" max="1" width="5.36328125" customWidth="1"/>
    <col min="2" max="7" width="3.6328125" customWidth="1"/>
    <col min="8" max="8" width="4.36328125" customWidth="1"/>
    <col min="9" max="12" width="3.6328125" customWidth="1"/>
    <col min="13" max="15" width="3.90625" customWidth="1"/>
    <col min="16" max="26" width="3.6328125" customWidth="1"/>
    <col min="27" max="28" width="10.453125" bestFit="1" customWidth="1"/>
    <col min="257" max="282" width="3.6328125" customWidth="1"/>
    <col min="513" max="538" width="3.6328125" customWidth="1"/>
    <col min="769" max="794" width="3.6328125" customWidth="1"/>
    <col min="1025" max="1050" width="3.6328125" customWidth="1"/>
    <col min="1281" max="1306" width="3.6328125" customWidth="1"/>
    <col min="1537" max="1562" width="3.6328125" customWidth="1"/>
    <col min="1793" max="1818" width="3.6328125" customWidth="1"/>
    <col min="2049" max="2074" width="3.6328125" customWidth="1"/>
    <col min="2305" max="2330" width="3.6328125" customWidth="1"/>
    <col min="2561" max="2586" width="3.6328125" customWidth="1"/>
    <col min="2817" max="2842" width="3.6328125" customWidth="1"/>
    <col min="3073" max="3098" width="3.6328125" customWidth="1"/>
    <col min="3329" max="3354" width="3.6328125" customWidth="1"/>
    <col min="3585" max="3610" width="3.6328125" customWidth="1"/>
    <col min="3841" max="3866" width="3.6328125" customWidth="1"/>
    <col min="4097" max="4122" width="3.6328125" customWidth="1"/>
    <col min="4353" max="4378" width="3.6328125" customWidth="1"/>
    <col min="4609" max="4634" width="3.6328125" customWidth="1"/>
    <col min="4865" max="4890" width="3.6328125" customWidth="1"/>
    <col min="5121" max="5146" width="3.6328125" customWidth="1"/>
    <col min="5377" max="5402" width="3.6328125" customWidth="1"/>
    <col min="5633" max="5658" width="3.6328125" customWidth="1"/>
    <col min="5889" max="5914" width="3.6328125" customWidth="1"/>
    <col min="6145" max="6170" width="3.6328125" customWidth="1"/>
    <col min="6401" max="6426" width="3.6328125" customWidth="1"/>
    <col min="6657" max="6682" width="3.6328125" customWidth="1"/>
    <col min="6913" max="6938" width="3.6328125" customWidth="1"/>
    <col min="7169" max="7194" width="3.6328125" customWidth="1"/>
    <col min="7425" max="7450" width="3.6328125" customWidth="1"/>
    <col min="7681" max="7706" width="3.6328125" customWidth="1"/>
    <col min="7937" max="7962" width="3.6328125" customWidth="1"/>
    <col min="8193" max="8218" width="3.6328125" customWidth="1"/>
    <col min="8449" max="8474" width="3.6328125" customWidth="1"/>
    <col min="8705" max="8730" width="3.6328125" customWidth="1"/>
    <col min="8961" max="8986" width="3.6328125" customWidth="1"/>
    <col min="9217" max="9242" width="3.6328125" customWidth="1"/>
    <col min="9473" max="9498" width="3.6328125" customWidth="1"/>
    <col min="9729" max="9754" width="3.6328125" customWidth="1"/>
    <col min="9985" max="10010" width="3.6328125" customWidth="1"/>
    <col min="10241" max="10266" width="3.6328125" customWidth="1"/>
    <col min="10497" max="10522" width="3.6328125" customWidth="1"/>
    <col min="10753" max="10778" width="3.6328125" customWidth="1"/>
    <col min="11009" max="11034" width="3.6328125" customWidth="1"/>
    <col min="11265" max="11290" width="3.6328125" customWidth="1"/>
    <col min="11521" max="11546" width="3.6328125" customWidth="1"/>
    <col min="11777" max="11802" width="3.6328125" customWidth="1"/>
    <col min="12033" max="12058" width="3.6328125" customWidth="1"/>
    <col min="12289" max="12314" width="3.6328125" customWidth="1"/>
    <col min="12545" max="12570" width="3.6328125" customWidth="1"/>
    <col min="12801" max="12826" width="3.6328125" customWidth="1"/>
    <col min="13057" max="13082" width="3.6328125" customWidth="1"/>
    <col min="13313" max="13338" width="3.6328125" customWidth="1"/>
    <col min="13569" max="13594" width="3.6328125" customWidth="1"/>
    <col min="13825" max="13850" width="3.6328125" customWidth="1"/>
    <col min="14081" max="14106" width="3.6328125" customWidth="1"/>
    <col min="14337" max="14362" width="3.6328125" customWidth="1"/>
    <col min="14593" max="14618" width="3.6328125" customWidth="1"/>
    <col min="14849" max="14874" width="3.6328125" customWidth="1"/>
    <col min="15105" max="15130" width="3.6328125" customWidth="1"/>
    <col min="15361" max="15386" width="3.6328125" customWidth="1"/>
    <col min="15617" max="15642" width="3.6328125" customWidth="1"/>
    <col min="15873" max="15898" width="3.6328125" customWidth="1"/>
    <col min="16129" max="16154" width="3.6328125" customWidth="1"/>
  </cols>
  <sheetData>
    <row r="1" spans="1:32" ht="8" customHeight="1" x14ac:dyDescent="0.2">
      <c r="A1" s="55">
        <v>45413</v>
      </c>
      <c r="B1" s="85">
        <v>45413</v>
      </c>
      <c r="AB1" s="55"/>
      <c r="AC1" s="57"/>
    </row>
    <row r="2" spans="1:32" ht="8" customHeight="1" x14ac:dyDescent="0.2">
      <c r="A2" s="3"/>
      <c r="B2" s="3"/>
      <c r="C2" s="3"/>
      <c r="D2" s="3"/>
      <c r="E2" s="3"/>
      <c r="F2" s="3"/>
      <c r="G2" s="3"/>
      <c r="H2" s="3"/>
      <c r="I2" s="3"/>
      <c r="J2" s="4"/>
      <c r="K2" s="4"/>
      <c r="L2" s="5"/>
      <c r="M2" s="6"/>
      <c r="N2" s="6"/>
      <c r="O2" s="6"/>
      <c r="P2" s="4"/>
      <c r="X2" t="s">
        <v>66</v>
      </c>
      <c r="Y2" s="361">
        <f>LOOKUP(10^10,Ver管理!C3:C33)</f>
        <v>6</v>
      </c>
      <c r="Z2" s="361"/>
    </row>
    <row r="3" spans="1:32" ht="10" customHeight="1" thickBot="1" x14ac:dyDescent="0.25">
      <c r="A3" s="362">
        <f ca="1">+VLOOKUP(AB5,テーブル!L:M,2,0)</f>
        <v>46266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2"/>
      <c r="R3" s="362"/>
      <c r="S3" s="362"/>
      <c r="T3" s="362"/>
      <c r="U3" s="362"/>
      <c r="V3" s="362"/>
      <c r="W3" s="362"/>
      <c r="X3" s="362"/>
      <c r="Y3" s="362"/>
      <c r="Z3" s="362"/>
    </row>
    <row r="4" spans="1:32" ht="10" customHeight="1" x14ac:dyDescent="0.2">
      <c r="A4" s="362"/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B4" s="68"/>
      <c r="AC4" s="69"/>
      <c r="AD4" s="70"/>
    </row>
    <row r="5" spans="1:32" ht="14.15" customHeight="1" x14ac:dyDescent="0.2">
      <c r="A5" s="363" t="s">
        <v>202</v>
      </c>
      <c r="B5" s="363"/>
      <c r="C5" s="363"/>
      <c r="D5" s="363"/>
      <c r="E5" s="364" t="str">
        <f>+'8月'!$E$5</f>
        <v>NMHT　社員</v>
      </c>
      <c r="F5" s="364"/>
      <c r="G5" s="364"/>
      <c r="H5" s="364"/>
      <c r="I5" s="364"/>
      <c r="J5" s="7"/>
      <c r="K5" s="7"/>
      <c r="L5" s="7"/>
      <c r="M5" s="7"/>
      <c r="N5" s="7"/>
      <c r="O5" s="7"/>
      <c r="P5" s="7" t="str">
        <f ca="1">IF(_xlfn.XLOOKUP(当月,テーブル!U:U,テーブル!V:V,0,FALSE)+_xlfn.XLOOKUP(当月,テーブル!U:U,テーブル!W:W,0,FALSE)&lt;&gt;_xlfn.XLOOKUP(AB6,テーブル!U:U,テーブル!V:V,0,FALSE)+_xlfn.XLOOKUP(AB6,テーブル!U:U,テーブル!W:W,0,FALSE),"基給+手当1に前月と差異があります。","")</f>
        <v/>
      </c>
      <c r="Q5" s="7"/>
      <c r="R5" s="8"/>
      <c r="S5" s="8"/>
      <c r="T5" s="8"/>
      <c r="U5" s="8"/>
      <c r="AB5" s="71" t="str" cm="1">
        <f t="array" aca="1" ref="AB5" ca="1">RIGHT(CELL("filename",A1),LEN(CELL("filename",A1))-FIND("]",CELL("filename",A1)))</f>
        <v>9月</v>
      </c>
      <c r="AC5" t="s">
        <v>158</v>
      </c>
      <c r="AD5" s="72"/>
    </row>
    <row r="6" spans="1:32" ht="14.15" customHeight="1" x14ac:dyDescent="0.25">
      <c r="A6" s="366">
        <f>+'8月'!$A$6</f>
        <v>2000002</v>
      </c>
      <c r="B6" s="366"/>
      <c r="C6" s="366"/>
      <c r="D6" s="366"/>
      <c r="E6" s="365"/>
      <c r="F6" s="365"/>
      <c r="G6" s="365"/>
      <c r="H6" s="365"/>
      <c r="I6" s="365"/>
      <c r="J6" s="9" t="s">
        <v>98</v>
      </c>
      <c r="K6" s="108" t="str">
        <f ca="1">HYPERLINK(LEFT(TEXT(CELL("filename",B2),0),SEARCH("\[",TEXT(CELL("filename",B2),0),1)-1)&amp;"\")</f>
        <v>Z:\マクロ保管場所谷津用\2月控除分\</v>
      </c>
      <c r="L6" s="5"/>
      <c r="M6" s="6"/>
      <c r="N6" s="6"/>
      <c r="O6" s="6"/>
      <c r="P6" s="4"/>
      <c r="AB6" s="71" t="str">
        <f ca="1">+IF(SUBSTITUTE(当月,"月","")-1=0,12,SUBSTITUTE(当月,"月","")-1) &amp; "月"</f>
        <v>8月</v>
      </c>
      <c r="AC6" s="74" t="s">
        <v>170</v>
      </c>
      <c r="AD6" s="72"/>
    </row>
    <row r="7" spans="1:32" ht="14.15" customHeight="1" x14ac:dyDescent="0.2">
      <c r="I7" s="3"/>
      <c r="K7" s="11"/>
      <c r="N7" s="368"/>
      <c r="O7" s="368"/>
      <c r="P7" s="367" t="s">
        <v>272</v>
      </c>
      <c r="Q7" s="358"/>
      <c r="R7" s="358"/>
      <c r="S7" s="358"/>
      <c r="T7" s="358"/>
      <c r="U7" s="358"/>
      <c r="V7" s="358"/>
      <c r="W7" s="358"/>
      <c r="X7" s="358"/>
      <c r="Y7" s="358"/>
      <c r="Z7" s="358"/>
      <c r="AB7" s="73"/>
      <c r="AC7" s="56">
        <v>0.91666666666666663</v>
      </c>
      <c r="AD7" s="72"/>
    </row>
    <row r="8" spans="1:32" ht="14.15" hidden="1" customHeight="1" thickBot="1" x14ac:dyDescent="0.25">
      <c r="A8" s="163" t="s">
        <v>99</v>
      </c>
      <c r="B8" s="120"/>
      <c r="C8" s="350" t="str">
        <f>+'8月'!C8</f>
        <v>株式会社エヌエム・ヒューマテック</v>
      </c>
      <c r="D8" s="351"/>
      <c r="E8" s="351"/>
      <c r="F8" s="351"/>
      <c r="G8" s="351"/>
      <c r="H8" s="351"/>
      <c r="I8" s="352"/>
      <c r="J8" s="353"/>
      <c r="K8" s="11"/>
      <c r="L8" s="1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B8" s="75">
        <f ca="1">+IF(給与体系="管理監督者",0,IF(給与体系="月給制",1,2))</f>
        <v>2</v>
      </c>
      <c r="AC8" s="76">
        <v>0.20833333333333334</v>
      </c>
      <c r="AD8" s="77"/>
    </row>
    <row r="9" spans="1:32" ht="14.15" hidden="1" customHeight="1" x14ac:dyDescent="0.2">
      <c r="A9" s="166"/>
      <c r="B9" s="123"/>
      <c r="C9" s="354"/>
      <c r="D9" s="355"/>
      <c r="E9" s="355"/>
      <c r="F9" s="355"/>
      <c r="G9" s="355"/>
      <c r="H9" s="355"/>
      <c r="I9" s="356"/>
      <c r="J9" s="357"/>
      <c r="K9" s="13"/>
      <c r="P9" s="53"/>
      <c r="Q9" s="54" t="s">
        <v>269</v>
      </c>
      <c r="R9" s="52"/>
      <c r="S9" s="52"/>
      <c r="T9" s="358" t="s">
        <v>270</v>
      </c>
      <c r="U9" s="358"/>
      <c r="V9" s="358"/>
      <c r="W9" s="358"/>
      <c r="X9" s="358"/>
      <c r="Y9" s="358"/>
      <c r="Z9" s="358"/>
    </row>
    <row r="10" spans="1:32" ht="14.15" hidden="1" customHeight="1" x14ac:dyDescent="0.2">
      <c r="A10" s="163" t="s">
        <v>100</v>
      </c>
      <c r="B10" s="120"/>
      <c r="C10" s="359" t="str">
        <f>+'8月'!C10</f>
        <v>管理部</v>
      </c>
      <c r="D10" s="332"/>
      <c r="E10" s="332"/>
      <c r="F10" s="332"/>
      <c r="G10" s="332"/>
      <c r="H10" s="332"/>
      <c r="I10" s="333"/>
      <c r="J10" s="334"/>
      <c r="K10" s="13"/>
      <c r="P10" s="53"/>
      <c r="Q10" s="52"/>
      <c r="R10" s="52"/>
      <c r="S10" s="52"/>
      <c r="T10" s="360" t="s">
        <v>271</v>
      </c>
      <c r="U10" s="360"/>
      <c r="V10" s="360"/>
      <c r="W10" s="360"/>
      <c r="X10" s="360"/>
      <c r="Y10" s="360"/>
      <c r="Z10" s="360"/>
    </row>
    <row r="11" spans="1:32" ht="14.15" hidden="1" customHeight="1" x14ac:dyDescent="0.2">
      <c r="A11" s="166"/>
      <c r="B11" s="123"/>
      <c r="C11" s="335"/>
      <c r="D11" s="336"/>
      <c r="E11" s="336"/>
      <c r="F11" s="336"/>
      <c r="G11" s="336"/>
      <c r="H11" s="336"/>
      <c r="I11" s="337"/>
      <c r="J11" s="338"/>
      <c r="K11" s="4"/>
      <c r="L11" s="4"/>
      <c r="P11" s="52"/>
      <c r="Q11" s="54" t="s">
        <v>96</v>
      </c>
      <c r="R11" s="54"/>
      <c r="S11" s="53"/>
      <c r="T11" s="54"/>
      <c r="U11" s="53"/>
      <c r="V11" s="54" t="s">
        <v>97</v>
      </c>
      <c r="W11" s="54"/>
      <c r="X11" s="52"/>
      <c r="Y11" s="52"/>
      <c r="Z11" s="52"/>
      <c r="AE11" t="s">
        <v>178</v>
      </c>
    </row>
    <row r="12" spans="1:32" ht="14.15" hidden="1" customHeight="1" x14ac:dyDescent="0.2">
      <c r="A12" s="163" t="s">
        <v>101</v>
      </c>
      <c r="B12" s="120"/>
      <c r="C12" s="331"/>
      <c r="D12" s="332"/>
      <c r="E12" s="332"/>
      <c r="F12" s="332"/>
      <c r="G12" s="332"/>
      <c r="H12" s="332"/>
      <c r="I12" s="333"/>
      <c r="J12" s="334"/>
      <c r="K12" s="13"/>
      <c r="M12" s="15"/>
      <c r="N12" s="15"/>
      <c r="O12" s="14"/>
      <c r="P12" s="14"/>
      <c r="Q12" s="14"/>
      <c r="R12" s="14"/>
      <c r="S12" s="14"/>
      <c r="T12" s="14"/>
      <c r="U12" s="14"/>
      <c r="V12" s="8"/>
      <c r="W12" s="8"/>
      <c r="AF12">
        <f ca="1">+IFERROR(((MAX(0,超過勤務時間計+深夜残業時間計-60)*1.5+MIN(60,超過勤務時間計+深夜残業時間計)*1.25))/(超過勤務時間計),0)</f>
        <v>0</v>
      </c>
    </row>
    <row r="13" spans="1:32" ht="14.15" hidden="1" customHeight="1" x14ac:dyDescent="0.2">
      <c r="A13" s="166"/>
      <c r="B13" s="123"/>
      <c r="C13" s="335"/>
      <c r="D13" s="336"/>
      <c r="E13" s="336"/>
      <c r="F13" s="336"/>
      <c r="G13" s="336"/>
      <c r="H13" s="336"/>
      <c r="I13" s="337"/>
      <c r="J13" s="338"/>
      <c r="K13" s="13"/>
      <c r="M13" s="16"/>
      <c r="N13" s="15"/>
      <c r="O13" s="14"/>
      <c r="P13" s="14"/>
      <c r="Q13" s="14"/>
      <c r="R13" s="14"/>
      <c r="S13" s="14">
        <f>+'8月'!S13</f>
        <v>0</v>
      </c>
    </row>
    <row r="14" spans="1:32" ht="14.15" hidden="1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4"/>
      <c r="K14" s="4"/>
      <c r="L14" s="4"/>
      <c r="M14" s="4"/>
      <c r="N14" s="17"/>
      <c r="O14" s="4"/>
      <c r="P14" s="4"/>
      <c r="U14" s="18"/>
    </row>
    <row r="15" spans="1:32" ht="14.15" customHeight="1" x14ac:dyDescent="0.2">
      <c r="A15" s="339" t="s">
        <v>5</v>
      </c>
      <c r="B15" s="340"/>
      <c r="C15" s="339" t="s">
        <v>6</v>
      </c>
      <c r="D15" s="312" t="s">
        <v>36</v>
      </c>
      <c r="E15" s="343"/>
      <c r="F15" s="343"/>
      <c r="G15" s="313"/>
      <c r="H15" s="344" t="s">
        <v>37</v>
      </c>
      <c r="I15" s="345"/>
      <c r="J15" s="345" t="s">
        <v>7</v>
      </c>
      <c r="K15" s="348"/>
      <c r="L15" s="314" t="s">
        <v>8</v>
      </c>
      <c r="M15" s="325"/>
      <c r="N15" s="328" t="s">
        <v>9</v>
      </c>
      <c r="O15" s="315"/>
      <c r="P15" s="314" t="s">
        <v>10</v>
      </c>
      <c r="Q15" s="315"/>
      <c r="R15" s="314" t="s">
        <v>11</v>
      </c>
      <c r="S15" s="315"/>
      <c r="T15" s="314" t="s">
        <v>12</v>
      </c>
      <c r="U15" s="315"/>
      <c r="V15" s="314" t="s">
        <v>43</v>
      </c>
      <c r="W15" s="315"/>
      <c r="X15" s="304" t="s">
        <v>122</v>
      </c>
      <c r="Y15" s="305"/>
      <c r="Z15" s="306"/>
      <c r="AA15" s="310" t="s">
        <v>107</v>
      </c>
      <c r="AB15" t="s">
        <v>32</v>
      </c>
    </row>
    <row r="16" spans="1:32" ht="14.15" customHeight="1" x14ac:dyDescent="0.2">
      <c r="A16" s="341"/>
      <c r="B16" s="342"/>
      <c r="C16" s="341"/>
      <c r="D16" s="312" t="s">
        <v>14</v>
      </c>
      <c r="E16" s="313"/>
      <c r="F16" s="312" t="s">
        <v>15</v>
      </c>
      <c r="G16" s="313"/>
      <c r="H16" s="346"/>
      <c r="I16" s="347"/>
      <c r="J16" s="347"/>
      <c r="K16" s="349"/>
      <c r="L16" s="326"/>
      <c r="M16" s="327"/>
      <c r="N16" s="329"/>
      <c r="O16" s="317"/>
      <c r="P16" s="316"/>
      <c r="Q16" s="317"/>
      <c r="R16" s="316"/>
      <c r="S16" s="317"/>
      <c r="T16" s="316"/>
      <c r="U16" s="317"/>
      <c r="V16" s="316"/>
      <c r="W16" s="317"/>
      <c r="X16" s="307"/>
      <c r="Y16" s="308"/>
      <c r="Z16" s="309"/>
      <c r="AA16" s="311"/>
      <c r="AB16" t="s">
        <v>210</v>
      </c>
      <c r="AC16" s="59"/>
    </row>
    <row r="17" spans="1:30" s="59" customFormat="1" ht="14.15" customHeight="1" x14ac:dyDescent="0.2">
      <c r="A17" s="318">
        <f ca="1">A3</f>
        <v>46266</v>
      </c>
      <c r="B17" s="319"/>
      <c r="C17" s="78">
        <f ca="1">IF(A17="","",IF(WEEKDAY(A17,1)=1,1,IF(COUNTIF(祝日管理!B:B,A17)=1,"祝",WEEKDAY(A17,1))))</f>
        <v>3</v>
      </c>
      <c r="D17" s="320"/>
      <c r="E17" s="320"/>
      <c r="F17" s="320"/>
      <c r="G17" s="320"/>
      <c r="H17" s="320"/>
      <c r="I17" s="321"/>
      <c r="J17" s="322">
        <f>IF(OR(D17="",F17="",H17=""),0,IF(F17&gt;D17,F17,F17+24)-D17-H17)</f>
        <v>0</v>
      </c>
      <c r="K17" s="323"/>
      <c r="L17" s="299">
        <f>IF(J17="",0,(HOUR(J17))+(ROUNDDOWN(MINUTE(J17)/60,2)*1))</f>
        <v>0</v>
      </c>
      <c r="M17" s="324"/>
      <c r="N17" s="330">
        <f ca="1">+IF(ISERROR(IF(A17="",0,IF(OR(X17="法休",X17="所休")=1,0,IF(L17=0,0,MIN(8,L17-R17))))),"",IF(A17="","",IF(OR(X17="法休",X17="所休"),0,IF(L17=0,0,MIN(8,L17-R17)))))</f>
        <v>0</v>
      </c>
      <c r="O17" s="300"/>
      <c r="P17" s="299">
        <f ca="1">+IF(ISERROR(IF(A17="","",IF(X17="法休",0,MAX(0,L17-N17-R17)))),0,IF(A17="","",IF(X17="法休",0,MAX(0,L17-N17-R17))))</f>
        <v>0</v>
      </c>
      <c r="Q17" s="300"/>
      <c r="R17" s="299">
        <f ca="1">+IF(A17="",0,IF(X17="法休",0,NOT(OR(D17="",F17=""))*MIN(7,(MAX(0,MIN(F17,$AC$8)-D17)+MAX(0,F17-$AC$7+(D17&gt;F17)))*24)))</f>
        <v>0</v>
      </c>
      <c r="S17" s="300"/>
      <c r="T17" s="299">
        <f t="shared" ref="T17" ca="1" si="0">+IF(A17="",0,IF(X17="法休",L17-V17,0))</f>
        <v>0</v>
      </c>
      <c r="U17" s="300"/>
      <c r="V17" s="299">
        <f t="shared" ref="V17" ca="1" si="1">+IF(A17="",0,IF(X17&lt;&gt;"法休",0,NOT(OR(D17="",F17=""))*MIN(7,(MAX(0,MIN(F17,$AC$8)-D17)+MAX(0,F17-$AC$7+(D17&gt;F17)))*24)))</f>
        <v>0</v>
      </c>
      <c r="W17" s="300"/>
      <c r="X17" s="301"/>
      <c r="Y17" s="302"/>
      <c r="Z17" s="303"/>
      <c r="AA17" s="79"/>
      <c r="AB17" s="93">
        <f t="shared" ref="AB17:AB46" ca="1" si="2">IF(ISERROR((X17="")*(7.5-N17)),0,(X17="")*(7.5-N17))</f>
        <v>7.5</v>
      </c>
      <c r="AD17" s="67"/>
    </row>
    <row r="18" spans="1:30" ht="14.15" customHeight="1" x14ac:dyDescent="0.2">
      <c r="A18" s="290">
        <f t="shared" ref="A18:A44" ca="1" si="3">A17+1</f>
        <v>46267</v>
      </c>
      <c r="B18" s="291"/>
      <c r="C18" s="80">
        <f ca="1">IF(A18="","",IF(WEEKDAY(A18,1)=1,1,IF(COUNTIF(祝日管理!B:B,A18)=1,"祝",WEEKDAY(A18,1))))</f>
        <v>4</v>
      </c>
      <c r="D18" s="292"/>
      <c r="E18" s="292"/>
      <c r="F18" s="292"/>
      <c r="G18" s="292"/>
      <c r="H18" s="292"/>
      <c r="I18" s="293"/>
      <c r="J18" s="298">
        <f t="shared" ref="J18:J47" si="4">IF(OR(D18="",F18="",H18=""),0,IF(F18&gt;D18,F18,F18+24)-D18-H18)</f>
        <v>0</v>
      </c>
      <c r="K18" s="294"/>
      <c r="L18" s="285">
        <f t="shared" ref="L18:L47" si="5">IF(J18="",0,(HOUR(J18))+(ROUNDDOWN(MINUTE(J18)/60,2)*1))</f>
        <v>0</v>
      </c>
      <c r="M18" s="296"/>
      <c r="N18" s="297">
        <f t="shared" ref="N18:N47" ca="1" si="6">+IF(ISERROR(IF(A18="",0,IF(OR(X18="法休",X18="所休")=1,0,IF(L18=0,0,MIN(8,L18-R18))))),"",IF(A18="","",IF(OR(X18="法休",X18="所休"),0,IF(L18=0,0,MIN(8,L18-R18)))))</f>
        <v>0</v>
      </c>
      <c r="O18" s="286"/>
      <c r="P18" s="285">
        <f t="shared" ref="P18:P47" ca="1" si="7">+IF(ISERROR(IF(A18="","",IF(X18="法休",0,MAX(0,L18-N18-R18)))),0,IF(A18="","",IF(X18="法休",0,MAX(0,L18-N18-R18))))</f>
        <v>0</v>
      </c>
      <c r="Q18" s="286"/>
      <c r="R18" s="285">
        <f t="shared" ref="R18:R47" ca="1" si="8">+IF(A18="",0,IF(X18="法休",0,NOT(OR(D18="",F18=""))*MIN(7,(MAX(0,MIN(F18,$AC$8)-D18)+MAX(0,F18-$AC$7+(D18&gt;F18)))*24)))</f>
        <v>0</v>
      </c>
      <c r="S18" s="286"/>
      <c r="T18" s="285">
        <f t="shared" ref="T18:T47" ca="1" si="9">+IF(A18="",0,IF(X18="法休",L18-V18,0))</f>
        <v>0</v>
      </c>
      <c r="U18" s="286"/>
      <c r="V18" s="285">
        <f t="shared" ref="V18:V47" ca="1" si="10">+IF(A18="",0,IF(X18&lt;&gt;"法休",0,NOT(OR(D18="",F18=""))*MIN(7,(MAX(0,MIN(F18,$AC$8)-D18)+MAX(0,F18-$AC$7+(D18&gt;F18)))*24)))</f>
        <v>0</v>
      </c>
      <c r="W18" s="286"/>
      <c r="X18" s="287"/>
      <c r="Y18" s="288"/>
      <c r="Z18" s="289"/>
      <c r="AA18" s="81"/>
      <c r="AB18" s="93">
        <f t="shared" ca="1" si="2"/>
        <v>7.5</v>
      </c>
      <c r="AC18" s="59"/>
      <c r="AD18" t="s">
        <v>175</v>
      </c>
    </row>
    <row r="19" spans="1:30" ht="14.15" customHeight="1" x14ac:dyDescent="0.2">
      <c r="A19" s="290">
        <f t="shared" ca="1" si="3"/>
        <v>46268</v>
      </c>
      <c r="B19" s="291"/>
      <c r="C19" s="80">
        <f ca="1">IF(A19="","",IF(WEEKDAY(A19,1)=1,1,IF(COUNTIF(祝日管理!B:B,A19)=1,"祝",WEEKDAY(A19,1))))</f>
        <v>5</v>
      </c>
      <c r="D19" s="292"/>
      <c r="E19" s="292"/>
      <c r="F19" s="292"/>
      <c r="G19" s="292"/>
      <c r="H19" s="292"/>
      <c r="I19" s="293"/>
      <c r="J19" s="298">
        <f t="shared" si="4"/>
        <v>0</v>
      </c>
      <c r="K19" s="294"/>
      <c r="L19" s="285">
        <f t="shared" si="5"/>
        <v>0</v>
      </c>
      <c r="M19" s="296"/>
      <c r="N19" s="297">
        <f t="shared" ca="1" si="6"/>
        <v>0</v>
      </c>
      <c r="O19" s="286"/>
      <c r="P19" s="285">
        <f t="shared" ca="1" si="7"/>
        <v>0</v>
      </c>
      <c r="Q19" s="286"/>
      <c r="R19" s="285">
        <f t="shared" ca="1" si="8"/>
        <v>0</v>
      </c>
      <c r="S19" s="286"/>
      <c r="T19" s="285">
        <f t="shared" ca="1" si="9"/>
        <v>0</v>
      </c>
      <c r="U19" s="286"/>
      <c r="V19" s="285">
        <f t="shared" ca="1" si="10"/>
        <v>0</v>
      </c>
      <c r="W19" s="286"/>
      <c r="X19" s="287"/>
      <c r="Y19" s="288"/>
      <c r="Z19" s="289"/>
      <c r="AA19" s="81"/>
      <c r="AB19" s="93">
        <f t="shared" ca="1" si="2"/>
        <v>7.5</v>
      </c>
      <c r="AC19" s="59"/>
    </row>
    <row r="20" spans="1:30" ht="14.15" customHeight="1" x14ac:dyDescent="0.2">
      <c r="A20" s="290">
        <f t="shared" ca="1" si="3"/>
        <v>46269</v>
      </c>
      <c r="B20" s="291"/>
      <c r="C20" s="80">
        <f ca="1">IF(A20="","",IF(WEEKDAY(A20,1)=1,1,IF(COUNTIF(祝日管理!B:B,A20)=1,"祝",WEEKDAY(A20,1))))</f>
        <v>6</v>
      </c>
      <c r="D20" s="292"/>
      <c r="E20" s="292"/>
      <c r="F20" s="292"/>
      <c r="G20" s="292"/>
      <c r="H20" s="292"/>
      <c r="I20" s="293"/>
      <c r="J20" s="298">
        <f t="shared" si="4"/>
        <v>0</v>
      </c>
      <c r="K20" s="294"/>
      <c r="L20" s="285">
        <f t="shared" si="5"/>
        <v>0</v>
      </c>
      <c r="M20" s="296"/>
      <c r="N20" s="297">
        <f t="shared" ca="1" si="6"/>
        <v>0</v>
      </c>
      <c r="O20" s="286"/>
      <c r="P20" s="285">
        <f t="shared" ca="1" si="7"/>
        <v>0</v>
      </c>
      <c r="Q20" s="286"/>
      <c r="R20" s="285">
        <f t="shared" ca="1" si="8"/>
        <v>0</v>
      </c>
      <c r="S20" s="286"/>
      <c r="T20" s="285">
        <f t="shared" ca="1" si="9"/>
        <v>0</v>
      </c>
      <c r="U20" s="286"/>
      <c r="V20" s="285">
        <f t="shared" ca="1" si="10"/>
        <v>0</v>
      </c>
      <c r="W20" s="286"/>
      <c r="X20" s="287"/>
      <c r="Y20" s="288"/>
      <c r="Z20" s="289"/>
      <c r="AA20" s="81"/>
      <c r="AB20" s="93">
        <f t="shared" ca="1" si="2"/>
        <v>7.5</v>
      </c>
      <c r="AC20" s="59"/>
    </row>
    <row r="21" spans="1:30" ht="14.15" customHeight="1" x14ac:dyDescent="0.2">
      <c r="A21" s="290">
        <f t="shared" ca="1" si="3"/>
        <v>46270</v>
      </c>
      <c r="B21" s="291"/>
      <c r="C21" s="80">
        <f ca="1">IF(A21="","",IF(WEEKDAY(A21,1)=1,1,IF(COUNTIF(祝日管理!B:B,A21)=1,"祝",WEEKDAY(A21,1))))</f>
        <v>7</v>
      </c>
      <c r="D21" s="292"/>
      <c r="E21" s="292"/>
      <c r="F21" s="292"/>
      <c r="G21" s="292"/>
      <c r="H21" s="292"/>
      <c r="I21" s="293"/>
      <c r="J21" s="298">
        <f t="shared" si="4"/>
        <v>0</v>
      </c>
      <c r="K21" s="294"/>
      <c r="L21" s="285">
        <f t="shared" si="5"/>
        <v>0</v>
      </c>
      <c r="M21" s="296"/>
      <c r="N21" s="297">
        <f t="shared" ca="1" si="6"/>
        <v>0</v>
      </c>
      <c r="O21" s="286"/>
      <c r="P21" s="285">
        <f t="shared" ca="1" si="7"/>
        <v>0</v>
      </c>
      <c r="Q21" s="286"/>
      <c r="R21" s="285">
        <f t="shared" ca="1" si="8"/>
        <v>0</v>
      </c>
      <c r="S21" s="286"/>
      <c r="T21" s="285">
        <f t="shared" ca="1" si="9"/>
        <v>0</v>
      </c>
      <c r="U21" s="286"/>
      <c r="V21" s="285">
        <f t="shared" ca="1" si="10"/>
        <v>0</v>
      </c>
      <c r="W21" s="286"/>
      <c r="X21" s="287"/>
      <c r="Y21" s="288"/>
      <c r="Z21" s="289"/>
      <c r="AA21" s="81"/>
      <c r="AB21" s="93">
        <f t="shared" ca="1" si="2"/>
        <v>7.5</v>
      </c>
      <c r="AC21" s="59"/>
      <c r="AD21" t="s">
        <v>176</v>
      </c>
    </row>
    <row r="22" spans="1:30" s="59" customFormat="1" ht="14.15" customHeight="1" x14ac:dyDescent="0.2">
      <c r="A22" s="290">
        <f t="shared" ca="1" si="3"/>
        <v>46271</v>
      </c>
      <c r="B22" s="291"/>
      <c r="C22" s="80">
        <f ca="1">IF(A22="","",IF(WEEKDAY(A22,1)=1,1,IF(COUNTIF(祝日管理!B:B,A22)=1,"祝",WEEKDAY(A22,1))))</f>
        <v>1</v>
      </c>
      <c r="D22" s="292"/>
      <c r="E22" s="292"/>
      <c r="F22" s="292"/>
      <c r="G22" s="292"/>
      <c r="H22" s="292"/>
      <c r="I22" s="293"/>
      <c r="J22" s="298">
        <f t="shared" si="4"/>
        <v>0</v>
      </c>
      <c r="K22" s="294"/>
      <c r="L22" s="285">
        <f t="shared" si="5"/>
        <v>0</v>
      </c>
      <c r="M22" s="296"/>
      <c r="N22" s="297">
        <f t="shared" ca="1" si="6"/>
        <v>0</v>
      </c>
      <c r="O22" s="286"/>
      <c r="P22" s="285">
        <f t="shared" ca="1" si="7"/>
        <v>0</v>
      </c>
      <c r="Q22" s="286"/>
      <c r="R22" s="285">
        <f t="shared" ca="1" si="8"/>
        <v>0</v>
      </c>
      <c r="S22" s="286"/>
      <c r="T22" s="285">
        <f t="shared" ca="1" si="9"/>
        <v>0</v>
      </c>
      <c r="U22" s="286"/>
      <c r="V22" s="285">
        <f t="shared" ca="1" si="10"/>
        <v>0</v>
      </c>
      <c r="W22" s="286"/>
      <c r="X22" s="287" t="s">
        <v>187</v>
      </c>
      <c r="Y22" s="288"/>
      <c r="Z22" s="289"/>
      <c r="AA22" s="81"/>
      <c r="AB22" s="93">
        <f t="shared" ca="1" si="2"/>
        <v>0</v>
      </c>
    </row>
    <row r="23" spans="1:30" ht="14.15" customHeight="1" x14ac:dyDescent="0.2">
      <c r="A23" s="290">
        <f t="shared" ca="1" si="3"/>
        <v>46272</v>
      </c>
      <c r="B23" s="291"/>
      <c r="C23" s="80">
        <f ca="1">IF(A23="","",IF(WEEKDAY(A23,1)=1,1,IF(COUNTIF(祝日管理!B:B,A23)=1,"祝",WEEKDAY(A23,1))))</f>
        <v>2</v>
      </c>
      <c r="D23" s="292"/>
      <c r="E23" s="292"/>
      <c r="F23" s="292"/>
      <c r="G23" s="292"/>
      <c r="H23" s="292"/>
      <c r="I23" s="293"/>
      <c r="J23" s="298">
        <f t="shared" si="4"/>
        <v>0</v>
      </c>
      <c r="K23" s="294"/>
      <c r="L23" s="285">
        <f t="shared" si="5"/>
        <v>0</v>
      </c>
      <c r="M23" s="296"/>
      <c r="N23" s="297">
        <f t="shared" ca="1" si="6"/>
        <v>0</v>
      </c>
      <c r="O23" s="286"/>
      <c r="P23" s="285">
        <f t="shared" ca="1" si="7"/>
        <v>0</v>
      </c>
      <c r="Q23" s="286"/>
      <c r="R23" s="285">
        <f t="shared" ca="1" si="8"/>
        <v>0</v>
      </c>
      <c r="S23" s="286"/>
      <c r="T23" s="285">
        <f t="shared" ca="1" si="9"/>
        <v>0</v>
      </c>
      <c r="U23" s="286"/>
      <c r="V23" s="285">
        <f t="shared" ca="1" si="10"/>
        <v>0</v>
      </c>
      <c r="W23" s="286"/>
      <c r="X23" s="287" t="s">
        <v>185</v>
      </c>
      <c r="Y23" s="288"/>
      <c r="Z23" s="289"/>
      <c r="AA23" s="81"/>
      <c r="AB23" s="93">
        <f t="shared" ca="1" si="2"/>
        <v>0</v>
      </c>
    </row>
    <row r="24" spans="1:30" ht="14.15" customHeight="1" x14ac:dyDescent="0.2">
      <c r="A24" s="290">
        <f t="shared" ca="1" si="3"/>
        <v>46273</v>
      </c>
      <c r="B24" s="291"/>
      <c r="C24" s="80">
        <f ca="1">IF(A24="","",IF(WEEKDAY(A24,1)=1,1,IF(COUNTIF(祝日管理!B:B,A24)=1,"祝",WEEKDAY(A24,1))))</f>
        <v>3</v>
      </c>
      <c r="D24" s="292"/>
      <c r="E24" s="292"/>
      <c r="F24" s="292"/>
      <c r="G24" s="292"/>
      <c r="H24" s="292"/>
      <c r="I24" s="293"/>
      <c r="J24" s="298">
        <f t="shared" si="4"/>
        <v>0</v>
      </c>
      <c r="K24" s="294"/>
      <c r="L24" s="285">
        <f t="shared" si="5"/>
        <v>0</v>
      </c>
      <c r="M24" s="296"/>
      <c r="N24" s="297">
        <f t="shared" ca="1" si="6"/>
        <v>0</v>
      </c>
      <c r="O24" s="286"/>
      <c r="P24" s="285">
        <f t="shared" ca="1" si="7"/>
        <v>0</v>
      </c>
      <c r="Q24" s="286"/>
      <c r="R24" s="285">
        <f t="shared" ca="1" si="8"/>
        <v>0</v>
      </c>
      <c r="S24" s="286"/>
      <c r="T24" s="285">
        <f t="shared" ca="1" si="9"/>
        <v>0</v>
      </c>
      <c r="U24" s="286"/>
      <c r="V24" s="285">
        <f t="shared" ca="1" si="10"/>
        <v>0</v>
      </c>
      <c r="W24" s="286"/>
      <c r="X24" s="287"/>
      <c r="Y24" s="288"/>
      <c r="Z24" s="289"/>
      <c r="AA24" s="81"/>
      <c r="AB24" s="93">
        <f t="shared" ca="1" si="2"/>
        <v>7.5</v>
      </c>
      <c r="AD24" t="s">
        <v>177</v>
      </c>
    </row>
    <row r="25" spans="1:30" ht="14.15" customHeight="1" x14ac:dyDescent="0.2">
      <c r="A25" s="290">
        <f t="shared" ca="1" si="3"/>
        <v>46274</v>
      </c>
      <c r="B25" s="291"/>
      <c r="C25" s="80">
        <f ca="1">IF(A25="","",IF(WEEKDAY(A25,1)=1,1,IF(COUNTIF(祝日管理!B:B,A25)=1,"祝",WEEKDAY(A25,1))))</f>
        <v>4</v>
      </c>
      <c r="D25" s="292"/>
      <c r="E25" s="292"/>
      <c r="F25" s="292"/>
      <c r="G25" s="292"/>
      <c r="H25" s="292"/>
      <c r="I25" s="293"/>
      <c r="J25" s="298">
        <f t="shared" si="4"/>
        <v>0</v>
      </c>
      <c r="K25" s="294"/>
      <c r="L25" s="285">
        <f t="shared" si="5"/>
        <v>0</v>
      </c>
      <c r="M25" s="296"/>
      <c r="N25" s="297">
        <f t="shared" ca="1" si="6"/>
        <v>0</v>
      </c>
      <c r="O25" s="286"/>
      <c r="P25" s="285">
        <f t="shared" ca="1" si="7"/>
        <v>0</v>
      </c>
      <c r="Q25" s="286"/>
      <c r="R25" s="285">
        <f t="shared" ca="1" si="8"/>
        <v>0</v>
      </c>
      <c r="S25" s="286"/>
      <c r="T25" s="285">
        <f t="shared" ca="1" si="9"/>
        <v>0</v>
      </c>
      <c r="U25" s="286"/>
      <c r="V25" s="285">
        <f t="shared" ca="1" si="10"/>
        <v>0</v>
      </c>
      <c r="W25" s="286"/>
      <c r="X25" s="287"/>
      <c r="Y25" s="288"/>
      <c r="Z25" s="289"/>
      <c r="AA25" s="81"/>
      <c r="AB25" s="93">
        <f t="shared" ca="1" si="2"/>
        <v>7.5</v>
      </c>
    </row>
    <row r="26" spans="1:30" ht="14.15" customHeight="1" x14ac:dyDescent="0.2">
      <c r="A26" s="290">
        <f t="shared" ca="1" si="3"/>
        <v>46275</v>
      </c>
      <c r="B26" s="291"/>
      <c r="C26" s="80">
        <f ca="1">IF(A26="","",IF(WEEKDAY(A26,1)=1,1,IF(COUNTIF(祝日管理!B:B,A26)=1,"祝",WEEKDAY(A26,1))))</f>
        <v>5</v>
      </c>
      <c r="D26" s="292"/>
      <c r="E26" s="292"/>
      <c r="F26" s="292"/>
      <c r="G26" s="292"/>
      <c r="H26" s="292"/>
      <c r="I26" s="293"/>
      <c r="J26" s="298">
        <f t="shared" si="4"/>
        <v>0</v>
      </c>
      <c r="K26" s="294"/>
      <c r="L26" s="285">
        <f t="shared" si="5"/>
        <v>0</v>
      </c>
      <c r="M26" s="296"/>
      <c r="N26" s="297">
        <f t="shared" ca="1" si="6"/>
        <v>0</v>
      </c>
      <c r="O26" s="286"/>
      <c r="P26" s="285">
        <f t="shared" ca="1" si="7"/>
        <v>0</v>
      </c>
      <c r="Q26" s="286"/>
      <c r="R26" s="285">
        <f t="shared" ca="1" si="8"/>
        <v>0</v>
      </c>
      <c r="S26" s="286"/>
      <c r="T26" s="285">
        <f t="shared" ca="1" si="9"/>
        <v>0</v>
      </c>
      <c r="U26" s="286"/>
      <c r="V26" s="285">
        <f t="shared" ca="1" si="10"/>
        <v>0</v>
      </c>
      <c r="W26" s="286"/>
      <c r="X26" s="287"/>
      <c r="Y26" s="288"/>
      <c r="Z26" s="289"/>
      <c r="AA26" s="81"/>
      <c r="AB26" s="93">
        <f t="shared" ca="1" si="2"/>
        <v>7.5</v>
      </c>
      <c r="AD26" t="s">
        <v>213</v>
      </c>
    </row>
    <row r="27" spans="1:30" ht="14.15" customHeight="1" x14ac:dyDescent="0.2">
      <c r="A27" s="290">
        <f t="shared" ca="1" si="3"/>
        <v>46276</v>
      </c>
      <c r="B27" s="291"/>
      <c r="C27" s="80">
        <f ca="1">IF(A27="","",IF(WEEKDAY(A27,1)=1,1,IF(COUNTIF(祝日管理!B:B,A27)=1,"祝",WEEKDAY(A27,1))))</f>
        <v>6</v>
      </c>
      <c r="D27" s="292"/>
      <c r="E27" s="292"/>
      <c r="F27" s="292"/>
      <c r="G27" s="292"/>
      <c r="H27" s="292"/>
      <c r="I27" s="293"/>
      <c r="J27" s="298">
        <f t="shared" si="4"/>
        <v>0</v>
      </c>
      <c r="K27" s="294"/>
      <c r="L27" s="285">
        <f t="shared" si="5"/>
        <v>0</v>
      </c>
      <c r="M27" s="296"/>
      <c r="N27" s="297">
        <f t="shared" ca="1" si="6"/>
        <v>0</v>
      </c>
      <c r="O27" s="286"/>
      <c r="P27" s="285">
        <f t="shared" ca="1" si="7"/>
        <v>0</v>
      </c>
      <c r="Q27" s="286"/>
      <c r="R27" s="285">
        <f t="shared" ca="1" si="8"/>
        <v>0</v>
      </c>
      <c r="S27" s="286"/>
      <c r="T27" s="285">
        <f t="shared" ca="1" si="9"/>
        <v>0</v>
      </c>
      <c r="U27" s="286"/>
      <c r="V27" s="285">
        <f t="shared" ca="1" si="10"/>
        <v>0</v>
      </c>
      <c r="W27" s="286"/>
      <c r="X27" s="287"/>
      <c r="Y27" s="288"/>
      <c r="Z27" s="289"/>
      <c r="AA27" s="81"/>
      <c r="AB27" s="93">
        <f t="shared" ca="1" si="2"/>
        <v>7.5</v>
      </c>
    </row>
    <row r="28" spans="1:30" ht="14.15" customHeight="1" x14ac:dyDescent="0.2">
      <c r="A28" s="290">
        <f t="shared" ca="1" si="3"/>
        <v>46277</v>
      </c>
      <c r="B28" s="291"/>
      <c r="C28" s="80">
        <f ca="1">IF(A28="","",IF(WEEKDAY(A28,1)=1,1,IF(COUNTIF(祝日管理!B:B,A28)=1,"祝",WEEKDAY(A28,1))))</f>
        <v>7</v>
      </c>
      <c r="D28" s="292"/>
      <c r="E28" s="292"/>
      <c r="F28" s="292"/>
      <c r="G28" s="292"/>
      <c r="H28" s="292"/>
      <c r="I28" s="293"/>
      <c r="J28" s="298">
        <f t="shared" si="4"/>
        <v>0</v>
      </c>
      <c r="K28" s="294"/>
      <c r="L28" s="285">
        <f t="shared" si="5"/>
        <v>0</v>
      </c>
      <c r="M28" s="296"/>
      <c r="N28" s="297">
        <f t="shared" ca="1" si="6"/>
        <v>0</v>
      </c>
      <c r="O28" s="286"/>
      <c r="P28" s="285">
        <f t="shared" ca="1" si="7"/>
        <v>0</v>
      </c>
      <c r="Q28" s="286"/>
      <c r="R28" s="285">
        <f t="shared" ca="1" si="8"/>
        <v>0</v>
      </c>
      <c r="S28" s="286"/>
      <c r="T28" s="285">
        <f t="shared" ca="1" si="9"/>
        <v>0</v>
      </c>
      <c r="U28" s="286"/>
      <c r="V28" s="285">
        <f t="shared" ca="1" si="10"/>
        <v>0</v>
      </c>
      <c r="W28" s="286"/>
      <c r="X28" s="287"/>
      <c r="Y28" s="288"/>
      <c r="Z28" s="289"/>
      <c r="AA28" s="81"/>
      <c r="AB28" s="93">
        <f t="shared" ca="1" si="2"/>
        <v>7.5</v>
      </c>
    </row>
    <row r="29" spans="1:30" s="59" customFormat="1" ht="14.15" customHeight="1" x14ac:dyDescent="0.2">
      <c r="A29" s="290">
        <f t="shared" ca="1" si="3"/>
        <v>46278</v>
      </c>
      <c r="B29" s="291"/>
      <c r="C29" s="80">
        <f ca="1">IF(A29="","",IF(WEEKDAY(A29,1)=1,1,IF(COUNTIF(祝日管理!B:B,A29)=1,"祝",WEEKDAY(A29,1))))</f>
        <v>1</v>
      </c>
      <c r="D29" s="292"/>
      <c r="E29" s="292"/>
      <c r="F29" s="292"/>
      <c r="G29" s="292"/>
      <c r="H29" s="292"/>
      <c r="I29" s="293"/>
      <c r="J29" s="298">
        <f t="shared" si="4"/>
        <v>0</v>
      </c>
      <c r="K29" s="294"/>
      <c r="L29" s="285">
        <f t="shared" si="5"/>
        <v>0</v>
      </c>
      <c r="M29" s="296"/>
      <c r="N29" s="297">
        <f t="shared" ca="1" si="6"/>
        <v>0</v>
      </c>
      <c r="O29" s="286"/>
      <c r="P29" s="285">
        <f t="shared" ca="1" si="7"/>
        <v>0</v>
      </c>
      <c r="Q29" s="286"/>
      <c r="R29" s="285">
        <f t="shared" ca="1" si="8"/>
        <v>0</v>
      </c>
      <c r="S29" s="286"/>
      <c r="T29" s="285">
        <f t="shared" ca="1" si="9"/>
        <v>0</v>
      </c>
      <c r="U29" s="286"/>
      <c r="V29" s="285">
        <f t="shared" ca="1" si="10"/>
        <v>0</v>
      </c>
      <c r="W29" s="286"/>
      <c r="X29" s="287" t="s">
        <v>187</v>
      </c>
      <c r="Y29" s="288"/>
      <c r="Z29" s="289"/>
      <c r="AA29" s="81"/>
      <c r="AB29" s="93">
        <f t="shared" ca="1" si="2"/>
        <v>0</v>
      </c>
      <c r="AC29" s="59" t="s">
        <v>207</v>
      </c>
    </row>
    <row r="30" spans="1:30" ht="14.15" customHeight="1" x14ac:dyDescent="0.2">
      <c r="A30" s="290">
        <f t="shared" ca="1" si="3"/>
        <v>46279</v>
      </c>
      <c r="B30" s="291"/>
      <c r="C30" s="80">
        <f ca="1">IF(A30="","",IF(WEEKDAY(A30,1)=1,1,IF(COUNTIF(祝日管理!B:B,A30)=1,"祝",WEEKDAY(A30,1))))</f>
        <v>2</v>
      </c>
      <c r="D30" s="292"/>
      <c r="E30" s="292"/>
      <c r="F30" s="292"/>
      <c r="G30" s="292"/>
      <c r="H30" s="292"/>
      <c r="I30" s="293"/>
      <c r="J30" s="298">
        <f t="shared" si="4"/>
        <v>0</v>
      </c>
      <c r="K30" s="294"/>
      <c r="L30" s="285">
        <f t="shared" si="5"/>
        <v>0</v>
      </c>
      <c r="M30" s="296"/>
      <c r="N30" s="297">
        <f t="shared" ca="1" si="6"/>
        <v>0</v>
      </c>
      <c r="O30" s="286"/>
      <c r="P30" s="285">
        <f t="shared" ca="1" si="7"/>
        <v>0</v>
      </c>
      <c r="Q30" s="286"/>
      <c r="R30" s="285">
        <f t="shared" ca="1" si="8"/>
        <v>0</v>
      </c>
      <c r="S30" s="286"/>
      <c r="T30" s="285">
        <f t="shared" ca="1" si="9"/>
        <v>0</v>
      </c>
      <c r="U30" s="286"/>
      <c r="V30" s="285">
        <f t="shared" ca="1" si="10"/>
        <v>0</v>
      </c>
      <c r="W30" s="286"/>
      <c r="X30" s="287" t="s">
        <v>185</v>
      </c>
      <c r="Y30" s="288"/>
      <c r="Z30" s="289"/>
      <c r="AA30" s="81"/>
      <c r="AB30" s="93">
        <f t="shared" ca="1" si="2"/>
        <v>0</v>
      </c>
      <c r="AC30" t="s">
        <v>208</v>
      </c>
    </row>
    <row r="31" spans="1:30" ht="14.15" customHeight="1" x14ac:dyDescent="0.2">
      <c r="A31" s="290">
        <f t="shared" ca="1" si="3"/>
        <v>46280</v>
      </c>
      <c r="B31" s="291"/>
      <c r="C31" s="80">
        <f ca="1">IF(A31="","",IF(WEEKDAY(A31,1)=1,1,IF(COUNTIF(祝日管理!B:B,A31)=1,"祝",WEEKDAY(A31,1))))</f>
        <v>3</v>
      </c>
      <c r="D31" s="292"/>
      <c r="E31" s="292"/>
      <c r="F31" s="292"/>
      <c r="G31" s="292"/>
      <c r="H31" s="292"/>
      <c r="I31" s="293"/>
      <c r="J31" s="298">
        <f t="shared" si="4"/>
        <v>0</v>
      </c>
      <c r="K31" s="294"/>
      <c r="L31" s="285">
        <f t="shared" si="5"/>
        <v>0</v>
      </c>
      <c r="M31" s="296"/>
      <c r="N31" s="297">
        <f t="shared" ca="1" si="6"/>
        <v>0</v>
      </c>
      <c r="O31" s="286"/>
      <c r="P31" s="285">
        <f t="shared" ca="1" si="7"/>
        <v>0</v>
      </c>
      <c r="Q31" s="286"/>
      <c r="R31" s="285">
        <f t="shared" ca="1" si="8"/>
        <v>0</v>
      </c>
      <c r="S31" s="286"/>
      <c r="T31" s="285">
        <f t="shared" ca="1" si="9"/>
        <v>0</v>
      </c>
      <c r="U31" s="286"/>
      <c r="V31" s="285">
        <f t="shared" ca="1" si="10"/>
        <v>0</v>
      </c>
      <c r="W31" s="286"/>
      <c r="X31" s="287" t="s">
        <v>187</v>
      </c>
      <c r="Y31" s="288"/>
      <c r="Z31" s="289"/>
      <c r="AA31" s="81"/>
      <c r="AB31" s="93">
        <f t="shared" ca="1" si="2"/>
        <v>0</v>
      </c>
      <c r="AC31" t="s">
        <v>209</v>
      </c>
    </row>
    <row r="32" spans="1:30" ht="14.15" customHeight="1" x14ac:dyDescent="0.2">
      <c r="A32" s="290">
        <f t="shared" ca="1" si="3"/>
        <v>46281</v>
      </c>
      <c r="B32" s="291"/>
      <c r="C32" s="80">
        <f ca="1">IF(A32="","",IF(WEEKDAY(A32,1)=1,1,IF(COUNTIF(祝日管理!B:B,A32)=1,"祝",WEEKDAY(A32,1))))</f>
        <v>4</v>
      </c>
      <c r="D32" s="292"/>
      <c r="E32" s="292"/>
      <c r="F32" s="292"/>
      <c r="G32" s="292"/>
      <c r="H32" s="292"/>
      <c r="I32" s="293"/>
      <c r="J32" s="298">
        <f t="shared" si="4"/>
        <v>0</v>
      </c>
      <c r="K32" s="294"/>
      <c r="L32" s="285">
        <f t="shared" si="5"/>
        <v>0</v>
      </c>
      <c r="M32" s="296"/>
      <c r="N32" s="297">
        <f t="shared" ca="1" si="6"/>
        <v>0</v>
      </c>
      <c r="O32" s="286"/>
      <c r="P32" s="285">
        <f t="shared" ca="1" si="7"/>
        <v>0</v>
      </c>
      <c r="Q32" s="286"/>
      <c r="R32" s="285">
        <f t="shared" ca="1" si="8"/>
        <v>0</v>
      </c>
      <c r="S32" s="286"/>
      <c r="T32" s="285">
        <f t="shared" ca="1" si="9"/>
        <v>0</v>
      </c>
      <c r="U32" s="286"/>
      <c r="V32" s="285">
        <f t="shared" ca="1" si="10"/>
        <v>0</v>
      </c>
      <c r="W32" s="286"/>
      <c r="X32" s="287"/>
      <c r="Y32" s="288"/>
      <c r="Z32" s="289"/>
      <c r="AA32" s="81"/>
      <c r="AB32" s="93">
        <f t="shared" ca="1" si="2"/>
        <v>7.5</v>
      </c>
    </row>
    <row r="33" spans="1:32" ht="14.15" customHeight="1" x14ac:dyDescent="0.2">
      <c r="A33" s="290">
        <f t="shared" ca="1" si="3"/>
        <v>46282</v>
      </c>
      <c r="B33" s="291"/>
      <c r="C33" s="80">
        <f ca="1">IF(A33="","",IF(WEEKDAY(A33,1)=1,1,IF(COUNTIF(祝日管理!B:B,A33)=1,"祝",WEEKDAY(A33,1))))</f>
        <v>5</v>
      </c>
      <c r="D33" s="292"/>
      <c r="E33" s="292"/>
      <c r="F33" s="292"/>
      <c r="G33" s="292"/>
      <c r="H33" s="292"/>
      <c r="I33" s="293"/>
      <c r="J33" s="298">
        <f t="shared" si="4"/>
        <v>0</v>
      </c>
      <c r="K33" s="294"/>
      <c r="L33" s="285">
        <f t="shared" si="5"/>
        <v>0</v>
      </c>
      <c r="M33" s="296"/>
      <c r="N33" s="297">
        <f t="shared" ca="1" si="6"/>
        <v>0</v>
      </c>
      <c r="O33" s="286"/>
      <c r="P33" s="285">
        <f t="shared" ca="1" si="7"/>
        <v>0</v>
      </c>
      <c r="Q33" s="286"/>
      <c r="R33" s="285">
        <f t="shared" ca="1" si="8"/>
        <v>0</v>
      </c>
      <c r="S33" s="286"/>
      <c r="T33" s="285">
        <f t="shared" ca="1" si="9"/>
        <v>0</v>
      </c>
      <c r="U33" s="286"/>
      <c r="V33" s="285">
        <f t="shared" ca="1" si="10"/>
        <v>0</v>
      </c>
      <c r="W33" s="286"/>
      <c r="X33" s="287"/>
      <c r="Y33" s="288"/>
      <c r="Z33" s="289"/>
      <c r="AA33" s="81"/>
      <c r="AB33" s="93">
        <f t="shared" ca="1" si="2"/>
        <v>7.5</v>
      </c>
      <c r="AD33" t="s">
        <v>214</v>
      </c>
    </row>
    <row r="34" spans="1:32" ht="14.15" customHeight="1" x14ac:dyDescent="0.2">
      <c r="A34" s="290">
        <f t="shared" ca="1" si="3"/>
        <v>46283</v>
      </c>
      <c r="B34" s="291"/>
      <c r="C34" s="80">
        <f ca="1">IF(A34="","",IF(WEEKDAY(A34,1)=1,1,IF(COUNTIF(祝日管理!B:B,A34)=1,"祝",WEEKDAY(A34,1))))</f>
        <v>6</v>
      </c>
      <c r="D34" s="292"/>
      <c r="E34" s="292"/>
      <c r="F34" s="292"/>
      <c r="G34" s="292"/>
      <c r="H34" s="292"/>
      <c r="I34" s="293"/>
      <c r="J34" s="298">
        <f t="shared" si="4"/>
        <v>0</v>
      </c>
      <c r="K34" s="294"/>
      <c r="L34" s="285">
        <f t="shared" si="5"/>
        <v>0</v>
      </c>
      <c r="M34" s="296"/>
      <c r="N34" s="297">
        <f t="shared" ca="1" si="6"/>
        <v>0</v>
      </c>
      <c r="O34" s="286"/>
      <c r="P34" s="285">
        <f t="shared" ca="1" si="7"/>
        <v>0</v>
      </c>
      <c r="Q34" s="286"/>
      <c r="R34" s="285">
        <f t="shared" ca="1" si="8"/>
        <v>0</v>
      </c>
      <c r="S34" s="286"/>
      <c r="T34" s="285">
        <f t="shared" ca="1" si="9"/>
        <v>0</v>
      </c>
      <c r="U34" s="286"/>
      <c r="V34" s="285">
        <f t="shared" ca="1" si="10"/>
        <v>0</v>
      </c>
      <c r="W34" s="286"/>
      <c r="X34" s="287"/>
      <c r="Y34" s="288"/>
      <c r="Z34" s="289"/>
      <c r="AA34" s="81"/>
      <c r="AB34" s="93">
        <f ca="1">IF(ISERROR((X34="")*(7.5-N34)),0,(X34="")*(7.5-N34))</f>
        <v>7.5</v>
      </c>
      <c r="AD34" t="s">
        <v>215</v>
      </c>
    </row>
    <row r="35" spans="1:32" ht="14.15" customHeight="1" x14ac:dyDescent="0.2">
      <c r="A35" s="290">
        <f t="shared" ca="1" si="3"/>
        <v>46284</v>
      </c>
      <c r="B35" s="291"/>
      <c r="C35" s="80">
        <f ca="1">IF(A35="","",IF(WEEKDAY(A35,1)=1,1,IF(COUNTIF(祝日管理!B:B,A35)=1,"祝",WEEKDAY(A35,1))))</f>
        <v>7</v>
      </c>
      <c r="D35" s="292"/>
      <c r="E35" s="292"/>
      <c r="F35" s="292"/>
      <c r="G35" s="292"/>
      <c r="H35" s="292"/>
      <c r="I35" s="293"/>
      <c r="J35" s="298">
        <f t="shared" si="4"/>
        <v>0</v>
      </c>
      <c r="K35" s="294"/>
      <c r="L35" s="285">
        <f t="shared" si="5"/>
        <v>0</v>
      </c>
      <c r="M35" s="296"/>
      <c r="N35" s="297">
        <f t="shared" ca="1" si="6"/>
        <v>0</v>
      </c>
      <c r="O35" s="286"/>
      <c r="P35" s="285">
        <f t="shared" ca="1" si="7"/>
        <v>0</v>
      </c>
      <c r="Q35" s="286"/>
      <c r="R35" s="285">
        <f t="shared" ca="1" si="8"/>
        <v>0</v>
      </c>
      <c r="S35" s="286"/>
      <c r="T35" s="285">
        <f t="shared" ca="1" si="9"/>
        <v>0</v>
      </c>
      <c r="U35" s="286"/>
      <c r="V35" s="285">
        <f t="shared" ca="1" si="10"/>
        <v>0</v>
      </c>
      <c r="W35" s="286"/>
      <c r="X35" s="287"/>
      <c r="Y35" s="288"/>
      <c r="Z35" s="289"/>
      <c r="AA35" s="81"/>
      <c r="AB35" s="93">
        <f ca="1">IF(ISERROR((X35="")*(7.5-N35)),0,(X35="")*(7.5-N35))</f>
        <v>7.5</v>
      </c>
    </row>
    <row r="36" spans="1:32" ht="14.15" customHeight="1" x14ac:dyDescent="0.2">
      <c r="A36" s="290">
        <f t="shared" ca="1" si="3"/>
        <v>46285</v>
      </c>
      <c r="B36" s="291"/>
      <c r="C36" s="80">
        <f ca="1">IF(A36="","",IF(WEEKDAY(A36,1)=1,1,IF(COUNTIF(祝日管理!B:B,A36)=1,"祝",WEEKDAY(A36,1))))</f>
        <v>1</v>
      </c>
      <c r="D36" s="292"/>
      <c r="E36" s="292"/>
      <c r="F36" s="292"/>
      <c r="G36" s="292"/>
      <c r="H36" s="292"/>
      <c r="I36" s="293"/>
      <c r="J36" s="298">
        <f t="shared" si="4"/>
        <v>0</v>
      </c>
      <c r="K36" s="294"/>
      <c r="L36" s="285">
        <f t="shared" si="5"/>
        <v>0</v>
      </c>
      <c r="M36" s="296"/>
      <c r="N36" s="297">
        <f t="shared" ca="1" si="6"/>
        <v>0</v>
      </c>
      <c r="O36" s="286"/>
      <c r="P36" s="285">
        <f t="shared" ca="1" si="7"/>
        <v>0</v>
      </c>
      <c r="Q36" s="286"/>
      <c r="R36" s="285">
        <f t="shared" ca="1" si="8"/>
        <v>0</v>
      </c>
      <c r="S36" s="286"/>
      <c r="T36" s="285">
        <f t="shared" ca="1" si="9"/>
        <v>0</v>
      </c>
      <c r="U36" s="286"/>
      <c r="V36" s="285">
        <f t="shared" ca="1" si="10"/>
        <v>0</v>
      </c>
      <c r="W36" s="286"/>
      <c r="X36" s="287" t="s">
        <v>187</v>
      </c>
      <c r="Y36" s="288"/>
      <c r="Z36" s="289"/>
      <c r="AA36" s="81"/>
      <c r="AB36" s="93">
        <f t="shared" ca="1" si="2"/>
        <v>0</v>
      </c>
    </row>
    <row r="37" spans="1:32" ht="14.15" customHeight="1" x14ac:dyDescent="0.2">
      <c r="A37" s="290">
        <f t="shared" ca="1" si="3"/>
        <v>46286</v>
      </c>
      <c r="B37" s="291"/>
      <c r="C37" s="80">
        <f ca="1">IF(A37="","",IF(WEEKDAY(A37,1)=1,1,IF(COUNTIF(祝日管理!B:B,A37)=1,"祝",WEEKDAY(A37,1))))</f>
        <v>2</v>
      </c>
      <c r="D37" s="292"/>
      <c r="E37" s="292"/>
      <c r="F37" s="292"/>
      <c r="G37" s="292"/>
      <c r="H37" s="292"/>
      <c r="I37" s="293"/>
      <c r="J37" s="298">
        <f t="shared" si="4"/>
        <v>0</v>
      </c>
      <c r="K37" s="294"/>
      <c r="L37" s="285">
        <f t="shared" si="5"/>
        <v>0</v>
      </c>
      <c r="M37" s="296"/>
      <c r="N37" s="297">
        <f t="shared" ca="1" si="6"/>
        <v>0</v>
      </c>
      <c r="O37" s="286"/>
      <c r="P37" s="285">
        <f t="shared" ca="1" si="7"/>
        <v>0</v>
      </c>
      <c r="Q37" s="286"/>
      <c r="R37" s="285">
        <f t="shared" ca="1" si="8"/>
        <v>0</v>
      </c>
      <c r="S37" s="286"/>
      <c r="T37" s="285">
        <f t="shared" ca="1" si="9"/>
        <v>0</v>
      </c>
      <c r="U37" s="286"/>
      <c r="V37" s="285">
        <f t="shared" ca="1" si="10"/>
        <v>0</v>
      </c>
      <c r="W37" s="286"/>
      <c r="X37" s="287" t="s">
        <v>185</v>
      </c>
      <c r="Y37" s="288"/>
      <c r="Z37" s="289"/>
      <c r="AA37" s="81"/>
      <c r="AB37" s="93">
        <f t="shared" ca="1" si="2"/>
        <v>0</v>
      </c>
    </row>
    <row r="38" spans="1:32" ht="14.15" customHeight="1" x14ac:dyDescent="0.2">
      <c r="A38" s="290">
        <f t="shared" ca="1" si="3"/>
        <v>46287</v>
      </c>
      <c r="B38" s="291"/>
      <c r="C38" s="80">
        <f ca="1">IF(A38="","",IF(WEEKDAY(A38,1)=1,1,IF(COUNTIF(祝日管理!B:B,A38)=1,"祝",WEEKDAY(A38,1))))</f>
        <v>3</v>
      </c>
      <c r="D38" s="292"/>
      <c r="E38" s="292"/>
      <c r="F38" s="292"/>
      <c r="G38" s="292"/>
      <c r="H38" s="292"/>
      <c r="I38" s="293"/>
      <c r="J38" s="298">
        <f t="shared" si="4"/>
        <v>0</v>
      </c>
      <c r="K38" s="294"/>
      <c r="L38" s="285">
        <f t="shared" si="5"/>
        <v>0</v>
      </c>
      <c r="M38" s="296"/>
      <c r="N38" s="297">
        <f t="shared" ca="1" si="6"/>
        <v>0</v>
      </c>
      <c r="O38" s="286"/>
      <c r="P38" s="285">
        <f t="shared" ca="1" si="7"/>
        <v>0</v>
      </c>
      <c r="Q38" s="286"/>
      <c r="R38" s="285">
        <f t="shared" ca="1" si="8"/>
        <v>0</v>
      </c>
      <c r="S38" s="286"/>
      <c r="T38" s="285">
        <f t="shared" ca="1" si="9"/>
        <v>0</v>
      </c>
      <c r="U38" s="286"/>
      <c r="V38" s="285">
        <f t="shared" ca="1" si="10"/>
        <v>0</v>
      </c>
      <c r="W38" s="286"/>
      <c r="X38" s="287"/>
      <c r="Y38" s="288"/>
      <c r="Z38" s="289"/>
      <c r="AA38" s="81"/>
      <c r="AB38" s="93">
        <f t="shared" ca="1" si="2"/>
        <v>7.5</v>
      </c>
    </row>
    <row r="39" spans="1:32" ht="14.15" customHeight="1" x14ac:dyDescent="0.2">
      <c r="A39" s="290">
        <f t="shared" ca="1" si="3"/>
        <v>46288</v>
      </c>
      <c r="B39" s="291"/>
      <c r="C39" s="80">
        <f ca="1">IF(A39="","",IF(WEEKDAY(A39,1)=1,1,IF(COUNTIF(祝日管理!B:B,A39)=1,"祝",WEEKDAY(A39,1))))</f>
        <v>4</v>
      </c>
      <c r="D39" s="292"/>
      <c r="E39" s="292"/>
      <c r="F39" s="292"/>
      <c r="G39" s="292"/>
      <c r="H39" s="292"/>
      <c r="I39" s="293"/>
      <c r="J39" s="298">
        <f t="shared" si="4"/>
        <v>0</v>
      </c>
      <c r="K39" s="294"/>
      <c r="L39" s="285">
        <f t="shared" si="5"/>
        <v>0</v>
      </c>
      <c r="M39" s="296"/>
      <c r="N39" s="297">
        <f t="shared" ca="1" si="6"/>
        <v>0</v>
      </c>
      <c r="O39" s="286"/>
      <c r="P39" s="285">
        <f t="shared" ca="1" si="7"/>
        <v>0</v>
      </c>
      <c r="Q39" s="286"/>
      <c r="R39" s="285">
        <f t="shared" ca="1" si="8"/>
        <v>0</v>
      </c>
      <c r="S39" s="286"/>
      <c r="T39" s="285">
        <f t="shared" ca="1" si="9"/>
        <v>0</v>
      </c>
      <c r="U39" s="286"/>
      <c r="V39" s="285">
        <f t="shared" ca="1" si="10"/>
        <v>0</v>
      </c>
      <c r="W39" s="286"/>
      <c r="X39" s="287" t="s">
        <v>187</v>
      </c>
      <c r="Y39" s="288"/>
      <c r="Z39" s="289"/>
      <c r="AA39" s="81"/>
      <c r="AB39" s="93">
        <f t="shared" ca="1" si="2"/>
        <v>0</v>
      </c>
    </row>
    <row r="40" spans="1:32" ht="14.15" customHeight="1" x14ac:dyDescent="0.2">
      <c r="A40" s="290">
        <f t="shared" ca="1" si="3"/>
        <v>46289</v>
      </c>
      <c r="B40" s="291"/>
      <c r="C40" s="80">
        <f ca="1">IF(A40="","",IF(WEEKDAY(A40,1)=1,1,IF(COUNTIF(祝日管理!B:B,A40)=1,"祝",WEEKDAY(A40,1))))</f>
        <v>5</v>
      </c>
      <c r="D40" s="292"/>
      <c r="E40" s="292"/>
      <c r="F40" s="292"/>
      <c r="G40" s="292"/>
      <c r="H40" s="292"/>
      <c r="I40" s="293"/>
      <c r="J40" s="298">
        <f t="shared" si="4"/>
        <v>0</v>
      </c>
      <c r="K40" s="294"/>
      <c r="L40" s="285">
        <f t="shared" si="5"/>
        <v>0</v>
      </c>
      <c r="M40" s="296"/>
      <c r="N40" s="297">
        <f t="shared" ca="1" si="6"/>
        <v>0</v>
      </c>
      <c r="O40" s="286"/>
      <c r="P40" s="285">
        <f t="shared" ca="1" si="7"/>
        <v>0</v>
      </c>
      <c r="Q40" s="286"/>
      <c r="R40" s="285">
        <f t="shared" ca="1" si="8"/>
        <v>0</v>
      </c>
      <c r="S40" s="286"/>
      <c r="T40" s="285">
        <f t="shared" ca="1" si="9"/>
        <v>0</v>
      </c>
      <c r="U40" s="286"/>
      <c r="V40" s="285">
        <f t="shared" ca="1" si="10"/>
        <v>0</v>
      </c>
      <c r="W40" s="286"/>
      <c r="X40" s="287"/>
      <c r="Y40" s="288"/>
      <c r="Z40" s="289"/>
      <c r="AA40" s="81"/>
      <c r="AB40" s="93">
        <f t="shared" ca="1" si="2"/>
        <v>7.5</v>
      </c>
    </row>
    <row r="41" spans="1:32" ht="14.15" customHeight="1" x14ac:dyDescent="0.2">
      <c r="A41" s="290">
        <f t="shared" ca="1" si="3"/>
        <v>46290</v>
      </c>
      <c r="B41" s="291"/>
      <c r="C41" s="80">
        <f ca="1">IF(A41="","",IF(WEEKDAY(A41,1)=1,1,IF(COUNTIF(祝日管理!B:B,A41)=1,"祝",WEEKDAY(A41,1))))</f>
        <v>6</v>
      </c>
      <c r="D41" s="292"/>
      <c r="E41" s="292"/>
      <c r="F41" s="292"/>
      <c r="G41" s="292"/>
      <c r="H41" s="292"/>
      <c r="I41" s="293"/>
      <c r="J41" s="298">
        <f t="shared" si="4"/>
        <v>0</v>
      </c>
      <c r="K41" s="294"/>
      <c r="L41" s="285">
        <f t="shared" si="5"/>
        <v>0</v>
      </c>
      <c r="M41" s="296"/>
      <c r="N41" s="297">
        <f t="shared" ca="1" si="6"/>
        <v>0</v>
      </c>
      <c r="O41" s="286"/>
      <c r="P41" s="285">
        <f t="shared" ca="1" si="7"/>
        <v>0</v>
      </c>
      <c r="Q41" s="286"/>
      <c r="R41" s="285">
        <f t="shared" ca="1" si="8"/>
        <v>0</v>
      </c>
      <c r="S41" s="286"/>
      <c r="T41" s="285">
        <f t="shared" ca="1" si="9"/>
        <v>0</v>
      </c>
      <c r="U41" s="286"/>
      <c r="V41" s="285">
        <f t="shared" ca="1" si="10"/>
        <v>0</v>
      </c>
      <c r="W41" s="286"/>
      <c r="X41" s="287"/>
      <c r="Y41" s="288"/>
      <c r="Z41" s="289"/>
      <c r="AA41" s="81"/>
      <c r="AB41" s="93">
        <f t="shared" ca="1" si="2"/>
        <v>7.5</v>
      </c>
    </row>
    <row r="42" spans="1:32" ht="14.15" customHeight="1" x14ac:dyDescent="0.2">
      <c r="A42" s="290">
        <f t="shared" ca="1" si="3"/>
        <v>46291</v>
      </c>
      <c r="B42" s="291"/>
      <c r="C42" s="80">
        <f ca="1">IF(A42="","",IF(WEEKDAY(A42,1)=1,1,IF(COUNTIF(祝日管理!B:B,A42)=1,"祝",WEEKDAY(A42,1))))</f>
        <v>7</v>
      </c>
      <c r="D42" s="292"/>
      <c r="E42" s="292"/>
      <c r="F42" s="292"/>
      <c r="G42" s="292"/>
      <c r="H42" s="292"/>
      <c r="I42" s="293"/>
      <c r="J42" s="298">
        <f t="shared" si="4"/>
        <v>0</v>
      </c>
      <c r="K42" s="294"/>
      <c r="L42" s="285">
        <f t="shared" si="5"/>
        <v>0</v>
      </c>
      <c r="M42" s="296"/>
      <c r="N42" s="297">
        <f t="shared" ca="1" si="6"/>
        <v>0</v>
      </c>
      <c r="O42" s="286"/>
      <c r="P42" s="285">
        <f t="shared" ca="1" si="7"/>
        <v>0</v>
      </c>
      <c r="Q42" s="286"/>
      <c r="R42" s="285">
        <f t="shared" ca="1" si="8"/>
        <v>0</v>
      </c>
      <c r="S42" s="286"/>
      <c r="T42" s="285">
        <f t="shared" ca="1" si="9"/>
        <v>0</v>
      </c>
      <c r="U42" s="286"/>
      <c r="V42" s="285">
        <f t="shared" ca="1" si="10"/>
        <v>0</v>
      </c>
      <c r="W42" s="286"/>
      <c r="X42" s="287"/>
      <c r="Y42" s="288"/>
      <c r="Z42" s="289"/>
      <c r="AA42" s="81"/>
      <c r="AB42" s="93">
        <f t="shared" ca="1" si="2"/>
        <v>7.5</v>
      </c>
    </row>
    <row r="43" spans="1:32" ht="14.15" customHeight="1" x14ac:dyDescent="0.2">
      <c r="A43" s="290">
        <f t="shared" ca="1" si="3"/>
        <v>46292</v>
      </c>
      <c r="B43" s="291"/>
      <c r="C43" s="80">
        <f ca="1">IF(A43="","",IF(WEEKDAY(A43,1)=1,1,IF(COUNTIF(祝日管理!B:B,A43)=1,"祝",WEEKDAY(A43,1))))</f>
        <v>1</v>
      </c>
      <c r="D43" s="292"/>
      <c r="E43" s="292"/>
      <c r="F43" s="292"/>
      <c r="G43" s="292"/>
      <c r="H43" s="292"/>
      <c r="I43" s="293"/>
      <c r="J43" s="298">
        <f t="shared" si="4"/>
        <v>0</v>
      </c>
      <c r="K43" s="294"/>
      <c r="L43" s="285">
        <f t="shared" si="5"/>
        <v>0</v>
      </c>
      <c r="M43" s="296"/>
      <c r="N43" s="297">
        <f t="shared" ca="1" si="6"/>
        <v>0</v>
      </c>
      <c r="O43" s="286"/>
      <c r="P43" s="285">
        <f t="shared" ca="1" si="7"/>
        <v>0</v>
      </c>
      <c r="Q43" s="286"/>
      <c r="R43" s="285">
        <f t="shared" ca="1" si="8"/>
        <v>0</v>
      </c>
      <c r="S43" s="286"/>
      <c r="T43" s="285">
        <f t="shared" ca="1" si="9"/>
        <v>0</v>
      </c>
      <c r="U43" s="286"/>
      <c r="V43" s="285">
        <f t="shared" ca="1" si="10"/>
        <v>0</v>
      </c>
      <c r="W43" s="286"/>
      <c r="X43" s="287" t="s">
        <v>187</v>
      </c>
      <c r="Y43" s="288"/>
      <c r="Z43" s="289"/>
      <c r="AA43" s="81"/>
      <c r="AB43" s="93">
        <f t="shared" ca="1" si="2"/>
        <v>0</v>
      </c>
    </row>
    <row r="44" spans="1:32" ht="14.15" customHeight="1" x14ac:dyDescent="0.2">
      <c r="A44" s="290">
        <f t="shared" ca="1" si="3"/>
        <v>46293</v>
      </c>
      <c r="B44" s="291"/>
      <c r="C44" s="80">
        <f ca="1">IF(A44="","",IF(WEEKDAY(A44,1)=1,1,IF(COUNTIF(祝日管理!B:B,A44)=1,"祝",WEEKDAY(A44,1))))</f>
        <v>2</v>
      </c>
      <c r="D44" s="292"/>
      <c r="E44" s="292"/>
      <c r="F44" s="292"/>
      <c r="G44" s="292"/>
      <c r="H44" s="292"/>
      <c r="I44" s="293"/>
      <c r="J44" s="298">
        <f t="shared" si="4"/>
        <v>0</v>
      </c>
      <c r="K44" s="294"/>
      <c r="L44" s="285">
        <f t="shared" si="5"/>
        <v>0</v>
      </c>
      <c r="M44" s="296"/>
      <c r="N44" s="297">
        <f t="shared" ca="1" si="6"/>
        <v>0</v>
      </c>
      <c r="O44" s="286"/>
      <c r="P44" s="285">
        <f t="shared" ca="1" si="7"/>
        <v>0</v>
      </c>
      <c r="Q44" s="286"/>
      <c r="R44" s="285">
        <f t="shared" ca="1" si="8"/>
        <v>0</v>
      </c>
      <c r="S44" s="286"/>
      <c r="T44" s="285">
        <f t="shared" ca="1" si="9"/>
        <v>0</v>
      </c>
      <c r="U44" s="286"/>
      <c r="V44" s="285">
        <f t="shared" ca="1" si="10"/>
        <v>0</v>
      </c>
      <c r="W44" s="286"/>
      <c r="X44" s="287" t="s">
        <v>185</v>
      </c>
      <c r="Y44" s="288"/>
      <c r="Z44" s="289"/>
      <c r="AA44" s="81"/>
      <c r="AB44" s="93">
        <f t="shared" ca="1" si="2"/>
        <v>0</v>
      </c>
    </row>
    <row r="45" spans="1:32" ht="14.15" customHeight="1" x14ac:dyDescent="0.2">
      <c r="A45" s="290">
        <f ca="1">IF(DAY(A44+1)=29,A44+1,"")</f>
        <v>46294</v>
      </c>
      <c r="B45" s="291"/>
      <c r="C45" s="80">
        <f ca="1">IF(A45="","",IF(WEEKDAY(A45,1)=1,1,IF(COUNTIF(祝日管理!B:B,A45)=1,"祝",WEEKDAY(A45,1))))</f>
        <v>3</v>
      </c>
      <c r="D45" s="292"/>
      <c r="E45" s="292"/>
      <c r="F45" s="292"/>
      <c r="G45" s="292"/>
      <c r="H45" s="292"/>
      <c r="I45" s="293"/>
      <c r="J45" s="298">
        <f t="shared" si="4"/>
        <v>0</v>
      </c>
      <c r="K45" s="294"/>
      <c r="L45" s="285">
        <f t="shared" si="5"/>
        <v>0</v>
      </c>
      <c r="M45" s="296"/>
      <c r="N45" s="297">
        <f t="shared" ca="1" si="6"/>
        <v>0</v>
      </c>
      <c r="O45" s="286"/>
      <c r="P45" s="285">
        <f t="shared" ca="1" si="7"/>
        <v>0</v>
      </c>
      <c r="Q45" s="286"/>
      <c r="R45" s="285">
        <f t="shared" ca="1" si="8"/>
        <v>0</v>
      </c>
      <c r="S45" s="286"/>
      <c r="T45" s="285">
        <f t="shared" ca="1" si="9"/>
        <v>0</v>
      </c>
      <c r="U45" s="286"/>
      <c r="V45" s="285">
        <f t="shared" ca="1" si="10"/>
        <v>0</v>
      </c>
      <c r="W45" s="286"/>
      <c r="X45" s="287"/>
      <c r="Y45" s="288"/>
      <c r="Z45" s="289"/>
      <c r="AA45" s="82"/>
      <c r="AB45" s="93">
        <f t="shared" ca="1" si="2"/>
        <v>7.5</v>
      </c>
    </row>
    <row r="46" spans="1:32" ht="14.15" customHeight="1" x14ac:dyDescent="0.2">
      <c r="A46" s="290">
        <f ca="1">IF(A45="","",IF(DAY(A45+1)=30,A45+1,""))</f>
        <v>46295</v>
      </c>
      <c r="B46" s="291"/>
      <c r="C46" s="80">
        <f ca="1">IF(A46="","",IF(WEEKDAY(A46,1)=1,1,IF(COUNTIF(祝日管理!B:B,A46)=1,"祝",WEEKDAY(A46,1))))</f>
        <v>4</v>
      </c>
      <c r="D46" s="292"/>
      <c r="E46" s="292"/>
      <c r="F46" s="292"/>
      <c r="G46" s="292"/>
      <c r="H46" s="292"/>
      <c r="I46" s="293"/>
      <c r="J46" s="298">
        <f t="shared" si="4"/>
        <v>0</v>
      </c>
      <c r="K46" s="294"/>
      <c r="L46" s="285">
        <f t="shared" si="5"/>
        <v>0</v>
      </c>
      <c r="M46" s="296"/>
      <c r="N46" s="297">
        <f t="shared" ca="1" si="6"/>
        <v>0</v>
      </c>
      <c r="O46" s="286"/>
      <c r="P46" s="285">
        <f t="shared" ca="1" si="7"/>
        <v>0</v>
      </c>
      <c r="Q46" s="286"/>
      <c r="R46" s="285">
        <f t="shared" ca="1" si="8"/>
        <v>0</v>
      </c>
      <c r="S46" s="286"/>
      <c r="T46" s="285">
        <f t="shared" ca="1" si="9"/>
        <v>0</v>
      </c>
      <c r="U46" s="286"/>
      <c r="V46" s="285">
        <f t="shared" ca="1" si="10"/>
        <v>0</v>
      </c>
      <c r="W46" s="286"/>
      <c r="X46" s="287"/>
      <c r="Y46" s="288"/>
      <c r="Z46" s="289"/>
      <c r="AA46" s="81"/>
      <c r="AB46" s="93">
        <f t="shared" ca="1" si="2"/>
        <v>7.5</v>
      </c>
      <c r="AF46">
        <f>+時間・月額</f>
        <v>250000</v>
      </c>
    </row>
    <row r="47" spans="1:32" ht="14.15" customHeight="1" thickBot="1" x14ac:dyDescent="0.25">
      <c r="A47" s="290" t="str">
        <f ca="1">IF(A46="","",IF(DAY(A46+1)=31,A46+1,""))</f>
        <v/>
      </c>
      <c r="B47" s="291"/>
      <c r="C47" s="80" t="str">
        <f ca="1">IF(A47="","",IF(WEEKDAY(A47,1)=1,1,IF(COUNTIF(祝日管理!B:B,A47)=1,"祝",WEEKDAY(A47,1))))</f>
        <v/>
      </c>
      <c r="D47" s="292"/>
      <c r="E47" s="292"/>
      <c r="F47" s="292"/>
      <c r="G47" s="292"/>
      <c r="H47" s="292"/>
      <c r="I47" s="293"/>
      <c r="J47" s="294">
        <f t="shared" si="4"/>
        <v>0</v>
      </c>
      <c r="K47" s="295"/>
      <c r="L47" s="285">
        <f t="shared" si="5"/>
        <v>0</v>
      </c>
      <c r="M47" s="296"/>
      <c r="N47" s="283" t="str">
        <f t="shared" ca="1" si="6"/>
        <v/>
      </c>
      <c r="O47" s="284"/>
      <c r="P47" s="285" t="str">
        <f t="shared" ca="1" si="7"/>
        <v/>
      </c>
      <c r="Q47" s="286"/>
      <c r="R47" s="285">
        <f t="shared" ca="1" si="8"/>
        <v>0</v>
      </c>
      <c r="S47" s="286"/>
      <c r="T47" s="285">
        <f t="shared" ca="1" si="9"/>
        <v>0</v>
      </c>
      <c r="U47" s="286"/>
      <c r="V47" s="285">
        <f t="shared" ca="1" si="10"/>
        <v>0</v>
      </c>
      <c r="W47" s="286"/>
      <c r="X47" s="287"/>
      <c r="Y47" s="288"/>
      <c r="Z47" s="289"/>
      <c r="AA47" s="81"/>
      <c r="AB47" s="93">
        <f ca="1">IF(ISERROR((X47="")*(7.5-N47)),0,(X47="")*(7.5-N47))</f>
        <v>0</v>
      </c>
    </row>
    <row r="48" spans="1:32" ht="14.15" customHeight="1" thickBot="1" x14ac:dyDescent="0.25">
      <c r="A48" s="274" t="s">
        <v>56</v>
      </c>
      <c r="B48" s="275"/>
      <c r="C48" s="35"/>
      <c r="D48" s="276"/>
      <c r="E48" s="277"/>
      <c r="F48" s="276"/>
      <c r="G48" s="277"/>
      <c r="H48" s="276"/>
      <c r="I48" s="278"/>
      <c r="J48" s="279"/>
      <c r="K48" s="280"/>
      <c r="L48" s="281" t="s">
        <v>198</v>
      </c>
      <c r="M48" s="282"/>
      <c r="N48" s="265"/>
      <c r="O48" s="266"/>
      <c r="P48" s="267" t="s">
        <v>200</v>
      </c>
      <c r="Q48" s="268"/>
      <c r="R48" s="265"/>
      <c r="S48" s="266"/>
      <c r="T48" s="269"/>
      <c r="U48" s="270"/>
      <c r="V48" s="269"/>
      <c r="W48" s="270"/>
      <c r="X48" s="271"/>
      <c r="Y48" s="272"/>
      <c r="Z48" s="273"/>
      <c r="AA48" s="66"/>
      <c r="AB48" t="s">
        <v>191</v>
      </c>
    </row>
    <row r="49" spans="1:34" ht="14.15" customHeight="1" x14ac:dyDescent="0.2">
      <c r="A49" s="255" t="s">
        <v>196</v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8">
        <f>SUM(L17:M47)+N48</f>
        <v>0</v>
      </c>
      <c r="M49" s="259"/>
      <c r="N49" s="260">
        <f ca="1">ROUNDDOWN((SUM(N17:O48)+0.01)*4,0)/4</f>
        <v>0</v>
      </c>
      <c r="O49" s="261"/>
      <c r="P49" s="262">
        <f ca="1">ROUNDDOWN((SUM(P17:Q47)+0.01)*4,0)/4</f>
        <v>0</v>
      </c>
      <c r="Q49" s="263"/>
      <c r="R49" s="242">
        <f ca="1">ROUNDDOWN((SUM(R17:S47)+0.01)*4,0)/4</f>
        <v>0</v>
      </c>
      <c r="S49" s="264"/>
      <c r="T49" s="242">
        <f ca="1">ROUNDDOWN((SUM(T17:U47)+0.01)*4,0)/4</f>
        <v>0</v>
      </c>
      <c r="U49" s="243"/>
      <c r="V49" s="242">
        <f ca="1">ROUNDDOWN((SUM(V17:W47)+0.01)*4,0)/4</f>
        <v>0</v>
      </c>
      <c r="W49" s="243"/>
      <c r="X49" s="244">
        <f ca="1">SUM(通常時間計:休日深夜時間計)</f>
        <v>0</v>
      </c>
      <c r="Y49" s="245"/>
      <c r="Z49" s="245"/>
      <c r="AA49" s="64" t="s">
        <v>142</v>
      </c>
    </row>
    <row r="50" spans="1:34" ht="14.15" customHeight="1" thickBot="1" x14ac:dyDescent="0.25">
      <c r="A50" s="246" t="s">
        <v>106</v>
      </c>
      <c r="B50" s="246"/>
      <c r="C50" s="246"/>
      <c r="D50" s="246"/>
      <c r="E50" s="246"/>
      <c r="F50" s="246"/>
      <c r="G50" s="246"/>
      <c r="H50" s="246"/>
      <c r="I50" s="246"/>
      <c r="J50" s="246"/>
      <c r="K50" s="246"/>
      <c r="L50" s="247">
        <f ca="1">SUM(N50:W50)</f>
        <v>0</v>
      </c>
      <c r="M50" s="248"/>
      <c r="N50" s="249">
        <f ca="1">通常時間計</f>
        <v>0</v>
      </c>
      <c r="O50" s="250"/>
      <c r="P50" s="249">
        <f ca="1">IF(給与体系="140-160時間制",超過勤務時間計,MAX(0,超過勤務時間計+深夜残業時間計-60)*0.25+超過勤務時間計*1.25)</f>
        <v>0</v>
      </c>
      <c r="Q50" s="250"/>
      <c r="R50" s="251">
        <f ca="1">IF(給与体系="140-160時間制",深夜残業時間計,深夜残業時間計*1.5)</f>
        <v>0</v>
      </c>
      <c r="S50" s="252"/>
      <c r="T50" s="251">
        <f ca="1">IF(給与体系="140-160時間制",休日出勤時間計,休日出勤時間計*1.35)</f>
        <v>0</v>
      </c>
      <c r="U50" s="252"/>
      <c r="V50" s="251">
        <f ca="1">IF(給与体系="140-160時間制",休日深夜時間計,休日深夜時間計*1.6)</f>
        <v>0</v>
      </c>
      <c r="W50" s="252"/>
      <c r="X50" s="253">
        <f ca="1">SUM(N50:W50)</f>
        <v>0</v>
      </c>
      <c r="Y50" s="254"/>
      <c r="Z50" s="254"/>
      <c r="AA50" s="88">
        <f>+'8月'!AA50</f>
        <v>45748</v>
      </c>
      <c r="AB50" s="98">
        <f ca="1">+IFERROR(((MAX(0,超過勤務時間計+深夜残業時間計-60)*0.25+(超過勤務時間計+深夜残業時間計)*1.25))/(超過勤務時間計+深夜残業時間計),0)</f>
        <v>0</v>
      </c>
      <c r="AC50" s="2" t="s">
        <v>158</v>
      </c>
      <c r="AD50" s="2"/>
      <c r="AE50" s="231"/>
      <c r="AF50" s="231"/>
      <c r="AG50" s="60"/>
      <c r="AH50" s="61"/>
    </row>
    <row r="51" spans="1:34" ht="14.15" customHeight="1" thickTop="1" thickBot="1" x14ac:dyDescent="0.25">
      <c r="A51" s="232" t="s">
        <v>38</v>
      </c>
      <c r="B51" s="233"/>
      <c r="C51" s="234">
        <f>COUNTA(D17:D47)-W51-W52</f>
        <v>0</v>
      </c>
      <c r="D51" s="235"/>
      <c r="E51" s="236" t="s">
        <v>32</v>
      </c>
      <c r="F51" s="233"/>
      <c r="G51" s="237">
        <f>+COUNTIF($X17:$Z47,E51)</f>
        <v>0</v>
      </c>
      <c r="H51" s="238"/>
      <c r="I51" s="169" t="s">
        <v>111</v>
      </c>
      <c r="J51" s="170"/>
      <c r="K51" s="167">
        <f>+COUNTIF($X17:$Z47,I51)</f>
        <v>0</v>
      </c>
      <c r="L51" s="168"/>
      <c r="M51" s="169" t="s">
        <v>113</v>
      </c>
      <c r="N51" s="170"/>
      <c r="O51" s="167">
        <f>+COUNTIF($X17:$Z47,M51)</f>
        <v>0</v>
      </c>
      <c r="P51" s="168"/>
      <c r="Q51" s="169" t="s">
        <v>112</v>
      </c>
      <c r="R51" s="170"/>
      <c r="S51" s="167">
        <f>+COUNTIF($X17:$Z47,Q51)</f>
        <v>0</v>
      </c>
      <c r="T51" s="168"/>
      <c r="U51" s="169" t="s">
        <v>123</v>
      </c>
      <c r="V51" s="170"/>
      <c r="W51" s="171">
        <f>+K51+(O51+S51)/2</f>
        <v>0</v>
      </c>
      <c r="X51" s="172"/>
      <c r="Y51" s="208" t="s">
        <v>124</v>
      </c>
      <c r="Z51" s="209"/>
      <c r="AA51" s="63">
        <f>+AA52-W51-AA53</f>
        <v>35</v>
      </c>
      <c r="AB51" t="s">
        <v>174</v>
      </c>
    </row>
    <row r="52" spans="1:34" ht="14.15" customHeight="1" thickTop="1" thickBot="1" x14ac:dyDescent="0.25">
      <c r="A52" s="239" t="s">
        <v>153</v>
      </c>
      <c r="B52" s="239"/>
      <c r="C52" s="239"/>
      <c r="D52" s="239"/>
      <c r="E52" s="239"/>
      <c r="F52" s="240">
        <f>+'8月'!F52</f>
        <v>250000</v>
      </c>
      <c r="G52" s="240"/>
      <c r="H52" s="241"/>
      <c r="I52" s="169" t="s">
        <v>126</v>
      </c>
      <c r="J52" s="170"/>
      <c r="K52" s="167">
        <f>+COUNTIF($X17:$Z47,"*全*")-COUNTIF($X17:$Z47,"*欠勤(全*")-COUNTIF($X17:$Z47,"*振休(全*")-COUNTIF($X17:$Z47,"*代休(全*")-K51</f>
        <v>0</v>
      </c>
      <c r="L52" s="168"/>
      <c r="M52" s="169" t="s">
        <v>135</v>
      </c>
      <c r="N52" s="170"/>
      <c r="O52" s="167">
        <f>+COUNTIF($X17:$Z47,"*AM*")-COUNTIF($X17:$Z47,"*欠勤(A*")-COUNTIF($X17:$Z47,"*代休(A*")-O51</f>
        <v>0</v>
      </c>
      <c r="P52" s="168"/>
      <c r="Q52" s="169" t="s">
        <v>136</v>
      </c>
      <c r="R52" s="170"/>
      <c r="S52" s="167">
        <f>+COUNTIF($X17:$Z47,"*PM*")-COUNTIF($X17:$Z47,"*代休(P*")-S51</f>
        <v>0</v>
      </c>
      <c r="T52" s="168"/>
      <c r="U52" s="169" t="s">
        <v>127</v>
      </c>
      <c r="V52" s="170"/>
      <c r="W52" s="171">
        <f>+K52+(O52+S52)/2</f>
        <v>0</v>
      </c>
      <c r="X52" s="172"/>
      <c r="Y52" s="208" t="s">
        <v>125</v>
      </c>
      <c r="Z52" s="209"/>
      <c r="AA52" s="62">
        <f>+'8月'!AA51</f>
        <v>35</v>
      </c>
      <c r="AB52" t="s">
        <v>173</v>
      </c>
    </row>
    <row r="53" spans="1:34" ht="14.15" customHeight="1" thickTop="1" thickBot="1" x14ac:dyDescent="0.25">
      <c r="A53" s="224"/>
      <c r="B53" s="225"/>
      <c r="C53" s="226"/>
      <c r="D53" s="227" t="s">
        <v>21</v>
      </c>
      <c r="E53" s="228"/>
      <c r="F53" s="33"/>
      <c r="G53" s="228" t="s">
        <v>22</v>
      </c>
      <c r="H53" s="228"/>
      <c r="I53" s="34"/>
      <c r="J53" s="229"/>
      <c r="K53" s="225"/>
      <c r="L53" s="230"/>
      <c r="M53" s="27"/>
      <c r="N53" s="28"/>
      <c r="O53" s="32"/>
      <c r="P53" s="4"/>
      <c r="S53" s="4"/>
      <c r="Y53" s="208" t="s">
        <v>166</v>
      </c>
      <c r="Z53" s="209"/>
      <c r="AA53" s="63">
        <v>0</v>
      </c>
      <c r="AB53" t="s">
        <v>167</v>
      </c>
    </row>
    <row r="54" spans="1:34" ht="14.15" customHeight="1" thickTop="1" thickBot="1" x14ac:dyDescent="0.25">
      <c r="A54" s="217" t="s">
        <v>256</v>
      </c>
      <c r="B54" s="218"/>
      <c r="C54" s="218"/>
      <c r="D54" s="219" t="e">
        <f ca="1">ROUNDUP(IF(給与種別=0,時間・月額+手当１金額,IF(給与体系="時給制",(時間・月額+手当１金額/150),(時間・月額+手当１金額)/SUMIF(テーブル_勤務時間,給与体系,テーブル!C:C))),0)</f>
        <v>#DIV/0!</v>
      </c>
      <c r="E54" s="220"/>
      <c r="F54" s="99" t="s">
        <v>39</v>
      </c>
      <c r="G54" s="195">
        <f ca="1">+IF(給与種別=0,1,IF(給与体系&lt;&gt;"時給制",SUMIF(テーブル_勤務時間,給与体系,テーブル!K:K),通常時間計))</f>
        <v>0</v>
      </c>
      <c r="H54" s="195"/>
      <c r="I54" s="100" t="str">
        <f ca="1">IF(給与種別=2,"h","m")</f>
        <v>h</v>
      </c>
      <c r="J54" s="221">
        <f ca="1">IF(給与体系="時給制",基本給単価*基本給時間,SUMIF(テーブル!U2:U13,当月,テーブル!V2:V13))</f>
        <v>0</v>
      </c>
      <c r="K54" s="222"/>
      <c r="L54" s="223"/>
      <c r="M54" s="4"/>
      <c r="N54" s="202" t="s">
        <v>188</v>
      </c>
      <c r="O54" s="203"/>
      <c r="P54" s="203"/>
      <c r="Q54" s="204">
        <f>(合計_15分未満切捨て-(K51+K52)*7.5-(O51+O52)*3-(S51+S52)*4.5)</f>
        <v>0</v>
      </c>
      <c r="R54" s="205"/>
      <c r="S54" s="206"/>
      <c r="T54" s="207"/>
      <c r="U54" s="92" t="s">
        <v>197</v>
      </c>
      <c r="Y54" s="208" t="s">
        <v>203</v>
      </c>
      <c r="Z54" s="209"/>
      <c r="AA54" s="63">
        <f>+SUM('9月:4月'!W51:X51)</f>
        <v>0</v>
      </c>
      <c r="AB54" t="s">
        <v>204</v>
      </c>
    </row>
    <row r="55" spans="1:34" ht="14.15" customHeight="1" thickTop="1" thickBot="1" x14ac:dyDescent="0.25">
      <c r="A55" s="192" t="str">
        <f ca="1">+IF(給与体系="時給制","超過勤務","みなし給")</f>
        <v>みなし給</v>
      </c>
      <c r="B55" s="193"/>
      <c r="C55" s="194"/>
      <c r="D55" s="210" t="e">
        <f ca="1">IF(給与体系="140-160時間制",基本給単価/4,IF(時間外係数=0,基本給単価*1.25,ROUNDUP(IF(給与体系="時給制",(時間・月額+手当１金額/150)*時間外係数,(時間・月額+手当１金額)/SUMIF(テーブル_勤務時間,給与体系,テーブル!C:C)*SUMIF(テーブル_勤務時間,給与体系,テーブル!E:E)),0)))</f>
        <v>#DIV/0!</v>
      </c>
      <c r="E55" s="211"/>
      <c r="F55" s="99" t="s">
        <v>39</v>
      </c>
      <c r="G55" s="195">
        <f ca="1">+IF(給与体系="時給制",超過勤務時間計,SUMIF(テーブル_勤務時間,給与体系,テーブル_みなし時間))</f>
        <v>0</v>
      </c>
      <c r="H55" s="195"/>
      <c r="I55" s="100" t="s">
        <v>40</v>
      </c>
      <c r="J55" s="212">
        <f ca="1">IF(みなし給時間="","",IF(給与体系="時給制",みなし給単価*みなし給時間,SUMIF(テーブル!U2:U13,当月,テーブル!W2:W13)))</f>
        <v>0</v>
      </c>
      <c r="K55" s="213"/>
      <c r="L55" s="214"/>
      <c r="M55" s="4"/>
      <c r="N55" s="215" t="s">
        <v>189</v>
      </c>
      <c r="O55" s="216"/>
      <c r="P55" s="216"/>
      <c r="Q55" s="204">
        <f>+N48+R48*7.5</f>
        <v>0</v>
      </c>
      <c r="R55" s="205"/>
      <c r="S55" s="206"/>
      <c r="T55" s="207"/>
      <c r="U55" s="92" t="s">
        <v>201</v>
      </c>
      <c r="AA55" s="87" t="s">
        <v>192</v>
      </c>
    </row>
    <row r="56" spans="1:34" ht="14.15" customHeight="1" thickTop="1" thickBot="1" x14ac:dyDescent="0.25">
      <c r="A56" s="192" t="str">
        <f ca="1">+IF(給与体系="時給制","深夜残業","月額給")</f>
        <v>月額給</v>
      </c>
      <c r="B56" s="193"/>
      <c r="C56" s="194"/>
      <c r="D56" s="200" t="e">
        <f ca="1">IF(給与体系="時給制",ROUND(基本給単価*(1.5+MAX(0,時間外係数-1.25)),0),IF(給与体系="月給制","",VLOOKUP(給与体系,テーブル!B:F,5,0)))</f>
        <v>#N/A</v>
      </c>
      <c r="E56" s="201"/>
      <c r="F56" s="99" t="str">
        <f ca="1">+IF(給与体系="時給制","＊",IF(給与体系="月給制","","－"))</f>
        <v>－</v>
      </c>
      <c r="G56" s="195" t="e">
        <f ca="1">+IF(給与体系="時給制",深夜残業時間計,IF(給与体系="月給制","月額給",VLOOKUP(給与体系,テーブル!B:G,6,0)))</f>
        <v>#N/A</v>
      </c>
      <c r="H56" s="195"/>
      <c r="I56" s="100" t="str">
        <f ca="1">+IF(給与体系="時給制","h","制")</f>
        <v>制</v>
      </c>
      <c r="J56" s="179">
        <f ca="1">IF(給与体系="時給制",D56*G56,基本給+みなし給)</f>
        <v>0</v>
      </c>
      <c r="K56" s="180"/>
      <c r="L56" s="181"/>
      <c r="M56" s="4"/>
      <c r="N56" s="202" t="s">
        <v>190</v>
      </c>
      <c r="O56" s="203"/>
      <c r="P56" s="203"/>
      <c r="Q56" s="204">
        <f>+Q54-Q55</f>
        <v>0</v>
      </c>
      <c r="R56" s="205"/>
      <c r="S56" s="206"/>
      <c r="T56" s="207"/>
      <c r="U56" s="92" t="s">
        <v>199</v>
      </c>
      <c r="AA56" s="86">
        <f>IF(D62="テレワーク手当",J62/400,IF(D63="テレワーク手当",J63/400,IF(D64="テレワーク手当",J64/400,0)))</f>
        <v>0</v>
      </c>
      <c r="AB56" t="s">
        <v>193</v>
      </c>
    </row>
    <row r="57" spans="1:34" ht="14.15" customHeight="1" thickTop="1" thickBot="1" x14ac:dyDescent="0.25">
      <c r="A57" s="192" t="str">
        <f ca="1">+IF(給与体系="時給制","休日出勤","控除精算")</f>
        <v>控除精算</v>
      </c>
      <c r="B57" s="193"/>
      <c r="C57" s="194"/>
      <c r="D57" s="176" t="e">
        <f ca="1">ROUNDUP(IF(給与種別=0,0,IF(給与体系="時給制",(基本給単価)*1.35,(時間・月額)/SUMIF(テーブル_勤務時間,給与体系,テーブル!C:C))),0)</f>
        <v>#DIV/0!</v>
      </c>
      <c r="E57" s="177"/>
      <c r="F57" s="99" t="s">
        <v>39</v>
      </c>
      <c r="G57" s="195">
        <f ca="1">IF(給与体系="時給制",休日出勤時間計,IF(給与体系="月給制",-1*欠勤時間計,IF(給与体系="140-160時間制",MIN(0,時間合計-140),MIN(0,補正勤務時間合計-SUMIF(テーブル_勤務時間,給与体系,テーブル!H:H)))))</f>
        <v>0</v>
      </c>
      <c r="H57" s="195"/>
      <c r="I57" s="100" t="s">
        <v>40</v>
      </c>
      <c r="J57" s="179" t="e">
        <f ca="1">MAX(控除単価*控除時間,時間・月額*-1)</f>
        <v>#DIV/0!</v>
      </c>
      <c r="K57" s="180"/>
      <c r="L57" s="181"/>
      <c r="M57" s="4"/>
      <c r="N57" s="196" t="s">
        <v>134</v>
      </c>
      <c r="O57" s="197"/>
      <c r="P57" s="198">
        <f ca="1">_xlfn.XLOOKUP(当月,テーブル!U2:U13,テーブル!X2:X13,テーブル!$O$6,FALSE)</f>
        <v>0</v>
      </c>
      <c r="Q57" s="198"/>
      <c r="R57" s="198"/>
      <c r="S57" s="198"/>
      <c r="T57" s="198"/>
      <c r="U57" s="198"/>
      <c r="V57" s="198"/>
      <c r="W57" s="199"/>
    </row>
    <row r="58" spans="1:34" ht="14.15" customHeight="1" x14ac:dyDescent="0.2">
      <c r="A58" s="173" t="str">
        <f ca="1">+IF(給与体系="時給制","休日深夜","超過精算")</f>
        <v>超過精算</v>
      </c>
      <c r="B58" s="174"/>
      <c r="C58" s="175"/>
      <c r="D58" s="176" t="e">
        <f ca="1">ROUNDUP(IF(給与種別=0,((時間・月額+手当１金額)/150),IF(給与体系="時給制",(基本給単価)*1.6,(時間・月額)/SUMIF(テーブル_勤務時間,給与体系,テーブル!C:C))),0)</f>
        <v>#DIV/0!</v>
      </c>
      <c r="E58" s="177"/>
      <c r="F58" s="101" t="s">
        <v>39</v>
      </c>
      <c r="G58" s="178">
        <f ca="1">IF(給与体系="時給制",休日深夜時間計,IF(給与体系="140-160時間制",MAX(0,時間合計-160)*1.25+MAX(0,深夜残業時間計-80)*0.25,(IF(給与体系="管理監督者",(深夜残業時間計+休日深夜時間計)*0.25,MAX(0,補正勤務時間合計-SUMIF(テーブル_勤務時間,給与体系,テーブル!I:I))))))</f>
        <v>0</v>
      </c>
      <c r="H58" s="178"/>
      <c r="I58" s="102" t="s">
        <v>40</v>
      </c>
      <c r="J58" s="179" t="e">
        <f ca="1">超過単価*超過時間</f>
        <v>#DIV/0!</v>
      </c>
      <c r="K58" s="180"/>
      <c r="L58" s="181"/>
      <c r="M58" s="4"/>
      <c r="N58" s="182" t="s">
        <v>157</v>
      </c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94" t="s">
        <v>211</v>
      </c>
    </row>
    <row r="59" spans="1:34" ht="14.15" customHeight="1" thickBot="1" x14ac:dyDescent="0.25">
      <c r="A59" s="183" t="s">
        <v>227</v>
      </c>
      <c r="B59" s="184"/>
      <c r="C59" s="185"/>
      <c r="D59" s="186"/>
      <c r="E59" s="187"/>
      <c r="F59" s="83"/>
      <c r="G59" s="188" t="s">
        <v>255</v>
      </c>
      <c r="H59" s="188"/>
      <c r="I59" s="84"/>
      <c r="J59" s="189" t="str">
        <f>+IF(ISERROR(過不足調整単価*過不足調整時間),"",過不足調整単価*過不足調整時間)</f>
        <v/>
      </c>
      <c r="K59" s="190"/>
      <c r="L59" s="191"/>
      <c r="M59" s="4"/>
      <c r="N59" s="154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95">
        <f ca="1">+SUM(AB17:AB47)+G51*7.5+AB59</f>
        <v>150</v>
      </c>
    </row>
    <row r="60" spans="1:34" ht="14.15" customHeight="1" thickTop="1" x14ac:dyDescent="0.2">
      <c r="A60" s="145"/>
      <c r="B60" s="146"/>
      <c r="C60" s="147"/>
      <c r="D60" s="148" t="s">
        <v>148</v>
      </c>
      <c r="E60" s="149"/>
      <c r="F60" s="149"/>
      <c r="G60" s="149"/>
      <c r="H60" s="149"/>
      <c r="I60" s="150"/>
      <c r="J60" s="151" t="e">
        <f ca="1">IF(給与体系="時給制",SUM(基本給:L59),SUM(J56:L59))</f>
        <v>#DIV/0!</v>
      </c>
      <c r="K60" s="152"/>
      <c r="L60" s="153"/>
      <c r="M60" s="4"/>
      <c r="N60" s="154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6"/>
      <c r="AB60" t="s">
        <v>229</v>
      </c>
    </row>
    <row r="61" spans="1:34" ht="14.15" customHeight="1" x14ac:dyDescent="0.2">
      <c r="A61" s="157" t="s">
        <v>137</v>
      </c>
      <c r="B61" s="158" t="s">
        <v>182</v>
      </c>
      <c r="C61" s="159"/>
      <c r="D61" s="160">
        <f>'4月'!D61</f>
        <v>0</v>
      </c>
      <c r="E61" s="161"/>
      <c r="F61" s="161"/>
      <c r="G61" s="161"/>
      <c r="H61" s="161"/>
      <c r="I61" s="162"/>
      <c r="J61" s="126">
        <f>'4月'!手当１金額</f>
        <v>0</v>
      </c>
      <c r="K61" s="127"/>
      <c r="L61" s="128"/>
      <c r="M61" s="4"/>
      <c r="N61" s="115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7"/>
      <c r="AB61" t="s">
        <v>232</v>
      </c>
      <c r="AC61" t="s">
        <v>235</v>
      </c>
    </row>
    <row r="62" spans="1:34" ht="14.15" customHeight="1" x14ac:dyDescent="0.2">
      <c r="A62" s="157"/>
      <c r="B62" s="163" t="s">
        <v>183</v>
      </c>
      <c r="C62" s="120"/>
      <c r="D62" s="133"/>
      <c r="E62" s="134"/>
      <c r="F62" s="134"/>
      <c r="G62" s="134"/>
      <c r="H62" s="134"/>
      <c r="I62" s="135"/>
      <c r="J62" s="126"/>
      <c r="K62" s="127"/>
      <c r="L62" s="128"/>
      <c r="M62" s="4"/>
      <c r="N62" s="115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7"/>
      <c r="AB62" t="s">
        <v>239</v>
      </c>
      <c r="AC62" t="s">
        <v>236</v>
      </c>
    </row>
    <row r="63" spans="1:34" ht="14.15" customHeight="1" x14ac:dyDescent="0.2">
      <c r="A63" s="157"/>
      <c r="B63" s="164"/>
      <c r="C63" s="165"/>
      <c r="D63" s="133"/>
      <c r="E63" s="134"/>
      <c r="F63" s="134"/>
      <c r="G63" s="134"/>
      <c r="H63" s="134"/>
      <c r="I63" s="135"/>
      <c r="J63" s="126"/>
      <c r="K63" s="127"/>
      <c r="L63" s="128"/>
      <c r="M63" s="4"/>
      <c r="N63" s="115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7"/>
      <c r="AB63" t="s">
        <v>245</v>
      </c>
      <c r="AC63" t="s">
        <v>249</v>
      </c>
    </row>
    <row r="64" spans="1:34" ht="14.15" customHeight="1" x14ac:dyDescent="0.2">
      <c r="A64" s="157"/>
      <c r="B64" s="166"/>
      <c r="C64" s="123"/>
      <c r="D64" s="133"/>
      <c r="E64" s="134"/>
      <c r="F64" s="134"/>
      <c r="G64" s="134"/>
      <c r="H64" s="134"/>
      <c r="I64" s="135"/>
      <c r="J64" s="126"/>
      <c r="K64" s="127"/>
      <c r="L64" s="128"/>
      <c r="M64" s="4"/>
      <c r="N64" s="115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7"/>
      <c r="AB64" t="s">
        <v>247</v>
      </c>
      <c r="AC64" t="s">
        <v>237</v>
      </c>
    </row>
    <row r="65" spans="1:29" ht="14.15" customHeight="1" x14ac:dyDescent="0.2">
      <c r="A65" s="136" t="s">
        <v>28</v>
      </c>
      <c r="B65" s="137"/>
      <c r="C65" s="137"/>
      <c r="D65" s="137"/>
      <c r="E65" s="137"/>
      <c r="F65" s="137"/>
      <c r="G65" s="137"/>
      <c r="H65" s="137"/>
      <c r="I65" s="138"/>
      <c r="J65" s="139" t="e">
        <f ca="1">J60+SUM(J62:L64)</f>
        <v>#DIV/0!</v>
      </c>
      <c r="K65" s="140"/>
      <c r="L65" s="141"/>
      <c r="M65" s="4"/>
      <c r="N65" s="142" t="str">
        <f>+IF('4月'!J66=0," ※前月の通勤費がゼロのため通勤交通費が表示されない","")</f>
        <v xml:space="preserve"> ※前月の通勤費がゼロのため通勤交通費が表示されない</v>
      </c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4"/>
    </row>
    <row r="66" spans="1:29" ht="14.15" customHeight="1" x14ac:dyDescent="0.2">
      <c r="A66" s="132" t="s">
        <v>169</v>
      </c>
      <c r="B66" s="124"/>
      <c r="C66" s="124"/>
      <c r="D66" s="124"/>
      <c r="E66" s="124"/>
      <c r="F66" s="124"/>
      <c r="G66" s="124"/>
      <c r="H66" s="124"/>
      <c r="I66" s="125"/>
      <c r="J66" s="126">
        <f>+'8月'!$J$66</f>
        <v>0</v>
      </c>
      <c r="K66" s="127"/>
      <c r="L66" s="128"/>
      <c r="M66" s="4"/>
      <c r="N66" s="115" t="str">
        <f>+IF(C51=0," ※出勤がないため通勤交通費の支給は無し","")</f>
        <v xml:space="preserve"> ※出勤がないため通勤交通費の支給は無し</v>
      </c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7"/>
      <c r="AB66" t="s">
        <v>246</v>
      </c>
      <c r="AC66" t="s">
        <v>253</v>
      </c>
    </row>
    <row r="67" spans="1:29" ht="14.15" customHeight="1" x14ac:dyDescent="0.2">
      <c r="A67" s="132" t="s">
        <v>141</v>
      </c>
      <c r="B67" s="124"/>
      <c r="C67" s="125"/>
      <c r="D67" s="124" t="s">
        <v>138</v>
      </c>
      <c r="E67" s="124"/>
      <c r="F67" s="124"/>
      <c r="G67" s="124"/>
      <c r="H67" s="124"/>
      <c r="I67" s="125"/>
      <c r="J67" s="126">
        <v>0</v>
      </c>
      <c r="K67" s="127"/>
      <c r="L67" s="128"/>
      <c r="N67" s="115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7"/>
      <c r="AB67" t="s">
        <v>248</v>
      </c>
      <c r="AC67" t="s">
        <v>254</v>
      </c>
    </row>
    <row r="68" spans="1:29" ht="14.15" customHeight="1" x14ac:dyDescent="0.2">
      <c r="A68" s="118" t="s">
        <v>140</v>
      </c>
      <c r="B68" s="119"/>
      <c r="C68" s="120"/>
      <c r="D68" s="124" t="s">
        <v>138</v>
      </c>
      <c r="E68" s="124"/>
      <c r="F68" s="124"/>
      <c r="G68" s="124"/>
      <c r="H68" s="124"/>
      <c r="I68" s="125"/>
      <c r="J68" s="126">
        <v>0</v>
      </c>
      <c r="K68" s="127"/>
      <c r="L68" s="128"/>
      <c r="N68" s="115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7"/>
    </row>
    <row r="69" spans="1:29" ht="13.5" customHeight="1" x14ac:dyDescent="0.2">
      <c r="A69" s="121"/>
      <c r="B69" s="122"/>
      <c r="C69" s="123"/>
      <c r="D69" s="124" t="s">
        <v>139</v>
      </c>
      <c r="E69" s="124"/>
      <c r="F69" s="124"/>
      <c r="G69" s="124"/>
      <c r="H69" s="124"/>
      <c r="I69" s="125"/>
      <c r="J69" s="129"/>
      <c r="K69" s="130"/>
      <c r="L69" s="131"/>
      <c r="N69" s="115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7"/>
      <c r="AB69" t="s">
        <v>240</v>
      </c>
      <c r="AC69" t="s">
        <v>233</v>
      </c>
    </row>
    <row r="70" spans="1:29" ht="14.15" customHeight="1" thickBot="1" x14ac:dyDescent="0.25">
      <c r="A70" s="109" t="s">
        <v>31</v>
      </c>
      <c r="B70" s="110"/>
      <c r="C70" s="110"/>
      <c r="D70" s="110"/>
      <c r="E70" s="110"/>
      <c r="F70" s="110"/>
      <c r="G70" s="110"/>
      <c r="H70" s="110"/>
      <c r="I70" s="111"/>
      <c r="J70" s="112" t="e">
        <f ca="1">SUM(J65:L69)</f>
        <v>#DIV/0!</v>
      </c>
      <c r="K70" s="113"/>
      <c r="L70" s="114"/>
      <c r="N70" s="115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7"/>
      <c r="AB70" t="s">
        <v>242</v>
      </c>
      <c r="AC70" t="s">
        <v>241</v>
      </c>
    </row>
    <row r="71" spans="1:29" ht="13.5" thickTop="1" x14ac:dyDescent="0.2">
      <c r="T71">
        <v>0</v>
      </c>
      <c r="AB71" t="s">
        <v>230</v>
      </c>
      <c r="AC71" t="s">
        <v>231</v>
      </c>
    </row>
    <row r="73" spans="1:29" x14ac:dyDescent="0.2">
      <c r="AB73" t="s">
        <v>228</v>
      </c>
    </row>
    <row r="74" spans="1:29" x14ac:dyDescent="0.2">
      <c r="AB74" t="s">
        <v>232</v>
      </c>
      <c r="AC74" t="s">
        <v>234</v>
      </c>
    </row>
    <row r="75" spans="1:29" x14ac:dyDescent="0.2">
      <c r="AB75" t="s">
        <v>239</v>
      </c>
      <c r="AC75" t="s">
        <v>238</v>
      </c>
    </row>
    <row r="76" spans="1:29" x14ac:dyDescent="0.2">
      <c r="AB76" t="s">
        <v>245</v>
      </c>
      <c r="AC76" t="s">
        <v>250</v>
      </c>
    </row>
    <row r="79" spans="1:29" x14ac:dyDescent="0.2">
      <c r="AB79" t="s">
        <v>246</v>
      </c>
      <c r="AC79" t="s">
        <v>251</v>
      </c>
    </row>
    <row r="80" spans="1:29" x14ac:dyDescent="0.2">
      <c r="AB80" t="s">
        <v>248</v>
      </c>
      <c r="AC80" t="s">
        <v>252</v>
      </c>
    </row>
    <row r="82" spans="28:29" x14ac:dyDescent="0.2">
      <c r="AB82" t="s">
        <v>240</v>
      </c>
      <c r="AC82" t="s">
        <v>243</v>
      </c>
    </row>
    <row r="83" spans="28:29" x14ac:dyDescent="0.2">
      <c r="AB83" t="s">
        <v>242</v>
      </c>
      <c r="AC83" t="s">
        <v>244</v>
      </c>
    </row>
  </sheetData>
  <dataConsolidate/>
  <mergeCells count="534">
    <mergeCell ref="T9:Z9"/>
    <mergeCell ref="A10:B11"/>
    <mergeCell ref="C10:J11"/>
    <mergeCell ref="T10:Z10"/>
    <mergeCell ref="Y2:Z2"/>
    <mergeCell ref="A3:Z4"/>
    <mergeCell ref="A5:D5"/>
    <mergeCell ref="E5:I6"/>
    <mergeCell ref="A6:D6"/>
    <mergeCell ref="P7:Z7"/>
    <mergeCell ref="N7:O7"/>
    <mergeCell ref="A12:B13"/>
    <mergeCell ref="C12:J13"/>
    <mergeCell ref="A15:B16"/>
    <mergeCell ref="C15:C16"/>
    <mergeCell ref="D15:G15"/>
    <mergeCell ref="H15:I16"/>
    <mergeCell ref="J15:K16"/>
    <mergeCell ref="A8:B9"/>
    <mergeCell ref="C8:J9"/>
    <mergeCell ref="A17:B17"/>
    <mergeCell ref="D17:E17"/>
    <mergeCell ref="F17:G17"/>
    <mergeCell ref="H17:I17"/>
    <mergeCell ref="J17:K17"/>
    <mergeCell ref="L17:M17"/>
    <mergeCell ref="L15:M16"/>
    <mergeCell ref="N15:O16"/>
    <mergeCell ref="P15:Q16"/>
    <mergeCell ref="N17:O17"/>
    <mergeCell ref="P17:Q17"/>
    <mergeCell ref="R17:S17"/>
    <mergeCell ref="T17:U17"/>
    <mergeCell ref="V17:W17"/>
    <mergeCell ref="X17:Z17"/>
    <mergeCell ref="X15:Z16"/>
    <mergeCell ref="AA15:AA16"/>
    <mergeCell ref="D16:E16"/>
    <mergeCell ref="F16:G16"/>
    <mergeCell ref="R15:S16"/>
    <mergeCell ref="T15:U16"/>
    <mergeCell ref="V15:W16"/>
    <mergeCell ref="N18:O18"/>
    <mergeCell ref="P18:Q18"/>
    <mergeCell ref="R18:S18"/>
    <mergeCell ref="T18:U18"/>
    <mergeCell ref="V18:W18"/>
    <mergeCell ref="X18:Z18"/>
    <mergeCell ref="A18:B18"/>
    <mergeCell ref="D18:E18"/>
    <mergeCell ref="F18:G18"/>
    <mergeCell ref="H18:I18"/>
    <mergeCell ref="J18:K18"/>
    <mergeCell ref="L18:M18"/>
    <mergeCell ref="N19:O19"/>
    <mergeCell ref="P19:Q19"/>
    <mergeCell ref="R19:S19"/>
    <mergeCell ref="T19:U19"/>
    <mergeCell ref="V19:W19"/>
    <mergeCell ref="X19:Z19"/>
    <mergeCell ref="A19:B19"/>
    <mergeCell ref="D19:E19"/>
    <mergeCell ref="F19:G19"/>
    <mergeCell ref="H19:I19"/>
    <mergeCell ref="J19:K19"/>
    <mergeCell ref="L19:M19"/>
    <mergeCell ref="N20:O20"/>
    <mergeCell ref="P20:Q20"/>
    <mergeCell ref="R20:S20"/>
    <mergeCell ref="T20:U20"/>
    <mergeCell ref="V20:W20"/>
    <mergeCell ref="X20:Z20"/>
    <mergeCell ref="A20:B20"/>
    <mergeCell ref="D20:E20"/>
    <mergeCell ref="F20:G20"/>
    <mergeCell ref="H20:I20"/>
    <mergeCell ref="J20:K20"/>
    <mergeCell ref="L20:M20"/>
    <mergeCell ref="N21:O21"/>
    <mergeCell ref="P21:Q21"/>
    <mergeCell ref="R21:S21"/>
    <mergeCell ref="T21:U21"/>
    <mergeCell ref="V21:W21"/>
    <mergeCell ref="X21:Z21"/>
    <mergeCell ref="A21:B21"/>
    <mergeCell ref="D21:E21"/>
    <mergeCell ref="F21:G21"/>
    <mergeCell ref="H21:I21"/>
    <mergeCell ref="J21:K21"/>
    <mergeCell ref="L21:M21"/>
    <mergeCell ref="N22:O22"/>
    <mergeCell ref="P22:Q22"/>
    <mergeCell ref="R22:S22"/>
    <mergeCell ref="T22:U22"/>
    <mergeCell ref="V22:W22"/>
    <mergeCell ref="X22:Z22"/>
    <mergeCell ref="A22:B22"/>
    <mergeCell ref="D22:E22"/>
    <mergeCell ref="F22:G22"/>
    <mergeCell ref="H22:I22"/>
    <mergeCell ref="J22:K22"/>
    <mergeCell ref="L22:M22"/>
    <mergeCell ref="N23:O23"/>
    <mergeCell ref="P23:Q23"/>
    <mergeCell ref="R23:S23"/>
    <mergeCell ref="T23:U23"/>
    <mergeCell ref="V23:W23"/>
    <mergeCell ref="X23:Z23"/>
    <mergeCell ref="A23:B23"/>
    <mergeCell ref="D23:E23"/>
    <mergeCell ref="F23:G23"/>
    <mergeCell ref="H23:I23"/>
    <mergeCell ref="J23:K23"/>
    <mergeCell ref="L23:M23"/>
    <mergeCell ref="N24:O24"/>
    <mergeCell ref="P24:Q24"/>
    <mergeCell ref="R24:S24"/>
    <mergeCell ref="T24:U24"/>
    <mergeCell ref="V24:W24"/>
    <mergeCell ref="X24:Z24"/>
    <mergeCell ref="A24:B24"/>
    <mergeCell ref="D24:E24"/>
    <mergeCell ref="F24:G24"/>
    <mergeCell ref="H24:I24"/>
    <mergeCell ref="J24:K24"/>
    <mergeCell ref="L24:M24"/>
    <mergeCell ref="N25:O25"/>
    <mergeCell ref="P25:Q25"/>
    <mergeCell ref="R25:S25"/>
    <mergeCell ref="T25:U25"/>
    <mergeCell ref="V25:W25"/>
    <mergeCell ref="X25:Z25"/>
    <mergeCell ref="A25:B25"/>
    <mergeCell ref="D25:E25"/>
    <mergeCell ref="F25:G25"/>
    <mergeCell ref="H25:I25"/>
    <mergeCell ref="J25:K25"/>
    <mergeCell ref="L25:M25"/>
    <mergeCell ref="N26:O26"/>
    <mergeCell ref="P26:Q26"/>
    <mergeCell ref="R26:S26"/>
    <mergeCell ref="T26:U26"/>
    <mergeCell ref="V26:W26"/>
    <mergeCell ref="X26:Z26"/>
    <mergeCell ref="A26:B26"/>
    <mergeCell ref="D26:E26"/>
    <mergeCell ref="F26:G26"/>
    <mergeCell ref="H26:I26"/>
    <mergeCell ref="J26:K26"/>
    <mergeCell ref="L26:M26"/>
    <mergeCell ref="N27:O27"/>
    <mergeCell ref="P27:Q27"/>
    <mergeCell ref="R27:S27"/>
    <mergeCell ref="T27:U27"/>
    <mergeCell ref="V27:W27"/>
    <mergeCell ref="X27:Z27"/>
    <mergeCell ref="A27:B27"/>
    <mergeCell ref="D27:E27"/>
    <mergeCell ref="F27:G27"/>
    <mergeCell ref="H27:I27"/>
    <mergeCell ref="J27:K27"/>
    <mergeCell ref="L27:M27"/>
    <mergeCell ref="N28:O28"/>
    <mergeCell ref="P28:Q28"/>
    <mergeCell ref="R28:S28"/>
    <mergeCell ref="T28:U28"/>
    <mergeCell ref="V28:W28"/>
    <mergeCell ref="X28:Z28"/>
    <mergeCell ref="A28:B28"/>
    <mergeCell ref="D28:E28"/>
    <mergeCell ref="F28:G28"/>
    <mergeCell ref="H28:I28"/>
    <mergeCell ref="J28:K28"/>
    <mergeCell ref="L28:M28"/>
    <mergeCell ref="N29:O29"/>
    <mergeCell ref="P29:Q29"/>
    <mergeCell ref="R29:S29"/>
    <mergeCell ref="T29:U29"/>
    <mergeCell ref="V29:W29"/>
    <mergeCell ref="X29:Z29"/>
    <mergeCell ref="A29:B29"/>
    <mergeCell ref="D29:E29"/>
    <mergeCell ref="F29:G29"/>
    <mergeCell ref="H29:I29"/>
    <mergeCell ref="J29:K29"/>
    <mergeCell ref="L29:M29"/>
    <mergeCell ref="N30:O30"/>
    <mergeCell ref="P30:Q30"/>
    <mergeCell ref="R30:S30"/>
    <mergeCell ref="T30:U30"/>
    <mergeCell ref="V30:W30"/>
    <mergeCell ref="X30:Z30"/>
    <mergeCell ref="A30:B30"/>
    <mergeCell ref="D30:E30"/>
    <mergeCell ref="F30:G30"/>
    <mergeCell ref="H30:I30"/>
    <mergeCell ref="J30:K30"/>
    <mergeCell ref="L30:M30"/>
    <mergeCell ref="N31:O31"/>
    <mergeCell ref="P31:Q31"/>
    <mergeCell ref="R31:S31"/>
    <mergeCell ref="T31:U31"/>
    <mergeCell ref="V31:W31"/>
    <mergeCell ref="X31:Z31"/>
    <mergeCell ref="A31:B31"/>
    <mergeCell ref="D31:E31"/>
    <mergeCell ref="F31:G31"/>
    <mergeCell ref="H31:I31"/>
    <mergeCell ref="J31:K31"/>
    <mergeCell ref="L31:M31"/>
    <mergeCell ref="N32:O32"/>
    <mergeCell ref="P32:Q32"/>
    <mergeCell ref="R32:S32"/>
    <mergeCell ref="T32:U32"/>
    <mergeCell ref="V32:W32"/>
    <mergeCell ref="X32:Z32"/>
    <mergeCell ref="A32:B32"/>
    <mergeCell ref="D32:E32"/>
    <mergeCell ref="F32:G32"/>
    <mergeCell ref="H32:I32"/>
    <mergeCell ref="J32:K32"/>
    <mergeCell ref="L32:M32"/>
    <mergeCell ref="N33:O33"/>
    <mergeCell ref="P33:Q33"/>
    <mergeCell ref="R33:S33"/>
    <mergeCell ref="T33:U33"/>
    <mergeCell ref="V33:W33"/>
    <mergeCell ref="X33:Z33"/>
    <mergeCell ref="A33:B33"/>
    <mergeCell ref="D33:E33"/>
    <mergeCell ref="F33:G33"/>
    <mergeCell ref="H33:I33"/>
    <mergeCell ref="J33:K33"/>
    <mergeCell ref="L33:M33"/>
    <mergeCell ref="N34:O34"/>
    <mergeCell ref="P34:Q34"/>
    <mergeCell ref="R34:S34"/>
    <mergeCell ref="T34:U34"/>
    <mergeCell ref="V34:W34"/>
    <mergeCell ref="X34:Z34"/>
    <mergeCell ref="A34:B34"/>
    <mergeCell ref="D34:E34"/>
    <mergeCell ref="F34:G34"/>
    <mergeCell ref="H34:I34"/>
    <mergeCell ref="J34:K34"/>
    <mergeCell ref="L34:M34"/>
    <mergeCell ref="N35:O35"/>
    <mergeCell ref="P35:Q35"/>
    <mergeCell ref="R35:S35"/>
    <mergeCell ref="T35:U35"/>
    <mergeCell ref="V35:W35"/>
    <mergeCell ref="X35:Z35"/>
    <mergeCell ref="A35:B35"/>
    <mergeCell ref="D35:E35"/>
    <mergeCell ref="F35:G35"/>
    <mergeCell ref="H35:I35"/>
    <mergeCell ref="J35:K35"/>
    <mergeCell ref="L35:M35"/>
    <mergeCell ref="N36:O36"/>
    <mergeCell ref="P36:Q36"/>
    <mergeCell ref="R36:S36"/>
    <mergeCell ref="T36:U36"/>
    <mergeCell ref="V36:W36"/>
    <mergeCell ref="X36:Z36"/>
    <mergeCell ref="A36:B36"/>
    <mergeCell ref="D36:E36"/>
    <mergeCell ref="F36:G36"/>
    <mergeCell ref="H36:I36"/>
    <mergeCell ref="J36:K36"/>
    <mergeCell ref="L36:M36"/>
    <mergeCell ref="N37:O37"/>
    <mergeCell ref="P37:Q37"/>
    <mergeCell ref="R37:S37"/>
    <mergeCell ref="T37:U37"/>
    <mergeCell ref="V37:W37"/>
    <mergeCell ref="X37:Z37"/>
    <mergeCell ref="A37:B37"/>
    <mergeCell ref="D37:E37"/>
    <mergeCell ref="F37:G37"/>
    <mergeCell ref="H37:I37"/>
    <mergeCell ref="J37:K37"/>
    <mergeCell ref="L37:M37"/>
    <mergeCell ref="N38:O38"/>
    <mergeCell ref="P38:Q38"/>
    <mergeCell ref="R38:S38"/>
    <mergeCell ref="T38:U38"/>
    <mergeCell ref="V38:W38"/>
    <mergeCell ref="X38:Z38"/>
    <mergeCell ref="A38:B38"/>
    <mergeCell ref="D38:E38"/>
    <mergeCell ref="F38:G38"/>
    <mergeCell ref="H38:I38"/>
    <mergeCell ref="J38:K38"/>
    <mergeCell ref="L38:M38"/>
    <mergeCell ref="N39:O39"/>
    <mergeCell ref="P39:Q39"/>
    <mergeCell ref="R39:S39"/>
    <mergeCell ref="T39:U39"/>
    <mergeCell ref="V39:W39"/>
    <mergeCell ref="X39:Z39"/>
    <mergeCell ref="A39:B39"/>
    <mergeCell ref="D39:E39"/>
    <mergeCell ref="F39:G39"/>
    <mergeCell ref="H39:I39"/>
    <mergeCell ref="J39:K39"/>
    <mergeCell ref="L39:M39"/>
    <mergeCell ref="N40:O40"/>
    <mergeCell ref="P40:Q40"/>
    <mergeCell ref="R40:S40"/>
    <mergeCell ref="T40:U40"/>
    <mergeCell ref="V40:W40"/>
    <mergeCell ref="X40:Z40"/>
    <mergeCell ref="A40:B40"/>
    <mergeCell ref="D40:E40"/>
    <mergeCell ref="F40:G40"/>
    <mergeCell ref="H40:I40"/>
    <mergeCell ref="J40:K40"/>
    <mergeCell ref="L40:M40"/>
    <mergeCell ref="N41:O41"/>
    <mergeCell ref="P41:Q41"/>
    <mergeCell ref="R41:S41"/>
    <mergeCell ref="T41:U41"/>
    <mergeCell ref="V41:W41"/>
    <mergeCell ref="X41:Z41"/>
    <mergeCell ref="A41:B41"/>
    <mergeCell ref="D41:E41"/>
    <mergeCell ref="F41:G41"/>
    <mergeCell ref="H41:I41"/>
    <mergeCell ref="J41:K41"/>
    <mergeCell ref="L41:M41"/>
    <mergeCell ref="N42:O42"/>
    <mergeCell ref="P42:Q42"/>
    <mergeCell ref="R42:S42"/>
    <mergeCell ref="T42:U42"/>
    <mergeCell ref="V42:W42"/>
    <mergeCell ref="X42:Z42"/>
    <mergeCell ref="A42:B42"/>
    <mergeCell ref="D42:E42"/>
    <mergeCell ref="F42:G42"/>
    <mergeCell ref="H42:I42"/>
    <mergeCell ref="J42:K42"/>
    <mergeCell ref="L42:M42"/>
    <mergeCell ref="N43:O43"/>
    <mergeCell ref="P43:Q43"/>
    <mergeCell ref="R43:S43"/>
    <mergeCell ref="T43:U43"/>
    <mergeCell ref="V43:W43"/>
    <mergeCell ref="X43:Z43"/>
    <mergeCell ref="A43:B43"/>
    <mergeCell ref="D43:E43"/>
    <mergeCell ref="F43:G43"/>
    <mergeCell ref="H43:I43"/>
    <mergeCell ref="J43:K43"/>
    <mergeCell ref="L43:M43"/>
    <mergeCell ref="N44:O44"/>
    <mergeCell ref="P44:Q44"/>
    <mergeCell ref="R44:S44"/>
    <mergeCell ref="T44:U44"/>
    <mergeCell ref="V44:W44"/>
    <mergeCell ref="X44:Z44"/>
    <mergeCell ref="A44:B44"/>
    <mergeCell ref="D44:E44"/>
    <mergeCell ref="F44:G44"/>
    <mergeCell ref="H44:I44"/>
    <mergeCell ref="J44:K44"/>
    <mergeCell ref="L44:M44"/>
    <mergeCell ref="N45:O45"/>
    <mergeCell ref="P45:Q45"/>
    <mergeCell ref="R45:S45"/>
    <mergeCell ref="T45:U45"/>
    <mergeCell ref="V45:W45"/>
    <mergeCell ref="X45:Z45"/>
    <mergeCell ref="A45:B45"/>
    <mergeCell ref="D45:E45"/>
    <mergeCell ref="F45:G45"/>
    <mergeCell ref="H45:I45"/>
    <mergeCell ref="J45:K45"/>
    <mergeCell ref="L45:M45"/>
    <mergeCell ref="N46:O46"/>
    <mergeCell ref="P46:Q46"/>
    <mergeCell ref="R46:S46"/>
    <mergeCell ref="T46:U46"/>
    <mergeCell ref="V46:W46"/>
    <mergeCell ref="X46:Z46"/>
    <mergeCell ref="A46:B46"/>
    <mergeCell ref="D46:E46"/>
    <mergeCell ref="F46:G46"/>
    <mergeCell ref="H46:I46"/>
    <mergeCell ref="J46:K46"/>
    <mergeCell ref="L46:M46"/>
    <mergeCell ref="N47:O47"/>
    <mergeCell ref="P47:Q47"/>
    <mergeCell ref="R47:S47"/>
    <mergeCell ref="T47:U47"/>
    <mergeCell ref="V47:W47"/>
    <mergeCell ref="X47:Z47"/>
    <mergeCell ref="A47:B47"/>
    <mergeCell ref="D47:E47"/>
    <mergeCell ref="F47:G47"/>
    <mergeCell ref="H47:I47"/>
    <mergeCell ref="J47:K47"/>
    <mergeCell ref="L47:M47"/>
    <mergeCell ref="N48:O48"/>
    <mergeCell ref="P48:Q48"/>
    <mergeCell ref="R48:S48"/>
    <mergeCell ref="T48:U48"/>
    <mergeCell ref="V48:W48"/>
    <mergeCell ref="X48:Z48"/>
    <mergeCell ref="A48:B48"/>
    <mergeCell ref="D48:E48"/>
    <mergeCell ref="F48:G48"/>
    <mergeCell ref="H48:I48"/>
    <mergeCell ref="J48:K48"/>
    <mergeCell ref="L48:M48"/>
    <mergeCell ref="Y52:Z52"/>
    <mergeCell ref="A52:E52"/>
    <mergeCell ref="F52:H52"/>
    <mergeCell ref="I52:J52"/>
    <mergeCell ref="V49:W49"/>
    <mergeCell ref="X49:Z49"/>
    <mergeCell ref="A50:K50"/>
    <mergeCell ref="L50:M50"/>
    <mergeCell ref="N50:O50"/>
    <mergeCell ref="P50:Q50"/>
    <mergeCell ref="R50:S50"/>
    <mergeCell ref="T50:U50"/>
    <mergeCell ref="V50:W50"/>
    <mergeCell ref="X50:Z50"/>
    <mergeCell ref="A49:K49"/>
    <mergeCell ref="L49:M49"/>
    <mergeCell ref="N49:O49"/>
    <mergeCell ref="P49:Q49"/>
    <mergeCell ref="R49:S49"/>
    <mergeCell ref="T49:U49"/>
    <mergeCell ref="K52:L52"/>
    <mergeCell ref="M52:N52"/>
    <mergeCell ref="O52:P52"/>
    <mergeCell ref="Q52:R52"/>
    <mergeCell ref="AE50:AF50"/>
    <mergeCell ref="A51:B51"/>
    <mergeCell ref="C51:D51"/>
    <mergeCell ref="E51:F51"/>
    <mergeCell ref="G51:H51"/>
    <mergeCell ref="I51:J51"/>
    <mergeCell ref="K51:L51"/>
    <mergeCell ref="M51:N51"/>
    <mergeCell ref="O51:P51"/>
    <mergeCell ref="Q51:R51"/>
    <mergeCell ref="S51:T51"/>
    <mergeCell ref="U51:V51"/>
    <mergeCell ref="W51:X51"/>
    <mergeCell ref="Y51:Z51"/>
    <mergeCell ref="Q56:T56"/>
    <mergeCell ref="Y53:Z53"/>
    <mergeCell ref="Y54:Z54"/>
    <mergeCell ref="A55:C55"/>
    <mergeCell ref="D55:E55"/>
    <mergeCell ref="G55:H55"/>
    <mergeCell ref="J55:L55"/>
    <mergeCell ref="N55:P55"/>
    <mergeCell ref="Q55:T55"/>
    <mergeCell ref="A54:C54"/>
    <mergeCell ref="D54:E54"/>
    <mergeCell ref="G54:H54"/>
    <mergeCell ref="J54:L54"/>
    <mergeCell ref="N54:P54"/>
    <mergeCell ref="Q54:T54"/>
    <mergeCell ref="A53:C53"/>
    <mergeCell ref="D53:E53"/>
    <mergeCell ref="G53:H53"/>
    <mergeCell ref="J53:L53"/>
    <mergeCell ref="S52:T52"/>
    <mergeCell ref="U52:V52"/>
    <mergeCell ref="W52:X52"/>
    <mergeCell ref="A58:C58"/>
    <mergeCell ref="D58:E58"/>
    <mergeCell ref="G58:H58"/>
    <mergeCell ref="J58:L58"/>
    <mergeCell ref="N58:Z58"/>
    <mergeCell ref="A59:C59"/>
    <mergeCell ref="D59:E59"/>
    <mergeCell ref="G59:H59"/>
    <mergeCell ref="J59:L59"/>
    <mergeCell ref="N59:Z59"/>
    <mergeCell ref="A57:C57"/>
    <mergeCell ref="D57:E57"/>
    <mergeCell ref="G57:H57"/>
    <mergeCell ref="J57:L57"/>
    <mergeCell ref="N57:O57"/>
    <mergeCell ref="P57:W57"/>
    <mergeCell ref="A56:C56"/>
    <mergeCell ref="D56:E56"/>
    <mergeCell ref="G56:H56"/>
    <mergeCell ref="J56:L56"/>
    <mergeCell ref="N56:P56"/>
    <mergeCell ref="D62:I62"/>
    <mergeCell ref="J62:L62"/>
    <mergeCell ref="N62:Z62"/>
    <mergeCell ref="D63:I63"/>
    <mergeCell ref="J63:L63"/>
    <mergeCell ref="N63:Z63"/>
    <mergeCell ref="A60:C60"/>
    <mergeCell ref="D60:I60"/>
    <mergeCell ref="J60:L60"/>
    <mergeCell ref="N60:Z60"/>
    <mergeCell ref="A61:A64"/>
    <mergeCell ref="B61:C61"/>
    <mergeCell ref="D61:I61"/>
    <mergeCell ref="J61:L61"/>
    <mergeCell ref="N61:Z61"/>
    <mergeCell ref="B62:C64"/>
    <mergeCell ref="A66:I66"/>
    <mergeCell ref="J66:L66"/>
    <mergeCell ref="N66:Z66"/>
    <mergeCell ref="A67:C67"/>
    <mergeCell ref="D67:I67"/>
    <mergeCell ref="J67:L67"/>
    <mergeCell ref="N67:Z67"/>
    <mergeCell ref="D64:I64"/>
    <mergeCell ref="J64:L64"/>
    <mergeCell ref="N64:Z64"/>
    <mergeCell ref="A65:I65"/>
    <mergeCell ref="J65:L65"/>
    <mergeCell ref="N65:Z65"/>
    <mergeCell ref="A70:I70"/>
    <mergeCell ref="J70:L70"/>
    <mergeCell ref="N70:Z70"/>
    <mergeCell ref="A68:C69"/>
    <mergeCell ref="D68:I68"/>
    <mergeCell ref="J68:L68"/>
    <mergeCell ref="N68:Z68"/>
    <mergeCell ref="D69:I69"/>
    <mergeCell ref="J69:L69"/>
    <mergeCell ref="N69:Z69"/>
  </mergeCells>
  <phoneticPr fontId="3"/>
  <conditionalFormatting sqref="A17:AA47">
    <cfRule type="expression" dxfId="1883" priority="312" stopIfTrue="1">
      <formula>$X17="所休"</formula>
    </cfRule>
    <cfRule type="expression" dxfId="1882" priority="311">
      <formula>$X17="法休"</formula>
    </cfRule>
  </conditionalFormatting>
  <conditionalFormatting sqref="J17:K17">
    <cfRule type="cellIs" dxfId="1881" priority="310" stopIfTrue="1" operator="equal">
      <formula>0</formula>
    </cfRule>
  </conditionalFormatting>
  <conditionalFormatting sqref="L17:M17">
    <cfRule type="cellIs" dxfId="1880" priority="309" stopIfTrue="1" operator="equal">
      <formula>0</formula>
    </cfRule>
  </conditionalFormatting>
  <conditionalFormatting sqref="N17:O17">
    <cfRule type="cellIs" dxfId="1879" priority="308" stopIfTrue="1" operator="equal">
      <formula>0</formula>
    </cfRule>
  </conditionalFormatting>
  <conditionalFormatting sqref="P17:Q17">
    <cfRule type="cellIs" dxfId="1878" priority="307" stopIfTrue="1" operator="equal">
      <formula>0</formula>
    </cfRule>
  </conditionalFormatting>
  <conditionalFormatting sqref="R17:S17">
    <cfRule type="cellIs" dxfId="1877" priority="306" stopIfTrue="1" operator="equal">
      <formula>0</formula>
    </cfRule>
  </conditionalFormatting>
  <conditionalFormatting sqref="T17:U17">
    <cfRule type="cellIs" dxfId="1876" priority="305" stopIfTrue="1" operator="equal">
      <formula>0</formula>
    </cfRule>
  </conditionalFormatting>
  <conditionalFormatting sqref="V17:W17">
    <cfRule type="cellIs" dxfId="1875" priority="304" stopIfTrue="1" operator="equal">
      <formula>0</formula>
    </cfRule>
  </conditionalFormatting>
  <conditionalFormatting sqref="J18:K18">
    <cfRule type="cellIs" dxfId="1874" priority="303" stopIfTrue="1" operator="equal">
      <formula>0</formula>
    </cfRule>
  </conditionalFormatting>
  <conditionalFormatting sqref="L18:M18">
    <cfRule type="cellIs" dxfId="1873" priority="302" stopIfTrue="1" operator="equal">
      <formula>0</formula>
    </cfRule>
  </conditionalFormatting>
  <conditionalFormatting sqref="N18:O18">
    <cfRule type="cellIs" dxfId="1872" priority="301" stopIfTrue="1" operator="equal">
      <formula>0</formula>
    </cfRule>
  </conditionalFormatting>
  <conditionalFormatting sqref="P18:Q18">
    <cfRule type="cellIs" dxfId="1871" priority="300" stopIfTrue="1" operator="equal">
      <formula>0</formula>
    </cfRule>
  </conditionalFormatting>
  <conditionalFormatting sqref="R18:S18">
    <cfRule type="cellIs" dxfId="1870" priority="299" stopIfTrue="1" operator="equal">
      <formula>0</formula>
    </cfRule>
  </conditionalFormatting>
  <conditionalFormatting sqref="T18:U18">
    <cfRule type="cellIs" dxfId="1869" priority="298" stopIfTrue="1" operator="equal">
      <formula>0</formula>
    </cfRule>
  </conditionalFormatting>
  <conditionalFormatting sqref="V18:W18">
    <cfRule type="cellIs" dxfId="1868" priority="297" stopIfTrue="1" operator="equal">
      <formula>0</formula>
    </cfRule>
  </conditionalFormatting>
  <conditionalFormatting sqref="J19:K19">
    <cfRule type="cellIs" dxfId="1867" priority="296" stopIfTrue="1" operator="equal">
      <formula>0</formula>
    </cfRule>
  </conditionalFormatting>
  <conditionalFormatting sqref="L19:M19">
    <cfRule type="cellIs" dxfId="1866" priority="295" stopIfTrue="1" operator="equal">
      <formula>0</formula>
    </cfRule>
  </conditionalFormatting>
  <conditionalFormatting sqref="N19:O19">
    <cfRule type="cellIs" dxfId="1865" priority="294" stopIfTrue="1" operator="equal">
      <formula>0</formula>
    </cfRule>
  </conditionalFormatting>
  <conditionalFormatting sqref="P19:Q19">
    <cfRule type="cellIs" dxfId="1864" priority="293" stopIfTrue="1" operator="equal">
      <formula>0</formula>
    </cfRule>
  </conditionalFormatting>
  <conditionalFormatting sqref="R19:S19">
    <cfRule type="cellIs" dxfId="1863" priority="292" stopIfTrue="1" operator="equal">
      <formula>0</formula>
    </cfRule>
  </conditionalFormatting>
  <conditionalFormatting sqref="T19:U19">
    <cfRule type="cellIs" dxfId="1862" priority="291" stopIfTrue="1" operator="equal">
      <formula>0</formula>
    </cfRule>
  </conditionalFormatting>
  <conditionalFormatting sqref="V19:W19">
    <cfRule type="cellIs" dxfId="1861" priority="290" stopIfTrue="1" operator="equal">
      <formula>0</formula>
    </cfRule>
  </conditionalFormatting>
  <conditionalFormatting sqref="J20:K20">
    <cfRule type="cellIs" dxfId="1860" priority="289" stopIfTrue="1" operator="equal">
      <formula>0</formula>
    </cfRule>
  </conditionalFormatting>
  <conditionalFormatting sqref="L20:M20">
    <cfRule type="cellIs" dxfId="1859" priority="288" stopIfTrue="1" operator="equal">
      <formula>0</formula>
    </cfRule>
  </conditionalFormatting>
  <conditionalFormatting sqref="N20:O20">
    <cfRule type="cellIs" dxfId="1858" priority="287" stopIfTrue="1" operator="equal">
      <formula>0</formula>
    </cfRule>
  </conditionalFormatting>
  <conditionalFormatting sqref="P20:Q20">
    <cfRule type="cellIs" dxfId="1857" priority="286" stopIfTrue="1" operator="equal">
      <formula>0</formula>
    </cfRule>
  </conditionalFormatting>
  <conditionalFormatting sqref="R20:S20">
    <cfRule type="cellIs" dxfId="1856" priority="285" stopIfTrue="1" operator="equal">
      <formula>0</formula>
    </cfRule>
  </conditionalFormatting>
  <conditionalFormatting sqref="T20:U20">
    <cfRule type="cellIs" dxfId="1855" priority="284" stopIfTrue="1" operator="equal">
      <formula>0</formula>
    </cfRule>
  </conditionalFormatting>
  <conditionalFormatting sqref="V20:W20">
    <cfRule type="cellIs" dxfId="1854" priority="283" stopIfTrue="1" operator="equal">
      <formula>0</formula>
    </cfRule>
  </conditionalFormatting>
  <conditionalFormatting sqref="J21:K21">
    <cfRule type="cellIs" dxfId="1853" priority="282" stopIfTrue="1" operator="equal">
      <formula>0</formula>
    </cfRule>
  </conditionalFormatting>
  <conditionalFormatting sqref="L21:M21">
    <cfRule type="cellIs" dxfId="1852" priority="281" stopIfTrue="1" operator="equal">
      <formula>0</formula>
    </cfRule>
  </conditionalFormatting>
  <conditionalFormatting sqref="N21:O21">
    <cfRule type="cellIs" dxfId="1851" priority="280" stopIfTrue="1" operator="equal">
      <formula>0</formula>
    </cfRule>
  </conditionalFormatting>
  <conditionalFormatting sqref="P21:Q21">
    <cfRule type="cellIs" dxfId="1850" priority="279" stopIfTrue="1" operator="equal">
      <formula>0</formula>
    </cfRule>
  </conditionalFormatting>
  <conditionalFormatting sqref="R21:S21">
    <cfRule type="cellIs" dxfId="1849" priority="278" stopIfTrue="1" operator="equal">
      <formula>0</formula>
    </cfRule>
  </conditionalFormatting>
  <conditionalFormatting sqref="T21:U21">
    <cfRule type="cellIs" dxfId="1848" priority="277" stopIfTrue="1" operator="equal">
      <formula>0</formula>
    </cfRule>
  </conditionalFormatting>
  <conditionalFormatting sqref="V21:W21">
    <cfRule type="cellIs" dxfId="1847" priority="276" stopIfTrue="1" operator="equal">
      <formula>0</formula>
    </cfRule>
  </conditionalFormatting>
  <conditionalFormatting sqref="J22:K22">
    <cfRule type="cellIs" dxfId="1846" priority="275" stopIfTrue="1" operator="equal">
      <formula>0</formula>
    </cfRule>
  </conditionalFormatting>
  <conditionalFormatting sqref="L22:M22">
    <cfRule type="cellIs" dxfId="1845" priority="274" stopIfTrue="1" operator="equal">
      <formula>0</formula>
    </cfRule>
  </conditionalFormatting>
  <conditionalFormatting sqref="N22:O22">
    <cfRule type="cellIs" dxfId="1844" priority="273" stopIfTrue="1" operator="equal">
      <formula>0</formula>
    </cfRule>
  </conditionalFormatting>
  <conditionalFormatting sqref="P22:Q22">
    <cfRule type="cellIs" dxfId="1843" priority="272" stopIfTrue="1" operator="equal">
      <formula>0</formula>
    </cfRule>
  </conditionalFormatting>
  <conditionalFormatting sqref="R22:S22">
    <cfRule type="cellIs" dxfId="1842" priority="271" stopIfTrue="1" operator="equal">
      <formula>0</formula>
    </cfRule>
  </conditionalFormatting>
  <conditionalFormatting sqref="T22:U22">
    <cfRule type="cellIs" dxfId="1841" priority="270" stopIfTrue="1" operator="equal">
      <formula>0</formula>
    </cfRule>
  </conditionalFormatting>
  <conditionalFormatting sqref="V22:W22">
    <cfRule type="cellIs" dxfId="1840" priority="269" stopIfTrue="1" operator="equal">
      <formula>0</formula>
    </cfRule>
  </conditionalFormatting>
  <conditionalFormatting sqref="J23:K23">
    <cfRule type="cellIs" dxfId="1839" priority="268" stopIfTrue="1" operator="equal">
      <formula>0</formula>
    </cfRule>
  </conditionalFormatting>
  <conditionalFormatting sqref="L23:M23">
    <cfRule type="cellIs" dxfId="1838" priority="267" stopIfTrue="1" operator="equal">
      <formula>0</formula>
    </cfRule>
  </conditionalFormatting>
  <conditionalFormatting sqref="N23:O23">
    <cfRule type="cellIs" dxfId="1837" priority="266" stopIfTrue="1" operator="equal">
      <formula>0</formula>
    </cfRule>
  </conditionalFormatting>
  <conditionalFormatting sqref="P23:Q23">
    <cfRule type="cellIs" dxfId="1836" priority="265" stopIfTrue="1" operator="equal">
      <formula>0</formula>
    </cfRule>
  </conditionalFormatting>
  <conditionalFormatting sqref="R23:S23">
    <cfRule type="cellIs" dxfId="1835" priority="264" stopIfTrue="1" operator="equal">
      <formula>0</formula>
    </cfRule>
  </conditionalFormatting>
  <conditionalFormatting sqref="T23:U23">
    <cfRule type="cellIs" dxfId="1834" priority="263" stopIfTrue="1" operator="equal">
      <formula>0</formula>
    </cfRule>
  </conditionalFormatting>
  <conditionalFormatting sqref="V23:W23">
    <cfRule type="cellIs" dxfId="1833" priority="262" stopIfTrue="1" operator="equal">
      <formula>0</formula>
    </cfRule>
  </conditionalFormatting>
  <conditionalFormatting sqref="J24:K24">
    <cfRule type="cellIs" dxfId="1832" priority="261" stopIfTrue="1" operator="equal">
      <formula>0</formula>
    </cfRule>
  </conditionalFormatting>
  <conditionalFormatting sqref="L24:M24">
    <cfRule type="cellIs" dxfId="1831" priority="260" stopIfTrue="1" operator="equal">
      <formula>0</formula>
    </cfRule>
  </conditionalFormatting>
  <conditionalFormatting sqref="N24:O24">
    <cfRule type="cellIs" dxfId="1830" priority="259" stopIfTrue="1" operator="equal">
      <formula>0</formula>
    </cfRule>
  </conditionalFormatting>
  <conditionalFormatting sqref="P24:Q24">
    <cfRule type="cellIs" dxfId="1829" priority="258" stopIfTrue="1" operator="equal">
      <formula>0</formula>
    </cfRule>
  </conditionalFormatting>
  <conditionalFormatting sqref="R24:S24">
    <cfRule type="cellIs" dxfId="1828" priority="257" stopIfTrue="1" operator="equal">
      <formula>0</formula>
    </cfRule>
  </conditionalFormatting>
  <conditionalFormatting sqref="T24:U24">
    <cfRule type="cellIs" dxfId="1827" priority="256" stopIfTrue="1" operator="equal">
      <formula>0</formula>
    </cfRule>
  </conditionalFormatting>
  <conditionalFormatting sqref="V24:W24">
    <cfRule type="cellIs" dxfId="1826" priority="255" stopIfTrue="1" operator="equal">
      <formula>0</formula>
    </cfRule>
  </conditionalFormatting>
  <conditionalFormatting sqref="J25:K25">
    <cfRule type="cellIs" dxfId="1825" priority="254" stopIfTrue="1" operator="equal">
      <formula>0</formula>
    </cfRule>
  </conditionalFormatting>
  <conditionalFormatting sqref="L25:M25">
    <cfRule type="cellIs" dxfId="1824" priority="253" stopIfTrue="1" operator="equal">
      <formula>0</formula>
    </cfRule>
  </conditionalFormatting>
  <conditionalFormatting sqref="N25:O25">
    <cfRule type="cellIs" dxfId="1823" priority="252" stopIfTrue="1" operator="equal">
      <formula>0</formula>
    </cfRule>
  </conditionalFormatting>
  <conditionalFormatting sqref="P25:Q25">
    <cfRule type="cellIs" dxfId="1822" priority="251" stopIfTrue="1" operator="equal">
      <formula>0</formula>
    </cfRule>
  </conditionalFormatting>
  <conditionalFormatting sqref="R25:S25">
    <cfRule type="cellIs" dxfId="1821" priority="250" stopIfTrue="1" operator="equal">
      <formula>0</formula>
    </cfRule>
  </conditionalFormatting>
  <conditionalFormatting sqref="T25:U25">
    <cfRule type="cellIs" dxfId="1820" priority="249" stopIfTrue="1" operator="equal">
      <formula>0</formula>
    </cfRule>
  </conditionalFormatting>
  <conditionalFormatting sqref="V25:W25">
    <cfRule type="cellIs" dxfId="1819" priority="248" stopIfTrue="1" operator="equal">
      <formula>0</formula>
    </cfRule>
  </conditionalFormatting>
  <conditionalFormatting sqref="J26:K26">
    <cfRule type="cellIs" dxfId="1818" priority="247" stopIfTrue="1" operator="equal">
      <formula>0</formula>
    </cfRule>
  </conditionalFormatting>
  <conditionalFormatting sqref="L26:M26">
    <cfRule type="cellIs" dxfId="1817" priority="246" stopIfTrue="1" operator="equal">
      <formula>0</formula>
    </cfRule>
  </conditionalFormatting>
  <conditionalFormatting sqref="N26:O26">
    <cfRule type="cellIs" dxfId="1816" priority="245" stopIfTrue="1" operator="equal">
      <formula>0</formula>
    </cfRule>
  </conditionalFormatting>
  <conditionalFormatting sqref="P26:Q26">
    <cfRule type="cellIs" dxfId="1815" priority="244" stopIfTrue="1" operator="equal">
      <formula>0</formula>
    </cfRule>
  </conditionalFormatting>
  <conditionalFormatting sqref="R26:S26">
    <cfRule type="cellIs" dxfId="1814" priority="243" stopIfTrue="1" operator="equal">
      <formula>0</formula>
    </cfRule>
  </conditionalFormatting>
  <conditionalFormatting sqref="T26:U26">
    <cfRule type="cellIs" dxfId="1813" priority="242" stopIfTrue="1" operator="equal">
      <formula>0</formula>
    </cfRule>
  </conditionalFormatting>
  <conditionalFormatting sqref="V26:W26">
    <cfRule type="cellIs" dxfId="1812" priority="241" stopIfTrue="1" operator="equal">
      <formula>0</formula>
    </cfRule>
  </conditionalFormatting>
  <conditionalFormatting sqref="J27:K27">
    <cfRule type="cellIs" dxfId="1811" priority="240" stopIfTrue="1" operator="equal">
      <formula>0</formula>
    </cfRule>
  </conditionalFormatting>
  <conditionalFormatting sqref="L27:M27">
    <cfRule type="cellIs" dxfId="1810" priority="239" stopIfTrue="1" operator="equal">
      <formula>0</formula>
    </cfRule>
  </conditionalFormatting>
  <conditionalFormatting sqref="N27:O27">
    <cfRule type="cellIs" dxfId="1809" priority="238" stopIfTrue="1" operator="equal">
      <formula>0</formula>
    </cfRule>
  </conditionalFormatting>
  <conditionalFormatting sqref="P27:Q27">
    <cfRule type="cellIs" dxfId="1808" priority="237" stopIfTrue="1" operator="equal">
      <formula>0</formula>
    </cfRule>
  </conditionalFormatting>
  <conditionalFormatting sqref="R27:S27">
    <cfRule type="cellIs" dxfId="1807" priority="236" stopIfTrue="1" operator="equal">
      <formula>0</formula>
    </cfRule>
  </conditionalFormatting>
  <conditionalFormatting sqref="T27:U27">
    <cfRule type="cellIs" dxfId="1806" priority="235" stopIfTrue="1" operator="equal">
      <formula>0</formula>
    </cfRule>
  </conditionalFormatting>
  <conditionalFormatting sqref="V27:W27">
    <cfRule type="cellIs" dxfId="1805" priority="234" stopIfTrue="1" operator="equal">
      <formula>0</formula>
    </cfRule>
  </conditionalFormatting>
  <conditionalFormatting sqref="J28:K28">
    <cfRule type="cellIs" dxfId="1804" priority="233" stopIfTrue="1" operator="equal">
      <formula>0</formula>
    </cfRule>
  </conditionalFormatting>
  <conditionalFormatting sqref="L28:M28">
    <cfRule type="cellIs" dxfId="1803" priority="232" stopIfTrue="1" operator="equal">
      <formula>0</formula>
    </cfRule>
  </conditionalFormatting>
  <conditionalFormatting sqref="N28:O28">
    <cfRule type="cellIs" dxfId="1802" priority="231" stopIfTrue="1" operator="equal">
      <formula>0</formula>
    </cfRule>
  </conditionalFormatting>
  <conditionalFormatting sqref="P28:Q28">
    <cfRule type="cellIs" dxfId="1801" priority="230" stopIfTrue="1" operator="equal">
      <formula>0</formula>
    </cfRule>
  </conditionalFormatting>
  <conditionalFormatting sqref="R28:S28">
    <cfRule type="cellIs" dxfId="1800" priority="229" stopIfTrue="1" operator="equal">
      <formula>0</formula>
    </cfRule>
  </conditionalFormatting>
  <conditionalFormatting sqref="T28:U28">
    <cfRule type="cellIs" dxfId="1799" priority="228" stopIfTrue="1" operator="equal">
      <formula>0</formula>
    </cfRule>
  </conditionalFormatting>
  <conditionalFormatting sqref="V28:W28">
    <cfRule type="cellIs" dxfId="1798" priority="227" stopIfTrue="1" operator="equal">
      <formula>0</formula>
    </cfRule>
  </conditionalFormatting>
  <conditionalFormatting sqref="J29:K29">
    <cfRule type="cellIs" dxfId="1797" priority="226" stopIfTrue="1" operator="equal">
      <formula>0</formula>
    </cfRule>
  </conditionalFormatting>
  <conditionalFormatting sqref="L29:M29">
    <cfRule type="cellIs" dxfId="1796" priority="225" stopIfTrue="1" operator="equal">
      <formula>0</formula>
    </cfRule>
  </conditionalFormatting>
  <conditionalFormatting sqref="N29:O29">
    <cfRule type="cellIs" dxfId="1795" priority="224" stopIfTrue="1" operator="equal">
      <formula>0</formula>
    </cfRule>
  </conditionalFormatting>
  <conditionalFormatting sqref="P29:Q29">
    <cfRule type="cellIs" dxfId="1794" priority="223" stopIfTrue="1" operator="equal">
      <formula>0</formula>
    </cfRule>
  </conditionalFormatting>
  <conditionalFormatting sqref="R29:S29">
    <cfRule type="cellIs" dxfId="1793" priority="222" stopIfTrue="1" operator="equal">
      <formula>0</formula>
    </cfRule>
  </conditionalFormatting>
  <conditionalFormatting sqref="T29:U29">
    <cfRule type="cellIs" dxfId="1792" priority="221" stopIfTrue="1" operator="equal">
      <formula>0</formula>
    </cfRule>
  </conditionalFormatting>
  <conditionalFormatting sqref="V29:W29">
    <cfRule type="cellIs" dxfId="1791" priority="220" stopIfTrue="1" operator="equal">
      <formula>0</formula>
    </cfRule>
  </conditionalFormatting>
  <conditionalFormatting sqref="J30:K30">
    <cfRule type="cellIs" dxfId="1790" priority="219" stopIfTrue="1" operator="equal">
      <formula>0</formula>
    </cfRule>
  </conditionalFormatting>
  <conditionalFormatting sqref="L30:M30">
    <cfRule type="cellIs" dxfId="1789" priority="218" stopIfTrue="1" operator="equal">
      <formula>0</formula>
    </cfRule>
  </conditionalFormatting>
  <conditionalFormatting sqref="N30:O30">
    <cfRule type="cellIs" dxfId="1788" priority="217" stopIfTrue="1" operator="equal">
      <formula>0</formula>
    </cfRule>
  </conditionalFormatting>
  <conditionalFormatting sqref="P30:Q30">
    <cfRule type="cellIs" dxfId="1787" priority="216" stopIfTrue="1" operator="equal">
      <formula>0</formula>
    </cfRule>
  </conditionalFormatting>
  <conditionalFormatting sqref="R30:S30">
    <cfRule type="cellIs" dxfId="1786" priority="215" stopIfTrue="1" operator="equal">
      <formula>0</formula>
    </cfRule>
  </conditionalFormatting>
  <conditionalFormatting sqref="T30:U30">
    <cfRule type="cellIs" dxfId="1785" priority="214" stopIfTrue="1" operator="equal">
      <formula>0</formula>
    </cfRule>
  </conditionalFormatting>
  <conditionalFormatting sqref="V30:W30">
    <cfRule type="cellIs" dxfId="1784" priority="213" stopIfTrue="1" operator="equal">
      <formula>0</formula>
    </cfRule>
  </conditionalFormatting>
  <conditionalFormatting sqref="J31:K31">
    <cfRule type="cellIs" dxfId="1783" priority="212" stopIfTrue="1" operator="equal">
      <formula>0</formula>
    </cfRule>
  </conditionalFormatting>
  <conditionalFormatting sqref="L31:M31">
    <cfRule type="cellIs" dxfId="1782" priority="211" stopIfTrue="1" operator="equal">
      <formula>0</formula>
    </cfRule>
  </conditionalFormatting>
  <conditionalFormatting sqref="N31:O31">
    <cfRule type="cellIs" dxfId="1781" priority="210" stopIfTrue="1" operator="equal">
      <formula>0</formula>
    </cfRule>
  </conditionalFormatting>
  <conditionalFormatting sqref="P31:Q31">
    <cfRule type="cellIs" dxfId="1780" priority="209" stopIfTrue="1" operator="equal">
      <formula>0</formula>
    </cfRule>
  </conditionalFormatting>
  <conditionalFormatting sqref="R31:S31">
    <cfRule type="cellIs" dxfId="1779" priority="208" stopIfTrue="1" operator="equal">
      <formula>0</formula>
    </cfRule>
  </conditionalFormatting>
  <conditionalFormatting sqref="T31:U31">
    <cfRule type="cellIs" dxfId="1778" priority="207" stopIfTrue="1" operator="equal">
      <formula>0</formula>
    </cfRule>
  </conditionalFormatting>
  <conditionalFormatting sqref="V31:W31">
    <cfRule type="cellIs" dxfId="1777" priority="206" stopIfTrue="1" operator="equal">
      <formula>0</formula>
    </cfRule>
  </conditionalFormatting>
  <conditionalFormatting sqref="J32:K32">
    <cfRule type="cellIs" dxfId="1776" priority="205" stopIfTrue="1" operator="equal">
      <formula>0</formula>
    </cfRule>
  </conditionalFormatting>
  <conditionalFormatting sqref="L32:M32">
    <cfRule type="cellIs" dxfId="1775" priority="204" stopIfTrue="1" operator="equal">
      <formula>0</formula>
    </cfRule>
  </conditionalFormatting>
  <conditionalFormatting sqref="N32:O32">
    <cfRule type="cellIs" dxfId="1774" priority="203" stopIfTrue="1" operator="equal">
      <formula>0</formula>
    </cfRule>
  </conditionalFormatting>
  <conditionalFormatting sqref="P32:Q32">
    <cfRule type="cellIs" dxfId="1773" priority="202" stopIfTrue="1" operator="equal">
      <formula>0</formula>
    </cfRule>
  </conditionalFormatting>
  <conditionalFormatting sqref="R32:S32">
    <cfRule type="cellIs" dxfId="1772" priority="201" stopIfTrue="1" operator="equal">
      <formula>0</formula>
    </cfRule>
  </conditionalFormatting>
  <conditionalFormatting sqref="T32:U32">
    <cfRule type="cellIs" dxfId="1771" priority="200" stopIfTrue="1" operator="equal">
      <formula>0</formula>
    </cfRule>
  </conditionalFormatting>
  <conditionalFormatting sqref="V32:W32">
    <cfRule type="cellIs" dxfId="1770" priority="199" stopIfTrue="1" operator="equal">
      <formula>0</formula>
    </cfRule>
  </conditionalFormatting>
  <conditionalFormatting sqref="J33:K33">
    <cfRule type="cellIs" dxfId="1769" priority="198" stopIfTrue="1" operator="equal">
      <formula>0</formula>
    </cfRule>
  </conditionalFormatting>
  <conditionalFormatting sqref="L33:M33">
    <cfRule type="cellIs" dxfId="1768" priority="197" stopIfTrue="1" operator="equal">
      <formula>0</formula>
    </cfRule>
  </conditionalFormatting>
  <conditionalFormatting sqref="N33:O33">
    <cfRule type="cellIs" dxfId="1767" priority="196" stopIfTrue="1" operator="equal">
      <formula>0</formula>
    </cfRule>
  </conditionalFormatting>
  <conditionalFormatting sqref="P33:Q33">
    <cfRule type="cellIs" dxfId="1766" priority="195" stopIfTrue="1" operator="equal">
      <formula>0</formula>
    </cfRule>
  </conditionalFormatting>
  <conditionalFormatting sqref="R33:S33">
    <cfRule type="cellIs" dxfId="1765" priority="194" stopIfTrue="1" operator="equal">
      <formula>0</formula>
    </cfRule>
  </conditionalFormatting>
  <conditionalFormatting sqref="T33:U33">
    <cfRule type="cellIs" dxfId="1764" priority="193" stopIfTrue="1" operator="equal">
      <formula>0</formula>
    </cfRule>
  </conditionalFormatting>
  <conditionalFormatting sqref="V33:W33">
    <cfRule type="cellIs" dxfId="1763" priority="192" stopIfTrue="1" operator="equal">
      <formula>0</formula>
    </cfRule>
  </conditionalFormatting>
  <conditionalFormatting sqref="J34:K34">
    <cfRule type="cellIs" dxfId="1762" priority="191" stopIfTrue="1" operator="equal">
      <formula>0</formula>
    </cfRule>
  </conditionalFormatting>
  <conditionalFormatting sqref="L34:M34">
    <cfRule type="cellIs" dxfId="1761" priority="190" stopIfTrue="1" operator="equal">
      <formula>0</formula>
    </cfRule>
  </conditionalFormatting>
  <conditionalFormatting sqref="N34:O34">
    <cfRule type="cellIs" dxfId="1760" priority="189" stopIfTrue="1" operator="equal">
      <formula>0</formula>
    </cfRule>
  </conditionalFormatting>
  <conditionalFormatting sqref="P34:Q34">
    <cfRule type="cellIs" dxfId="1759" priority="188" stopIfTrue="1" operator="equal">
      <formula>0</formula>
    </cfRule>
  </conditionalFormatting>
  <conditionalFormatting sqref="R34:S34">
    <cfRule type="cellIs" dxfId="1758" priority="187" stopIfTrue="1" operator="equal">
      <formula>0</formula>
    </cfRule>
  </conditionalFormatting>
  <conditionalFormatting sqref="T34:U34">
    <cfRule type="cellIs" dxfId="1757" priority="186" stopIfTrue="1" operator="equal">
      <formula>0</formula>
    </cfRule>
  </conditionalFormatting>
  <conditionalFormatting sqref="V34:W34">
    <cfRule type="cellIs" dxfId="1756" priority="185" stopIfTrue="1" operator="equal">
      <formula>0</formula>
    </cfRule>
  </conditionalFormatting>
  <conditionalFormatting sqref="J35:K35">
    <cfRule type="cellIs" dxfId="1755" priority="184" stopIfTrue="1" operator="equal">
      <formula>0</formula>
    </cfRule>
  </conditionalFormatting>
  <conditionalFormatting sqref="L35:M35">
    <cfRule type="cellIs" dxfId="1754" priority="183" stopIfTrue="1" operator="equal">
      <formula>0</formula>
    </cfRule>
  </conditionalFormatting>
  <conditionalFormatting sqref="N35:O35">
    <cfRule type="cellIs" dxfId="1753" priority="182" stopIfTrue="1" operator="equal">
      <formula>0</formula>
    </cfRule>
  </conditionalFormatting>
  <conditionalFormatting sqref="P35:Q35">
    <cfRule type="cellIs" dxfId="1752" priority="181" stopIfTrue="1" operator="equal">
      <formula>0</formula>
    </cfRule>
  </conditionalFormatting>
  <conditionalFormatting sqref="R35:S35">
    <cfRule type="cellIs" dxfId="1751" priority="180" stopIfTrue="1" operator="equal">
      <formula>0</formula>
    </cfRule>
  </conditionalFormatting>
  <conditionalFormatting sqref="T35:U35">
    <cfRule type="cellIs" dxfId="1750" priority="179" stopIfTrue="1" operator="equal">
      <formula>0</formula>
    </cfRule>
  </conditionalFormatting>
  <conditionalFormatting sqref="V35:W35">
    <cfRule type="cellIs" dxfId="1749" priority="178" stopIfTrue="1" operator="equal">
      <formula>0</formula>
    </cfRule>
  </conditionalFormatting>
  <conditionalFormatting sqref="J36:K36">
    <cfRule type="cellIs" dxfId="1748" priority="177" stopIfTrue="1" operator="equal">
      <formula>0</formula>
    </cfRule>
  </conditionalFormatting>
  <conditionalFormatting sqref="L36:M36">
    <cfRule type="cellIs" dxfId="1747" priority="176" stopIfTrue="1" operator="equal">
      <formula>0</formula>
    </cfRule>
  </conditionalFormatting>
  <conditionalFormatting sqref="N36:O36">
    <cfRule type="cellIs" dxfId="1746" priority="175" stopIfTrue="1" operator="equal">
      <formula>0</formula>
    </cfRule>
  </conditionalFormatting>
  <conditionalFormatting sqref="P36:Q36">
    <cfRule type="cellIs" dxfId="1745" priority="174" stopIfTrue="1" operator="equal">
      <formula>0</formula>
    </cfRule>
  </conditionalFormatting>
  <conditionalFormatting sqref="R36:S36">
    <cfRule type="cellIs" dxfId="1744" priority="173" stopIfTrue="1" operator="equal">
      <formula>0</formula>
    </cfRule>
  </conditionalFormatting>
  <conditionalFormatting sqref="T36:U36">
    <cfRule type="cellIs" dxfId="1743" priority="172" stopIfTrue="1" operator="equal">
      <formula>0</formula>
    </cfRule>
  </conditionalFormatting>
  <conditionalFormatting sqref="V36:W36">
    <cfRule type="cellIs" dxfId="1742" priority="171" stopIfTrue="1" operator="equal">
      <formula>0</formula>
    </cfRule>
  </conditionalFormatting>
  <conditionalFormatting sqref="J37:K37">
    <cfRule type="cellIs" dxfId="1741" priority="170" stopIfTrue="1" operator="equal">
      <formula>0</formula>
    </cfRule>
  </conditionalFormatting>
  <conditionalFormatting sqref="L37:M37">
    <cfRule type="cellIs" dxfId="1740" priority="169" stopIfTrue="1" operator="equal">
      <formula>0</formula>
    </cfRule>
  </conditionalFormatting>
  <conditionalFormatting sqref="N37:O37">
    <cfRule type="cellIs" dxfId="1739" priority="168" stopIfTrue="1" operator="equal">
      <formula>0</formula>
    </cfRule>
  </conditionalFormatting>
  <conditionalFormatting sqref="P37:Q37">
    <cfRule type="cellIs" dxfId="1738" priority="167" stopIfTrue="1" operator="equal">
      <formula>0</formula>
    </cfRule>
  </conditionalFormatting>
  <conditionalFormatting sqref="R37:S37">
    <cfRule type="cellIs" dxfId="1737" priority="166" stopIfTrue="1" operator="equal">
      <formula>0</formula>
    </cfRule>
  </conditionalFormatting>
  <conditionalFormatting sqref="T37:U37">
    <cfRule type="cellIs" dxfId="1736" priority="165" stopIfTrue="1" operator="equal">
      <formula>0</formula>
    </cfRule>
  </conditionalFormatting>
  <conditionalFormatting sqref="V37:W37">
    <cfRule type="cellIs" dxfId="1735" priority="164" stopIfTrue="1" operator="equal">
      <formula>0</formula>
    </cfRule>
  </conditionalFormatting>
  <conditionalFormatting sqref="J38:K38">
    <cfRule type="cellIs" dxfId="1734" priority="163" stopIfTrue="1" operator="equal">
      <formula>0</formula>
    </cfRule>
  </conditionalFormatting>
  <conditionalFormatting sqref="L38:M38">
    <cfRule type="cellIs" dxfId="1733" priority="162" stopIfTrue="1" operator="equal">
      <formula>0</formula>
    </cfRule>
  </conditionalFormatting>
  <conditionalFormatting sqref="N38:O38">
    <cfRule type="cellIs" dxfId="1732" priority="161" stopIfTrue="1" operator="equal">
      <formula>0</formula>
    </cfRule>
  </conditionalFormatting>
  <conditionalFormatting sqref="P38:Q38">
    <cfRule type="cellIs" dxfId="1731" priority="160" stopIfTrue="1" operator="equal">
      <formula>0</formula>
    </cfRule>
  </conditionalFormatting>
  <conditionalFormatting sqref="R38:S38">
    <cfRule type="cellIs" dxfId="1730" priority="159" stopIfTrue="1" operator="equal">
      <formula>0</formula>
    </cfRule>
  </conditionalFormatting>
  <conditionalFormatting sqref="T38:U38">
    <cfRule type="cellIs" dxfId="1729" priority="158" stopIfTrue="1" operator="equal">
      <formula>0</formula>
    </cfRule>
  </conditionalFormatting>
  <conditionalFormatting sqref="V38:W38">
    <cfRule type="cellIs" dxfId="1728" priority="157" stopIfTrue="1" operator="equal">
      <formula>0</formula>
    </cfRule>
  </conditionalFormatting>
  <conditionalFormatting sqref="J39:K39">
    <cfRule type="cellIs" dxfId="1727" priority="156" stopIfTrue="1" operator="equal">
      <formula>0</formula>
    </cfRule>
  </conditionalFormatting>
  <conditionalFormatting sqref="L39:M39">
    <cfRule type="cellIs" dxfId="1726" priority="155" stopIfTrue="1" operator="equal">
      <formula>0</formula>
    </cfRule>
  </conditionalFormatting>
  <conditionalFormatting sqref="N39:O39">
    <cfRule type="cellIs" dxfId="1725" priority="154" stopIfTrue="1" operator="equal">
      <formula>0</formula>
    </cfRule>
  </conditionalFormatting>
  <conditionalFormatting sqref="P39:Q39">
    <cfRule type="cellIs" dxfId="1724" priority="153" stopIfTrue="1" operator="equal">
      <formula>0</formula>
    </cfRule>
  </conditionalFormatting>
  <conditionalFormatting sqref="R39:S39">
    <cfRule type="cellIs" dxfId="1723" priority="152" stopIfTrue="1" operator="equal">
      <formula>0</formula>
    </cfRule>
  </conditionalFormatting>
  <conditionalFormatting sqref="T39:U39">
    <cfRule type="cellIs" dxfId="1722" priority="151" stopIfTrue="1" operator="equal">
      <formula>0</formula>
    </cfRule>
  </conditionalFormatting>
  <conditionalFormatting sqref="V39:W39">
    <cfRule type="cellIs" dxfId="1721" priority="150" stopIfTrue="1" operator="equal">
      <formula>0</formula>
    </cfRule>
  </conditionalFormatting>
  <conditionalFormatting sqref="J40:K40">
    <cfRule type="cellIs" dxfId="1720" priority="149" stopIfTrue="1" operator="equal">
      <formula>0</formula>
    </cfRule>
  </conditionalFormatting>
  <conditionalFormatting sqref="L40:M40">
    <cfRule type="cellIs" dxfId="1719" priority="148" stopIfTrue="1" operator="equal">
      <formula>0</formula>
    </cfRule>
  </conditionalFormatting>
  <conditionalFormatting sqref="N40:O40">
    <cfRule type="cellIs" dxfId="1718" priority="147" stopIfTrue="1" operator="equal">
      <formula>0</formula>
    </cfRule>
  </conditionalFormatting>
  <conditionalFormatting sqref="P40:Q40">
    <cfRule type="cellIs" dxfId="1717" priority="146" stopIfTrue="1" operator="equal">
      <formula>0</formula>
    </cfRule>
  </conditionalFormatting>
  <conditionalFormatting sqref="R40:S40">
    <cfRule type="cellIs" dxfId="1716" priority="145" stopIfTrue="1" operator="equal">
      <formula>0</formula>
    </cfRule>
  </conditionalFormatting>
  <conditionalFormatting sqref="T40:U40">
    <cfRule type="cellIs" dxfId="1715" priority="144" stopIfTrue="1" operator="equal">
      <formula>0</formula>
    </cfRule>
  </conditionalFormatting>
  <conditionalFormatting sqref="V40:W40">
    <cfRule type="cellIs" dxfId="1714" priority="143" stopIfTrue="1" operator="equal">
      <formula>0</formula>
    </cfRule>
  </conditionalFormatting>
  <conditionalFormatting sqref="J41:K41">
    <cfRule type="cellIs" dxfId="1713" priority="142" stopIfTrue="1" operator="equal">
      <formula>0</formula>
    </cfRule>
  </conditionalFormatting>
  <conditionalFormatting sqref="L41:M41">
    <cfRule type="cellIs" dxfId="1712" priority="141" stopIfTrue="1" operator="equal">
      <formula>0</formula>
    </cfRule>
  </conditionalFormatting>
  <conditionalFormatting sqref="N41:O41">
    <cfRule type="cellIs" dxfId="1711" priority="140" stopIfTrue="1" operator="equal">
      <formula>0</formula>
    </cfRule>
  </conditionalFormatting>
  <conditionalFormatting sqref="P41:Q41">
    <cfRule type="cellIs" dxfId="1710" priority="139" stopIfTrue="1" operator="equal">
      <formula>0</formula>
    </cfRule>
  </conditionalFormatting>
  <conditionalFormatting sqref="R41:S41">
    <cfRule type="cellIs" dxfId="1709" priority="138" stopIfTrue="1" operator="equal">
      <formula>0</formula>
    </cfRule>
  </conditionalFormatting>
  <conditionalFormatting sqref="T41:U41">
    <cfRule type="cellIs" dxfId="1708" priority="137" stopIfTrue="1" operator="equal">
      <formula>0</formula>
    </cfRule>
  </conditionalFormatting>
  <conditionalFormatting sqref="V41:W41">
    <cfRule type="cellIs" dxfId="1707" priority="136" stopIfTrue="1" operator="equal">
      <formula>0</formula>
    </cfRule>
  </conditionalFormatting>
  <conditionalFormatting sqref="J42:K42">
    <cfRule type="cellIs" dxfId="1706" priority="135" stopIfTrue="1" operator="equal">
      <formula>0</formula>
    </cfRule>
  </conditionalFormatting>
  <conditionalFormatting sqref="L42:M42">
    <cfRule type="cellIs" dxfId="1705" priority="134" stopIfTrue="1" operator="equal">
      <formula>0</formula>
    </cfRule>
  </conditionalFormatting>
  <conditionalFormatting sqref="N42:O42">
    <cfRule type="cellIs" dxfId="1704" priority="133" stopIfTrue="1" operator="equal">
      <formula>0</formula>
    </cfRule>
  </conditionalFormatting>
  <conditionalFormatting sqref="P42:Q42">
    <cfRule type="cellIs" dxfId="1703" priority="132" stopIfTrue="1" operator="equal">
      <formula>0</formula>
    </cfRule>
  </conditionalFormatting>
  <conditionalFormatting sqref="R42:S42">
    <cfRule type="cellIs" dxfId="1702" priority="131" stopIfTrue="1" operator="equal">
      <formula>0</formula>
    </cfRule>
  </conditionalFormatting>
  <conditionalFormatting sqref="T42:U42">
    <cfRule type="cellIs" dxfId="1701" priority="130" stopIfTrue="1" operator="equal">
      <formula>0</formula>
    </cfRule>
  </conditionalFormatting>
  <conditionalFormatting sqref="V42:W42">
    <cfRule type="cellIs" dxfId="1700" priority="129" stopIfTrue="1" operator="equal">
      <formula>0</formula>
    </cfRule>
  </conditionalFormatting>
  <conditionalFormatting sqref="J43:K43">
    <cfRule type="cellIs" dxfId="1699" priority="128" stopIfTrue="1" operator="equal">
      <formula>0</formula>
    </cfRule>
  </conditionalFormatting>
  <conditionalFormatting sqref="L43:M43">
    <cfRule type="cellIs" dxfId="1698" priority="127" stopIfTrue="1" operator="equal">
      <formula>0</formula>
    </cfRule>
  </conditionalFormatting>
  <conditionalFormatting sqref="N43:O43">
    <cfRule type="cellIs" dxfId="1697" priority="126" stopIfTrue="1" operator="equal">
      <formula>0</formula>
    </cfRule>
  </conditionalFormatting>
  <conditionalFormatting sqref="P43:Q43">
    <cfRule type="cellIs" dxfId="1696" priority="125" stopIfTrue="1" operator="equal">
      <formula>0</formula>
    </cfRule>
  </conditionalFormatting>
  <conditionalFormatting sqref="R43:S43">
    <cfRule type="cellIs" dxfId="1695" priority="124" stopIfTrue="1" operator="equal">
      <formula>0</formula>
    </cfRule>
  </conditionalFormatting>
  <conditionalFormatting sqref="T43:U43">
    <cfRule type="cellIs" dxfId="1694" priority="123" stopIfTrue="1" operator="equal">
      <formula>0</formula>
    </cfRule>
  </conditionalFormatting>
  <conditionalFormatting sqref="V43:W43">
    <cfRule type="cellIs" dxfId="1693" priority="122" stopIfTrue="1" operator="equal">
      <formula>0</formula>
    </cfRule>
  </conditionalFormatting>
  <conditionalFormatting sqref="J44:K44">
    <cfRule type="cellIs" dxfId="1692" priority="121" stopIfTrue="1" operator="equal">
      <formula>0</formula>
    </cfRule>
  </conditionalFormatting>
  <conditionalFormatting sqref="L44:M44">
    <cfRule type="cellIs" dxfId="1691" priority="120" stopIfTrue="1" operator="equal">
      <formula>0</formula>
    </cfRule>
  </conditionalFormatting>
  <conditionalFormatting sqref="N44:O44">
    <cfRule type="cellIs" dxfId="1690" priority="119" stopIfTrue="1" operator="equal">
      <formula>0</formula>
    </cfRule>
  </conditionalFormatting>
  <conditionalFormatting sqref="P44:Q44">
    <cfRule type="cellIs" dxfId="1689" priority="118" stopIfTrue="1" operator="equal">
      <formula>0</formula>
    </cfRule>
  </conditionalFormatting>
  <conditionalFormatting sqref="R44:S44">
    <cfRule type="cellIs" dxfId="1688" priority="117" stopIfTrue="1" operator="equal">
      <formula>0</formula>
    </cfRule>
  </conditionalFormatting>
  <conditionalFormatting sqref="T44:U44">
    <cfRule type="cellIs" dxfId="1687" priority="116" stopIfTrue="1" operator="equal">
      <formula>0</formula>
    </cfRule>
  </conditionalFormatting>
  <conditionalFormatting sqref="V44:W44">
    <cfRule type="cellIs" dxfId="1686" priority="115" stopIfTrue="1" operator="equal">
      <formula>0</formula>
    </cfRule>
  </conditionalFormatting>
  <conditionalFormatting sqref="J45:K45">
    <cfRule type="cellIs" dxfId="1685" priority="114" stopIfTrue="1" operator="equal">
      <formula>0</formula>
    </cfRule>
  </conditionalFormatting>
  <conditionalFormatting sqref="L45:M45">
    <cfRule type="cellIs" dxfId="1684" priority="113" stopIfTrue="1" operator="equal">
      <formula>0</formula>
    </cfRule>
  </conditionalFormatting>
  <conditionalFormatting sqref="N45:O45">
    <cfRule type="cellIs" dxfId="1683" priority="112" stopIfTrue="1" operator="equal">
      <formula>0</formula>
    </cfRule>
  </conditionalFormatting>
  <conditionalFormatting sqref="P45:Q45">
    <cfRule type="cellIs" dxfId="1682" priority="111" stopIfTrue="1" operator="equal">
      <formula>0</formula>
    </cfRule>
  </conditionalFormatting>
  <conditionalFormatting sqref="R45:S45">
    <cfRule type="cellIs" dxfId="1681" priority="110" stopIfTrue="1" operator="equal">
      <formula>0</formula>
    </cfRule>
  </conditionalFormatting>
  <conditionalFormatting sqref="T45:U45">
    <cfRule type="cellIs" dxfId="1680" priority="109" stopIfTrue="1" operator="equal">
      <formula>0</formula>
    </cfRule>
  </conditionalFormatting>
  <conditionalFormatting sqref="V45:W45">
    <cfRule type="cellIs" dxfId="1679" priority="108" stopIfTrue="1" operator="equal">
      <formula>0</formula>
    </cfRule>
  </conditionalFormatting>
  <conditionalFormatting sqref="J46:K46">
    <cfRule type="cellIs" dxfId="1678" priority="107" stopIfTrue="1" operator="equal">
      <formula>0</formula>
    </cfRule>
  </conditionalFormatting>
  <conditionalFormatting sqref="L46:M46">
    <cfRule type="cellIs" dxfId="1677" priority="106" stopIfTrue="1" operator="equal">
      <formula>0</formula>
    </cfRule>
  </conditionalFormatting>
  <conditionalFormatting sqref="N46:O46">
    <cfRule type="cellIs" dxfId="1676" priority="105" stopIfTrue="1" operator="equal">
      <formula>0</formula>
    </cfRule>
  </conditionalFormatting>
  <conditionalFormatting sqref="P46:Q46">
    <cfRule type="cellIs" dxfId="1675" priority="104" stopIfTrue="1" operator="equal">
      <formula>0</formula>
    </cfRule>
  </conditionalFormatting>
  <conditionalFormatting sqref="R46:S46">
    <cfRule type="cellIs" dxfId="1674" priority="103" stopIfTrue="1" operator="equal">
      <formula>0</formula>
    </cfRule>
  </conditionalFormatting>
  <conditionalFormatting sqref="T46:U46">
    <cfRule type="cellIs" dxfId="1673" priority="102" stopIfTrue="1" operator="equal">
      <formula>0</formula>
    </cfRule>
  </conditionalFormatting>
  <conditionalFormatting sqref="V46:W46">
    <cfRule type="cellIs" dxfId="1672" priority="101" stopIfTrue="1" operator="equal">
      <formula>0</formula>
    </cfRule>
  </conditionalFormatting>
  <conditionalFormatting sqref="J47:K47">
    <cfRule type="cellIs" dxfId="1671" priority="100" stopIfTrue="1" operator="equal">
      <formula>0</formula>
    </cfRule>
  </conditionalFormatting>
  <conditionalFormatting sqref="L47:M47">
    <cfRule type="cellIs" dxfId="1670" priority="99" stopIfTrue="1" operator="equal">
      <formula>0</formula>
    </cfRule>
  </conditionalFormatting>
  <conditionalFormatting sqref="R47:S47">
    <cfRule type="cellIs" dxfId="1669" priority="98" stopIfTrue="1" operator="equal">
      <formula>0</formula>
    </cfRule>
  </conditionalFormatting>
  <conditionalFormatting sqref="T47:U47">
    <cfRule type="cellIs" dxfId="1668" priority="97" stopIfTrue="1" operator="equal">
      <formula>0</formula>
    </cfRule>
  </conditionalFormatting>
  <conditionalFormatting sqref="V47:W47">
    <cfRule type="cellIs" dxfId="1667" priority="96" stopIfTrue="1" operator="equal">
      <formula>0</formula>
    </cfRule>
  </conditionalFormatting>
  <conditionalFormatting sqref="D54:L59">
    <cfRule type="expression" dxfId="1666" priority="95">
      <formula>$AB$8=0</formula>
    </cfRule>
  </conditionalFormatting>
  <conditionalFormatting sqref="D54:I56">
    <cfRule type="expression" dxfId="1665" priority="94">
      <formula>$AB$8=1</formula>
    </cfRule>
  </conditionalFormatting>
  <printOptions horizontalCentered="1"/>
  <pageMargins left="0.7" right="0.7" top="0.39370078740157477" bottom="0.39370078740157477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4" name="Button 1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0" r:id="rId5" name="Button 2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1" r:id="rId6" name="Button 3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2" r:id="rId7" name="Button 4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3" r:id="rId8" name="Button 5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4" r:id="rId9" name="Button 6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5" r:id="rId10" name="Button 7">
              <controlPr defaultSize="0" print="0" autoFill="0" autoPict="0" macro="[0]!休日初期化">
                <anchor moveWithCells="1" sizeWithCells="1">
                  <from>
                    <xdr:col>27</xdr:col>
                    <xdr:colOff>488950</xdr:colOff>
                    <xdr:row>25</xdr:row>
                    <xdr:rowOff>69850</xdr:rowOff>
                  </from>
                  <to>
                    <xdr:col>28</xdr:col>
                    <xdr:colOff>266700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6" r:id="rId11" name="Button 8">
              <controlPr defaultSize="0" print="0" autoFill="0" autoPict="0" macro="[0]!初期状態">
                <anchor moveWithCells="1" sizeWithCells="1">
                  <from>
                    <xdr:col>27</xdr:col>
                    <xdr:colOff>533400</xdr:colOff>
                    <xdr:row>32</xdr:row>
                    <xdr:rowOff>31750</xdr:rowOff>
                  </from>
                  <to>
                    <xdr:col>28</xdr:col>
                    <xdr:colOff>419100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7" r:id="rId12" name="Button 9">
              <controlPr defaultSize="0" print="0" autoFill="0" autoPict="0" macro="[0]!ws_add">
                <anchor moveWithCells="1" sizeWithCells="1">
                  <from>
                    <xdr:col>27</xdr:col>
                    <xdr:colOff>488950</xdr:colOff>
                    <xdr:row>35</xdr:row>
                    <xdr:rowOff>69850</xdr:rowOff>
                  </from>
                  <to>
                    <xdr:col>29</xdr:col>
                    <xdr:colOff>603250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8" r:id="rId13" name="Button 10">
              <controlPr defaultSize="0" print="0" autoFill="0" autoPict="0" macro="[0]!統合">
                <anchor moveWithCells="1" sizeWithCells="1">
                  <from>
                    <xdr:col>26</xdr:col>
                    <xdr:colOff>63500</xdr:colOff>
                    <xdr:row>59</xdr:row>
                    <xdr:rowOff>19050</xdr:rowOff>
                  </from>
                  <to>
                    <xdr:col>26</xdr:col>
                    <xdr:colOff>673100</xdr:colOff>
                    <xdr:row>60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9" r:id="rId14" name="Button 11">
              <controlPr defaultSize="0" print="0" autoFill="0" autoPict="0" macro="[0]!休暇処理">
                <anchor moveWithCells="1" sizeWithCells="1">
                  <from>
                    <xdr:col>26</xdr:col>
                    <xdr:colOff>63500</xdr:colOff>
                    <xdr:row>61</xdr:row>
                    <xdr:rowOff>19050</xdr:rowOff>
                  </from>
                  <to>
                    <xdr:col>26</xdr:col>
                    <xdr:colOff>673100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0" r:id="rId15" name="Button 12">
              <controlPr defaultSize="0" print="0" autoFill="0" autoPict="0" macro="[0]!化粧直し">
                <anchor moveWithCells="1" sizeWithCells="1">
                  <from>
                    <xdr:col>26</xdr:col>
                    <xdr:colOff>69850</xdr:colOff>
                    <xdr:row>63</xdr:row>
                    <xdr:rowOff>31750</xdr:rowOff>
                  </from>
                  <to>
                    <xdr:col>26</xdr:col>
                    <xdr:colOff>679450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1" r:id="rId16" name="Button 13">
              <controlPr defaultSize="0" print="0" autoFill="0" autoPict="0" macro="[0]!休日初期化">
                <anchor moveWithCells="1" sizeWithCells="1">
                  <from>
                    <xdr:col>26</xdr:col>
                    <xdr:colOff>146050</xdr:colOff>
                    <xdr:row>65</xdr:row>
                    <xdr:rowOff>69850</xdr:rowOff>
                  </from>
                  <to>
                    <xdr:col>26</xdr:col>
                    <xdr:colOff>641350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2" r:id="rId17" name="Button 14">
              <controlPr defaultSize="0" print="0" autoFill="0" autoPict="0" macro="[0]!初期状態">
                <anchor moveWithCells="1" sizeWithCells="1">
                  <from>
                    <xdr:col>26</xdr:col>
                    <xdr:colOff>57150</xdr:colOff>
                    <xdr:row>67</xdr:row>
                    <xdr:rowOff>88900</xdr:rowOff>
                  </from>
                  <to>
                    <xdr:col>26</xdr:col>
                    <xdr:colOff>666750</xdr:colOff>
                    <xdr:row>69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stopIfTrue="1" id="{F94EA225-F176-44FC-9182-80C6270BDE48}">
            <xm:f xml:space="preserve"> OR($X$17=+テーブル!A2,$X$17=+テーブル!A3,$X$17=+テーブル!A9,$X$17=+テーブル!A10,$X$17=+テーブル!A12,$X$17=+テーブル!A13,$X$17=+テーブル!A16)</xm:f>
            <x14:dxf>
              <font>
                <color rgb="FFFF0000"/>
              </font>
            </x14:dxf>
          </x14:cfRule>
          <xm:sqref>D17:E17</xm:sqref>
        </x14:conditionalFormatting>
        <x14:conditionalFormatting xmlns:xm="http://schemas.microsoft.com/office/excel/2006/main">
          <x14:cfRule type="expression" priority="92" stopIfTrue="1" id="{25F9E106-D6DE-4B4C-BF69-BDB4808E1C09}">
            <xm:f xml:space="preserve"> OR($X$17=+テーブル!A2,$X$17=+テーブル!A4,$X$17=+テーブル!A9,$X$17=+テーブル!A11,$X$17=+テーブル!A12,$X$17=+テーブル!A14,$X$17=+テーブル!A16)</xm:f>
            <x14:dxf>
              <font>
                <color rgb="FFFF0000"/>
              </font>
            </x14:dxf>
          </x14:cfRule>
          <xm:sqref>F17:G17</xm:sqref>
        </x14:conditionalFormatting>
        <x14:conditionalFormatting xmlns:xm="http://schemas.microsoft.com/office/excel/2006/main">
          <x14:cfRule type="expression" priority="91" stopIfTrue="1" id="{9789A687-68E9-4E40-838C-E50F869A1BA5}">
            <xm:f xml:space="preserve"> OR($X$17=+テーブル!A2,$X$17=+テーブル!A3,$X$17=+テーブル!A4,$X$17=+テーブル!A9,$X$17=+テーブル!A10,$X$17=+テーブル!A11,$X$17=+テーブル!A12,$X$17=+テーブル!A13,$X$17=+テーブル!A14,$X$17=+テーブル!A16)</xm:f>
            <x14:dxf>
              <font>
                <color rgb="FFFF0000"/>
              </font>
            </x14:dxf>
          </x14:cfRule>
          <xm:sqref>H17:I17</xm:sqref>
        </x14:conditionalFormatting>
        <x14:conditionalFormatting xmlns:xm="http://schemas.microsoft.com/office/excel/2006/main">
          <x14:cfRule type="expression" priority="90" stopIfTrue="1" id="{51C98E84-2DB6-428F-AB5C-A7AC66F515E8}">
            <xm:f xml:space="preserve"> OR($X$18=+テーブル!A2,$X$18=+テーブル!A3,$X$18=+テーブル!A9,$X$18=+テーブル!A10,$X$18=+テーブル!A12,$X$18=+テーブル!A13,$X$18=+テーブル!A16)</xm:f>
            <x14:dxf>
              <font>
                <color rgb="FFFF0000"/>
              </font>
            </x14:dxf>
          </x14:cfRule>
          <xm:sqref>D18:E18</xm:sqref>
        </x14:conditionalFormatting>
        <x14:conditionalFormatting xmlns:xm="http://schemas.microsoft.com/office/excel/2006/main">
          <x14:cfRule type="expression" priority="89" stopIfTrue="1" id="{A5C630E0-EF45-45C4-821B-D3AD173AEE28}">
            <xm:f xml:space="preserve"> OR($X$18=+テーブル!A2,$X$18=+テーブル!A4,$X$18=+テーブル!A9,$X$18=+テーブル!A11,$X$18=+テーブル!A12,$X$18=+テーブル!A14,$X$18=+テーブル!A16)</xm:f>
            <x14:dxf>
              <font>
                <color rgb="FFFF0000"/>
              </font>
            </x14:dxf>
          </x14:cfRule>
          <xm:sqref>F18:G18</xm:sqref>
        </x14:conditionalFormatting>
        <x14:conditionalFormatting xmlns:xm="http://schemas.microsoft.com/office/excel/2006/main">
          <x14:cfRule type="expression" priority="88" stopIfTrue="1" id="{6BFC46E9-92E7-4AA5-967D-1E814A04FB06}">
            <xm:f xml:space="preserve"> OR($X$18=+テーブル!A2,$X$18=+テーブル!A3,$X$18=+テーブル!A4,$X$18=+テーブル!A9,$X$18=+テーブル!A10,$X$18=+テーブル!A11,$X$18=+テーブル!A12,$X$18=+テーブル!A13,$X$18=+テーブル!A14,$X$18=+テーブル!A16)</xm:f>
            <x14:dxf>
              <font>
                <color rgb="FFFF0000"/>
              </font>
            </x14:dxf>
          </x14:cfRule>
          <xm:sqref>H18:I18</xm:sqref>
        </x14:conditionalFormatting>
        <x14:conditionalFormatting xmlns:xm="http://schemas.microsoft.com/office/excel/2006/main">
          <x14:cfRule type="expression" priority="87" stopIfTrue="1" id="{BFB4A234-17AE-417F-9D32-494F7F8599FB}">
            <xm:f xml:space="preserve"> OR($X$19=+テーブル!A2,$X$19=+テーブル!A3,$X$19=+テーブル!A9,$X$19=+テーブル!A10,$X$19=+テーブル!A12,$X$19=+テーブル!A13,$X$19=+テーブル!A16)</xm:f>
            <x14:dxf>
              <font>
                <color rgb="FFFF0000"/>
              </font>
            </x14:dxf>
          </x14:cfRule>
          <xm:sqref>D19:E19</xm:sqref>
        </x14:conditionalFormatting>
        <x14:conditionalFormatting xmlns:xm="http://schemas.microsoft.com/office/excel/2006/main">
          <x14:cfRule type="expression" priority="86" stopIfTrue="1" id="{9702434E-4B2D-4564-AC0C-54E5D3A95832}">
            <xm:f xml:space="preserve"> OR($X$19=+テーブル!A2,$X$19=+テーブル!A4,$X$19=+テーブル!A9,$X$19=+テーブル!A11,$X$19=+テーブル!A12,$X$19=+テーブル!A14,$X$19=+テーブル!A16)</xm:f>
            <x14:dxf>
              <font>
                <color rgb="FFFF0000"/>
              </font>
            </x14:dxf>
          </x14:cfRule>
          <xm:sqref>F19:G19</xm:sqref>
        </x14:conditionalFormatting>
        <x14:conditionalFormatting xmlns:xm="http://schemas.microsoft.com/office/excel/2006/main">
          <x14:cfRule type="expression" priority="85" stopIfTrue="1" id="{A8305E2C-D274-41E9-AC76-E17A5FC704DB}">
            <xm:f xml:space="preserve"> OR($X$19=+テーブル!A2,$X$19=+テーブル!A3,$X$19=+テーブル!A4,$X$19=+テーブル!A9,$X$19=+テーブル!A10,$X$19=+テーブル!A11,$X$19=+テーブル!A12,$X$19=+テーブル!A13,$X$19=+テーブル!A14,$X$19=+テーブル!A16)</xm:f>
            <x14:dxf>
              <font>
                <color rgb="FFFF0000"/>
              </font>
            </x14:dxf>
          </x14:cfRule>
          <xm:sqref>H19:I19</xm:sqref>
        </x14:conditionalFormatting>
        <x14:conditionalFormatting xmlns:xm="http://schemas.microsoft.com/office/excel/2006/main">
          <x14:cfRule type="expression" priority="84" stopIfTrue="1" id="{0541C6E0-1D6E-4170-9E01-B146027E0D13}">
            <xm:f xml:space="preserve"> OR($X$20=+テーブル!A2,$X$20=+テーブル!A3,$X$20=+テーブル!A9,$X$20=+テーブル!A10,$X$20=+テーブル!A12,$X$20=+テーブル!A13,$X$20=+テーブル!A16)</xm:f>
            <x14:dxf>
              <font>
                <color rgb="FFFF000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83" stopIfTrue="1" id="{330E8D74-DC13-410D-A092-2AFF304F17DA}">
            <xm:f xml:space="preserve"> OR($X$20=+テーブル!A2,$X$20=+テーブル!A4,$X$20=+テーブル!A9,$X$20=+テーブル!A11,$X$20=+テーブル!A12,$X$20=+テーブル!A14,$X$20=+テーブル!A16)</xm:f>
            <x14:dxf>
              <font>
                <color rgb="FFFF0000"/>
              </font>
            </x14:dxf>
          </x14:cfRule>
          <xm:sqref>F20:G20</xm:sqref>
        </x14:conditionalFormatting>
        <x14:conditionalFormatting xmlns:xm="http://schemas.microsoft.com/office/excel/2006/main">
          <x14:cfRule type="expression" priority="82" stopIfTrue="1" id="{F3C53174-6875-463D-80AA-621CE7AA048D}">
            <xm:f xml:space="preserve"> OR($X$20=+テーブル!A2,$X$20=+テーブル!A3,$X$20=+テーブル!A4,$X$20=+テーブル!A9,$X$20=+テーブル!A10,$X$20=+テーブル!A11,$X$20=+テーブル!A12,$X$20=+テーブル!A13,$X$20=+テーブル!A14,$X$20=+テーブル!A16)</xm:f>
            <x14:dxf>
              <font>
                <color rgb="FFFF0000"/>
              </font>
            </x14:dxf>
          </x14:cfRule>
          <xm:sqref>H20:I20</xm:sqref>
        </x14:conditionalFormatting>
        <x14:conditionalFormatting xmlns:xm="http://schemas.microsoft.com/office/excel/2006/main">
          <x14:cfRule type="expression" priority="81" stopIfTrue="1" id="{8D87B864-C1F5-4EFE-82A0-57D62BCB799A}">
            <xm:f xml:space="preserve"> OR($X$21=+テーブル!A2,$X$21=+テーブル!A3,$X$21=+テーブル!A9,$X$21=+テーブル!A10,$X$21=+テーブル!A12,$X$21=+テーブル!A13,$X$21=+テーブル!A16)</xm:f>
            <x14:dxf>
              <font>
                <color rgb="FFFF0000"/>
              </font>
            </x14:dxf>
          </x14:cfRule>
          <xm:sqref>D21:E21</xm:sqref>
        </x14:conditionalFormatting>
        <x14:conditionalFormatting xmlns:xm="http://schemas.microsoft.com/office/excel/2006/main">
          <x14:cfRule type="expression" priority="80" stopIfTrue="1" id="{203A89A4-D1FE-43C8-A686-18036CCE2D9C}">
            <xm:f xml:space="preserve"> OR($X$21=+テーブル!A2,$X$21=+テーブル!A4,$X$21=+テーブル!A9,$X$21=+テーブル!A11,$X$21=+テーブル!A12,$X$21=+テーブル!A14,$X$21=+テーブル!A16)</xm:f>
            <x14:dxf>
              <font>
                <color rgb="FFFF0000"/>
              </font>
            </x14:dxf>
          </x14:cfRule>
          <xm:sqref>F21:G21</xm:sqref>
        </x14:conditionalFormatting>
        <x14:conditionalFormatting xmlns:xm="http://schemas.microsoft.com/office/excel/2006/main">
          <x14:cfRule type="expression" priority="79" stopIfTrue="1" id="{628CA792-E7B2-40A3-9CCC-5638657D6749}">
            <xm:f xml:space="preserve"> OR($X$21=+テーブル!A2,$X$21=+テーブル!A3,$X$21=+テーブル!A4,$X$21=+テーブル!A9,$X$21=+テーブル!A10,$X$21=+テーブル!A11,$X$21=+テーブル!A12,$X$21=+テーブル!A13,$X$21=+テーブル!A14,$X$21=+テーブル!A16)</xm:f>
            <x14:dxf>
              <font>
                <color rgb="FFFF0000"/>
              </font>
            </x14:dxf>
          </x14:cfRule>
          <xm:sqref>H21:I21</xm:sqref>
        </x14:conditionalFormatting>
        <x14:conditionalFormatting xmlns:xm="http://schemas.microsoft.com/office/excel/2006/main">
          <x14:cfRule type="expression" priority="78" stopIfTrue="1" id="{05849F10-F213-4F5A-8F60-E472D7C8538F}">
            <xm:f xml:space="preserve"> OR($X$22=+テーブル!A2,$X$22=+テーブル!A3,$X$22=+テーブル!A9,$X$22=+テーブル!A10,$X$22=+テーブル!A12,$X$22=+テーブル!A13,$X$22=+テーブル!A16)</xm:f>
            <x14:dxf>
              <font>
                <color rgb="FFFF0000"/>
              </font>
            </x14:dxf>
          </x14:cfRule>
          <xm:sqref>D22:E22</xm:sqref>
        </x14:conditionalFormatting>
        <x14:conditionalFormatting xmlns:xm="http://schemas.microsoft.com/office/excel/2006/main">
          <x14:cfRule type="expression" priority="77" stopIfTrue="1" id="{A3B4E11E-655E-4BBE-84CF-ACB14AF49D72}">
            <xm:f xml:space="preserve"> OR($X$22=+テーブル!A2,$X$22=+テーブル!A4,$X$22=+テーブル!A9,$X$22=+テーブル!A11,$X$22=+テーブル!A12,$X$22=+テーブル!A14,$X$22=+テーブル!A16)</xm:f>
            <x14:dxf>
              <font>
                <color rgb="FFFF0000"/>
              </font>
            </x14:dxf>
          </x14:cfRule>
          <xm:sqref>F22:G22</xm:sqref>
        </x14:conditionalFormatting>
        <x14:conditionalFormatting xmlns:xm="http://schemas.microsoft.com/office/excel/2006/main">
          <x14:cfRule type="expression" priority="76" stopIfTrue="1" id="{3A128A89-40A1-4196-8782-C0C73BA24ADE}">
            <xm:f xml:space="preserve"> OR($X$22=+テーブル!A2,$X$22=+テーブル!A3,$X$22=+テーブル!A4,$X$22=+テーブル!A9,$X$22=+テーブル!A10,$X$22=+テーブル!A11,$X$22=+テーブル!A12,$X$22=+テーブル!A13,$X$22=+テーブル!A14,$X$22=+テーブル!A16)</xm:f>
            <x14:dxf>
              <font>
                <color rgb="FFFF0000"/>
              </font>
            </x14:dxf>
          </x14:cfRule>
          <xm:sqref>H22:I22</xm:sqref>
        </x14:conditionalFormatting>
        <x14:conditionalFormatting xmlns:xm="http://schemas.microsoft.com/office/excel/2006/main">
          <x14:cfRule type="expression" priority="75" stopIfTrue="1" id="{3A3C7217-71FA-46AC-A3A4-B24442E6C4DC}">
            <xm:f xml:space="preserve"> OR($X$23=+テーブル!A2,$X$23=+テーブル!A3,$X$23=+テーブル!A9,$X$23=+テーブル!A10,$X$23=+テーブル!A12,$X$23=+テーブル!A13,$X$23=+テーブル!A16)</xm:f>
            <x14:dxf>
              <font>
                <color rgb="FFFF0000"/>
              </font>
            </x14:dxf>
          </x14:cfRule>
          <xm:sqref>D23:E23</xm:sqref>
        </x14:conditionalFormatting>
        <x14:conditionalFormatting xmlns:xm="http://schemas.microsoft.com/office/excel/2006/main">
          <x14:cfRule type="expression" priority="74" stopIfTrue="1" id="{BE7856F0-E341-425A-8554-F4502649BCF2}">
            <xm:f xml:space="preserve"> OR($X$23=+テーブル!A2,$X$23=+テーブル!A4,$X$23=+テーブル!A9,$X$23=+テーブル!A11,$X$23=+テーブル!A12,$X$23=+テーブル!A14,$X$23=+テーブル!A16)</xm:f>
            <x14:dxf>
              <font>
                <color rgb="FFFF0000"/>
              </font>
            </x14:dxf>
          </x14:cfRule>
          <xm:sqref>F23:G23</xm:sqref>
        </x14:conditionalFormatting>
        <x14:conditionalFormatting xmlns:xm="http://schemas.microsoft.com/office/excel/2006/main">
          <x14:cfRule type="expression" priority="73" stopIfTrue="1" id="{C05CA30E-DBA7-425F-BEAB-39A8149BF207}">
            <xm:f xml:space="preserve"> OR($X$23=+テーブル!A2,$X$23=+テーブル!A3,$X$23=+テーブル!A4,$X$23=+テーブル!A9,$X$23=+テーブル!A10,$X$23=+テーブル!A11,$X$23=+テーブル!A12,$X$23=+テーブル!A13,$X$23=+テーブル!A14,$X$23=+テーブル!A16)</xm:f>
            <x14:dxf>
              <font>
                <color rgb="FFFF0000"/>
              </font>
            </x14:dxf>
          </x14:cfRule>
          <xm:sqref>H23:I23</xm:sqref>
        </x14:conditionalFormatting>
        <x14:conditionalFormatting xmlns:xm="http://schemas.microsoft.com/office/excel/2006/main">
          <x14:cfRule type="expression" priority="72" stopIfTrue="1" id="{8166DF9D-8C77-4A7F-B6BE-D677A51C70A3}">
            <xm:f xml:space="preserve"> OR($X$24=+テーブル!A2,$X$24=+テーブル!A3,$X$24=+テーブル!A9,$X$24=+テーブル!A10,$X$24=+テーブル!A12,$X$24=+テーブル!A13,$X$24=+テーブル!A16)</xm:f>
            <x14:dxf>
              <font>
                <color rgb="FFFF0000"/>
              </font>
            </x14:dxf>
          </x14:cfRule>
          <xm:sqref>D24:E24</xm:sqref>
        </x14:conditionalFormatting>
        <x14:conditionalFormatting xmlns:xm="http://schemas.microsoft.com/office/excel/2006/main">
          <x14:cfRule type="expression" priority="71" stopIfTrue="1" id="{B0C13C76-C36A-4570-9192-6DE710B5C857}">
            <xm:f xml:space="preserve"> OR($X$24=+テーブル!A2,$X$24=+テーブル!A4,$X$24=+テーブル!A9,$X$24=+テーブル!A11,$X$24=+テーブル!A12,$X$24=+テーブル!A14,$X$24=+テーブル!A16)</xm:f>
            <x14:dxf>
              <font>
                <color rgb="FFFF0000"/>
              </font>
            </x14:dxf>
          </x14:cfRule>
          <xm:sqref>F24:G24</xm:sqref>
        </x14:conditionalFormatting>
        <x14:conditionalFormatting xmlns:xm="http://schemas.microsoft.com/office/excel/2006/main">
          <x14:cfRule type="expression" priority="70" stopIfTrue="1" id="{C8711E92-4D72-4A54-916D-258B678EB0A3}">
            <xm:f xml:space="preserve"> OR($X$24=+テーブル!A2,$X$24=+テーブル!A3,$X$24=+テーブル!A4,$X$24=+テーブル!A9,$X$24=+テーブル!A10,$X$24=+テーブル!A11,$X$24=+テーブル!A12,$X$24=+テーブル!A13,$X$24=+テーブル!A14,$X$24=+テーブル!A16)</xm:f>
            <x14:dxf>
              <font>
                <color rgb="FFFF0000"/>
              </font>
            </x14:dxf>
          </x14:cfRule>
          <xm:sqref>H24:I24</xm:sqref>
        </x14:conditionalFormatting>
        <x14:conditionalFormatting xmlns:xm="http://schemas.microsoft.com/office/excel/2006/main">
          <x14:cfRule type="expression" priority="69" stopIfTrue="1" id="{57213D8F-4D92-4F94-9760-94B482E8F558}">
            <xm:f xml:space="preserve"> OR($X$25=+テーブル!A2,$X$25=+テーブル!A3,$X$25=+テーブル!A9,$X$25=+テーブル!A10,$X$25=+テーブル!A12,$X$25=+テーブル!A13,$X$25=+テーブル!A16)</xm:f>
            <x14:dxf>
              <font>
                <color rgb="FFFF0000"/>
              </font>
            </x14:dxf>
          </x14:cfRule>
          <xm:sqref>D25:E25</xm:sqref>
        </x14:conditionalFormatting>
        <x14:conditionalFormatting xmlns:xm="http://schemas.microsoft.com/office/excel/2006/main">
          <x14:cfRule type="expression" priority="68" stopIfTrue="1" id="{73EAC9FA-70B6-4BC9-AADF-2E5E54C8447D}">
            <xm:f xml:space="preserve"> OR($X$25=+テーブル!A2,$X$25=+テーブル!A4,$X$25=+テーブル!A9,$X$25=+テーブル!A11,$X$25=+テーブル!A12,$X$25=+テーブル!A14,$X$25=+テーブル!A16)</xm:f>
            <x14:dxf>
              <font>
                <color rgb="FFFF0000"/>
              </font>
            </x14:dxf>
          </x14:cfRule>
          <xm:sqref>F25:G25</xm:sqref>
        </x14:conditionalFormatting>
        <x14:conditionalFormatting xmlns:xm="http://schemas.microsoft.com/office/excel/2006/main">
          <x14:cfRule type="expression" priority="67" stopIfTrue="1" id="{268E1655-B5FB-4AF0-ABE0-C8B213FB2238}">
            <xm:f xml:space="preserve"> OR($X$25=+テーブル!A2,$X$25=+テーブル!A3,$X$25=+テーブル!A4,$X$25=+テーブル!A9,$X$25=+テーブル!A10,$X$25=+テーブル!A11,$X$25=+テーブル!A12,$X$25=+テーブル!A13,$X$25=+テーブル!A14,$X$25=+テーブル!A16)</xm:f>
            <x14:dxf>
              <font>
                <color rgb="FFFF0000"/>
              </font>
            </x14:dxf>
          </x14:cfRule>
          <xm:sqref>H25:I25</xm:sqref>
        </x14:conditionalFormatting>
        <x14:conditionalFormatting xmlns:xm="http://schemas.microsoft.com/office/excel/2006/main">
          <x14:cfRule type="expression" priority="66" stopIfTrue="1" id="{BE729727-EB57-45F8-B790-F3816888735C}">
            <xm:f xml:space="preserve"> OR($X$26=+テーブル!A2,$X$26=+テーブル!A3,$X$26=+テーブル!A9,$X$26=+テーブル!A10,$X$26=+テーブル!A12,$X$26=+テーブル!A13,$X$26=+テーブル!A16)</xm:f>
            <x14:dxf>
              <font>
                <color rgb="FFFF0000"/>
              </font>
            </x14:dxf>
          </x14:cfRule>
          <xm:sqref>D26:E26</xm:sqref>
        </x14:conditionalFormatting>
        <x14:conditionalFormatting xmlns:xm="http://schemas.microsoft.com/office/excel/2006/main">
          <x14:cfRule type="expression" priority="65" stopIfTrue="1" id="{D79F8346-868F-479D-AF61-547563BC48E3}">
            <xm:f xml:space="preserve"> OR($X$26=+テーブル!A2,$X$26=+テーブル!A4,$X$26=+テーブル!A9,$X$26=+テーブル!A11,$X$26=+テーブル!A12,$X$26=+テーブル!A14,$X$26=+テーブル!A16)</xm:f>
            <x14:dxf>
              <font>
                <color rgb="FFFF0000"/>
              </font>
            </x14:dxf>
          </x14:cfRule>
          <xm:sqref>F26:G26</xm:sqref>
        </x14:conditionalFormatting>
        <x14:conditionalFormatting xmlns:xm="http://schemas.microsoft.com/office/excel/2006/main">
          <x14:cfRule type="expression" priority="64" stopIfTrue="1" id="{2F54E118-818C-48A4-8C80-02397FAC991B}">
            <xm:f xml:space="preserve"> OR($X$26=+テーブル!A2,$X$26=+テーブル!A3,$X$26=+テーブル!A4,$X$26=+テーブル!A9,$X$26=+テーブル!A10,$X$26=+テーブル!A11,$X$26=+テーブル!A12,$X$26=+テーブル!A13,$X$26=+テーブル!A14,$X$26=+テーブル!A16)</xm:f>
            <x14:dxf>
              <font>
                <color rgb="FFFF0000"/>
              </font>
            </x14:dxf>
          </x14:cfRule>
          <xm:sqref>H26:I26</xm:sqref>
        </x14:conditionalFormatting>
        <x14:conditionalFormatting xmlns:xm="http://schemas.microsoft.com/office/excel/2006/main">
          <x14:cfRule type="expression" priority="63" stopIfTrue="1" id="{D59920AE-B56E-4B41-BF7E-93D80C0CC7AB}">
            <xm:f xml:space="preserve"> OR($X$27=+テーブル!A2,$X$27=+テーブル!A3,$X$27=+テーブル!A9,$X$27=+テーブル!A10,$X$27=+テーブル!A12,$X$27=+テーブル!A13,$X$27=+テーブル!A16)</xm:f>
            <x14:dxf>
              <font>
                <color rgb="FFFF0000"/>
              </font>
            </x14:dxf>
          </x14:cfRule>
          <xm:sqref>D27:E27</xm:sqref>
        </x14:conditionalFormatting>
        <x14:conditionalFormatting xmlns:xm="http://schemas.microsoft.com/office/excel/2006/main">
          <x14:cfRule type="expression" priority="62" stopIfTrue="1" id="{F8C5EDEF-4D4E-48D5-AC49-7AF9C274C8AA}">
            <xm:f xml:space="preserve"> OR($X$27=+テーブル!A2,$X$27=+テーブル!A4,$X$27=+テーブル!A9,$X$27=+テーブル!A11,$X$27=+テーブル!A12,$X$27=+テーブル!A14,$X$27=+テーブル!A16)</xm:f>
            <x14:dxf>
              <font>
                <color rgb="FFFF0000"/>
              </font>
            </x14:dxf>
          </x14:cfRule>
          <xm:sqref>F27:G27</xm:sqref>
        </x14:conditionalFormatting>
        <x14:conditionalFormatting xmlns:xm="http://schemas.microsoft.com/office/excel/2006/main">
          <x14:cfRule type="expression" priority="61" stopIfTrue="1" id="{409B0240-D64C-455F-862B-E2CE33F2AEE0}">
            <xm:f xml:space="preserve"> OR($X$27=+テーブル!A2,$X$27=+テーブル!A3,$X$27=+テーブル!A4,$X$27=+テーブル!A9,$X$27=+テーブル!A10,$X$27=+テーブル!A11,$X$27=+テーブル!A12,$X$27=+テーブル!A13,$X$27=+テーブル!A14,$X$27=+テーブル!A16)</xm:f>
            <x14:dxf>
              <font>
                <color rgb="FFFF0000"/>
              </font>
            </x14:dxf>
          </x14:cfRule>
          <xm:sqref>H27:I27</xm:sqref>
        </x14:conditionalFormatting>
        <x14:conditionalFormatting xmlns:xm="http://schemas.microsoft.com/office/excel/2006/main">
          <x14:cfRule type="expression" priority="60" stopIfTrue="1" id="{0995E3E7-5149-40EA-9BF5-713DBCF80111}">
            <xm:f xml:space="preserve"> OR($X$28=+テーブル!A2,$X$28=+テーブル!A3,$X$28=+テーブル!A9,$X$28=+テーブル!A10,$X$28=+テーブル!A12,$X$28=+テーブル!A13,$X$28=+テーブル!A16)</xm:f>
            <x14:dxf>
              <font>
                <color rgb="FFFF0000"/>
              </font>
            </x14:dxf>
          </x14:cfRule>
          <xm:sqref>D28:E28</xm:sqref>
        </x14:conditionalFormatting>
        <x14:conditionalFormatting xmlns:xm="http://schemas.microsoft.com/office/excel/2006/main">
          <x14:cfRule type="expression" priority="59" stopIfTrue="1" id="{FF827461-A693-4473-AD2A-4EC8F4F3AB41}">
            <xm:f xml:space="preserve"> OR($X$28=+テーブル!A2,$X$28=+テーブル!A4,$X$28=+テーブル!A9,$X$28=+テーブル!A11,$X$28=+テーブル!A12,$X$28=+テーブル!A14,$X$28=+テーブル!A16)</xm:f>
            <x14:dxf>
              <font>
                <color rgb="FFFF0000"/>
              </font>
            </x14:dxf>
          </x14:cfRule>
          <xm:sqref>F28:G28</xm:sqref>
        </x14:conditionalFormatting>
        <x14:conditionalFormatting xmlns:xm="http://schemas.microsoft.com/office/excel/2006/main">
          <x14:cfRule type="expression" priority="58" stopIfTrue="1" id="{A4B729B6-ECB0-4BED-8C7B-D3FEF19DC0EE}">
            <xm:f xml:space="preserve"> OR($X$28=+テーブル!A2,$X$28=+テーブル!A3,$X$28=+テーブル!A4,$X$28=+テーブル!A9,$X$28=+テーブル!A10,$X$28=+テーブル!A11,$X$28=+テーブル!A12,$X$28=+テーブル!A13,$X$28=+テーブル!A14,$X$28=+テーブル!A16)</xm:f>
            <x14:dxf>
              <font>
                <color rgb="FFFF0000"/>
              </font>
            </x14:dxf>
          </x14:cfRule>
          <xm:sqref>H28:I28</xm:sqref>
        </x14:conditionalFormatting>
        <x14:conditionalFormatting xmlns:xm="http://schemas.microsoft.com/office/excel/2006/main">
          <x14:cfRule type="expression" priority="57" stopIfTrue="1" id="{022E8F95-F72F-4A15-BD7F-575C234E6A50}">
            <xm:f xml:space="preserve"> OR($X$29=+テーブル!A2,$X$29=+テーブル!A3,$X$29=+テーブル!A9,$X$29=+テーブル!A10,$X$29=+テーブル!A12,$X$29=+テーブル!A13,$X$29=+テーブル!A16)</xm:f>
            <x14:dxf>
              <font>
                <color rgb="FFFF0000"/>
              </font>
            </x14:dxf>
          </x14:cfRule>
          <xm:sqref>D29:E29</xm:sqref>
        </x14:conditionalFormatting>
        <x14:conditionalFormatting xmlns:xm="http://schemas.microsoft.com/office/excel/2006/main">
          <x14:cfRule type="expression" priority="56" stopIfTrue="1" id="{02FBAA0B-8F7B-4FD1-B870-0DA1B431857B}">
            <xm:f xml:space="preserve"> OR($X$29=+テーブル!A2,$X$29=+テーブル!A4,$X$29=+テーブル!A9,$X$29=+テーブル!A11,$X$29=+テーブル!A12,$X$29=+テーブル!A14,$X$29=+テーブル!A16)</xm:f>
            <x14:dxf>
              <font>
                <color rgb="FFFF0000"/>
              </font>
            </x14:dxf>
          </x14:cfRule>
          <xm:sqref>F29:G29</xm:sqref>
        </x14:conditionalFormatting>
        <x14:conditionalFormatting xmlns:xm="http://schemas.microsoft.com/office/excel/2006/main">
          <x14:cfRule type="expression" priority="55" stopIfTrue="1" id="{8AF9B262-482D-4C22-8121-A9ACB489936C}">
            <xm:f xml:space="preserve"> OR($X$29=+テーブル!A2,$X$29=+テーブル!A3,$X$29=+テーブル!A4,$X$29=+テーブル!A9,$X$29=+テーブル!A10,$X$29=+テーブル!A11,$X$29=+テーブル!A12,$X$29=+テーブル!A13,$X$29=+テーブル!A14,$X$29=+テーブル!A16)</xm:f>
            <x14:dxf>
              <font>
                <color rgb="FFFF0000"/>
              </font>
            </x14:dxf>
          </x14:cfRule>
          <xm:sqref>H29:I29</xm:sqref>
        </x14:conditionalFormatting>
        <x14:conditionalFormatting xmlns:xm="http://schemas.microsoft.com/office/excel/2006/main">
          <x14:cfRule type="expression" priority="54" stopIfTrue="1" id="{352877B7-5649-47A3-8894-0F7F7E63E579}">
            <xm:f xml:space="preserve"> OR($X$30=+テーブル!A2,$X$30=+テーブル!A3,$X$30=+テーブル!A9,$X$30=+テーブル!A10,$X$30=+テーブル!A12,$X$30=+テーブル!A13,$X$30=+テーブル!A16)</xm:f>
            <x14:dxf>
              <font>
                <color rgb="FFFF0000"/>
              </font>
            </x14:dxf>
          </x14:cfRule>
          <xm:sqref>D30:E30</xm:sqref>
        </x14:conditionalFormatting>
        <x14:conditionalFormatting xmlns:xm="http://schemas.microsoft.com/office/excel/2006/main">
          <x14:cfRule type="expression" priority="53" stopIfTrue="1" id="{3B2666E5-8FBC-4583-8D82-D5886D0DF6B3}">
            <xm:f xml:space="preserve"> OR($X$30=+テーブル!A2,$X$30=+テーブル!A4,$X$30=+テーブル!A9,$X$30=+テーブル!A11,$X$30=+テーブル!A12,$X$30=+テーブル!A14,$X$30=+テーブル!A16)</xm:f>
            <x14:dxf>
              <font>
                <color rgb="FFFF0000"/>
              </font>
            </x14:dxf>
          </x14:cfRule>
          <xm:sqref>F30:G30</xm:sqref>
        </x14:conditionalFormatting>
        <x14:conditionalFormatting xmlns:xm="http://schemas.microsoft.com/office/excel/2006/main">
          <x14:cfRule type="expression" priority="52" stopIfTrue="1" id="{F63C2DA4-34D8-489E-B59C-989B3452F6B2}">
            <xm:f xml:space="preserve"> OR($X$30=+テーブル!A2,$X$30=+テーブル!A3,$X$30=+テーブル!A4,$X$30=+テーブル!A9,$X$30=+テーブル!A10,$X$30=+テーブル!A11,$X$30=+テーブル!A12,$X$30=+テーブル!A13,$X$30=+テーブル!A14,$X$30=+テーブル!A16)</xm:f>
            <x14:dxf>
              <font>
                <color rgb="FFFF0000"/>
              </font>
            </x14:dxf>
          </x14:cfRule>
          <xm:sqref>H30:I30</xm:sqref>
        </x14:conditionalFormatting>
        <x14:conditionalFormatting xmlns:xm="http://schemas.microsoft.com/office/excel/2006/main">
          <x14:cfRule type="expression" priority="51" stopIfTrue="1" id="{75F77B41-8980-4221-ADB9-B31B7E800882}">
            <xm:f xml:space="preserve"> OR($X$31=+テーブル!A2,$X$31=+テーブル!A3,$X$31=+テーブル!A9,$X$31=+テーブル!A10,$X$31=+テーブル!A12,$X$31=+テーブル!A13,$X$31=+テーブル!A16)</xm:f>
            <x14:dxf>
              <font>
                <color rgb="FFFF0000"/>
              </font>
            </x14:dxf>
          </x14:cfRule>
          <xm:sqref>D31:E31</xm:sqref>
        </x14:conditionalFormatting>
        <x14:conditionalFormatting xmlns:xm="http://schemas.microsoft.com/office/excel/2006/main">
          <x14:cfRule type="expression" priority="50" stopIfTrue="1" id="{100A02B4-E91A-4771-AACD-F12275796363}">
            <xm:f xml:space="preserve"> OR($X$31=+テーブル!A2,$X$31=+テーブル!A4,$X$31=+テーブル!A9,$X$31=+テーブル!A11,$X$31=+テーブル!A12,$X$31=+テーブル!A14,$X$31=+テーブル!A16)</xm:f>
            <x14:dxf>
              <font>
                <color rgb="FFFF0000"/>
              </font>
            </x14:dxf>
          </x14:cfRule>
          <xm:sqref>F31:G31</xm:sqref>
        </x14:conditionalFormatting>
        <x14:conditionalFormatting xmlns:xm="http://schemas.microsoft.com/office/excel/2006/main">
          <x14:cfRule type="expression" priority="49" stopIfTrue="1" id="{E069E3A9-A5FD-4649-A5DA-3689E9F51A9D}">
            <xm:f xml:space="preserve"> OR($X$31=+テーブル!A2,$X$31=+テーブル!A3,$X$31=+テーブル!A4,$X$31=+テーブル!A9,$X$31=+テーブル!A10,$X$31=+テーブル!A11,$X$31=+テーブル!A12,$X$31=+テーブル!A13,$X$31=+テーブル!A14,$X$31=+テーブル!A16)</xm:f>
            <x14:dxf>
              <font>
                <color rgb="FFFF0000"/>
              </font>
            </x14:dxf>
          </x14:cfRule>
          <xm:sqref>H31:I31</xm:sqref>
        </x14:conditionalFormatting>
        <x14:conditionalFormatting xmlns:xm="http://schemas.microsoft.com/office/excel/2006/main">
          <x14:cfRule type="expression" priority="48" stopIfTrue="1" id="{8EE40A25-61F5-4CE4-909D-B03892076AB9}">
            <xm:f xml:space="preserve"> OR($X$32=+テーブル!A2,$X$32=+テーブル!A3,$X$32=+テーブル!A9,$X$32=+テーブル!A10,$X$32=+テーブル!A12,$X$32=+テーブル!A13,$X$32=+テーブル!A16)</xm:f>
            <x14:dxf>
              <font>
                <color rgb="FFFF0000"/>
              </font>
            </x14:dxf>
          </x14:cfRule>
          <xm:sqref>D32:E32</xm:sqref>
        </x14:conditionalFormatting>
        <x14:conditionalFormatting xmlns:xm="http://schemas.microsoft.com/office/excel/2006/main">
          <x14:cfRule type="expression" priority="47" stopIfTrue="1" id="{E94DF753-8E72-48EF-90BC-482F700E5DF5}">
            <xm:f xml:space="preserve"> OR($X$32=+テーブル!A2,$X$32=+テーブル!A4,$X$32=+テーブル!A9,$X$32=+テーブル!A11,$X$32=+テーブル!A12,$X$32=+テーブル!A14,$X$32=+テーブル!A16)</xm:f>
            <x14:dxf>
              <font>
                <color rgb="FFFF0000"/>
              </font>
            </x14:dxf>
          </x14:cfRule>
          <xm:sqref>F32:G32</xm:sqref>
        </x14:conditionalFormatting>
        <x14:conditionalFormatting xmlns:xm="http://schemas.microsoft.com/office/excel/2006/main">
          <x14:cfRule type="expression" priority="46" stopIfTrue="1" id="{28613675-D9CE-43BD-BD2C-E0B041FAF714}">
            <xm:f xml:space="preserve"> OR($X$32=+テーブル!A2,$X$32=+テーブル!A3,$X$32=+テーブル!A4,$X$32=+テーブル!A9,$X$32=+テーブル!A10,$X$32=+テーブル!A11,$X$32=+テーブル!A12,$X$32=+テーブル!A13,$X$32=+テーブル!A14,$X$32=+テーブル!A16)</xm:f>
            <x14:dxf>
              <font>
                <color rgb="FFFF0000"/>
              </font>
            </x14:dxf>
          </x14:cfRule>
          <xm:sqref>H32:I32</xm:sqref>
        </x14:conditionalFormatting>
        <x14:conditionalFormatting xmlns:xm="http://schemas.microsoft.com/office/excel/2006/main">
          <x14:cfRule type="expression" priority="45" stopIfTrue="1" id="{6F0E2DBF-FCF0-4991-BD37-2FFF24505B9A}">
            <xm:f xml:space="preserve"> OR($X$33=+テーブル!A2,$X$33=+テーブル!A3,$X$33=+テーブル!A9,$X$33=+テーブル!A10,$X$33=+テーブル!A12,$X$33=+テーブル!A13,$X$33=+テーブル!A16)</xm:f>
            <x14:dxf>
              <font>
                <color rgb="FFFF0000"/>
              </font>
            </x14:dxf>
          </x14:cfRule>
          <xm:sqref>D33:E33</xm:sqref>
        </x14:conditionalFormatting>
        <x14:conditionalFormatting xmlns:xm="http://schemas.microsoft.com/office/excel/2006/main">
          <x14:cfRule type="expression" priority="44" stopIfTrue="1" id="{527ABE51-C0E9-461D-B309-6910D245F55B}">
            <xm:f xml:space="preserve"> OR($X$33=+テーブル!A2,$X$33=+テーブル!A4,$X$33=+テーブル!A9,$X$33=+テーブル!A11,$X$33=+テーブル!A12,$X$33=+テーブル!A14,$X$33=+テーブル!A16)</xm:f>
            <x14:dxf>
              <font>
                <color rgb="FFFF0000"/>
              </font>
            </x14:dxf>
          </x14:cfRule>
          <xm:sqref>F33:G33</xm:sqref>
        </x14:conditionalFormatting>
        <x14:conditionalFormatting xmlns:xm="http://schemas.microsoft.com/office/excel/2006/main">
          <x14:cfRule type="expression" priority="43" stopIfTrue="1" id="{482A2114-648A-4A78-A8A3-15E069AA60EB}">
            <xm:f xml:space="preserve"> OR($X$33=+テーブル!A2,$X$33=+テーブル!A3,$X$33=+テーブル!A4,$X$33=+テーブル!A9,$X$33=+テーブル!A10,$X$33=+テーブル!A11,$X$33=+テーブル!A12,$X$33=+テーブル!A13,$X$33=+テーブル!A14,$X$33=+テーブル!A16)</xm:f>
            <x14:dxf>
              <font>
                <color rgb="FFFF0000"/>
              </font>
            </x14:dxf>
          </x14:cfRule>
          <xm:sqref>H33:I33</xm:sqref>
        </x14:conditionalFormatting>
        <x14:conditionalFormatting xmlns:xm="http://schemas.microsoft.com/office/excel/2006/main">
          <x14:cfRule type="expression" priority="42" stopIfTrue="1" id="{43B8D329-2D8E-44D4-9732-F9093F605015}">
            <xm:f xml:space="preserve"> OR($X$34=+テーブル!A2,$X$34=+テーブル!A3,$X$34=+テーブル!A9,$X$34=+テーブル!A10,$X$34=+テーブル!A12,$X$34=+テーブル!A13,$X$34=+テーブル!A16)</xm:f>
            <x14:dxf>
              <font>
                <color rgb="FFFF0000"/>
              </font>
            </x14:dxf>
          </x14:cfRule>
          <xm:sqref>D34:E34</xm:sqref>
        </x14:conditionalFormatting>
        <x14:conditionalFormatting xmlns:xm="http://schemas.microsoft.com/office/excel/2006/main">
          <x14:cfRule type="expression" priority="41" stopIfTrue="1" id="{646DC932-72E1-48F0-9890-F57A00233F89}">
            <xm:f xml:space="preserve"> OR($X$34=+テーブル!A2,$X$34=+テーブル!A4,$X$34=+テーブル!A9,$X$34=+テーブル!A11,$X$34=+テーブル!A12,$X$34=+テーブル!A14,$X$34=+テーブル!A16)</xm:f>
            <x14:dxf>
              <font>
                <color rgb="FFFF0000"/>
              </font>
            </x14:dxf>
          </x14:cfRule>
          <xm:sqref>F34:G34</xm:sqref>
        </x14:conditionalFormatting>
        <x14:conditionalFormatting xmlns:xm="http://schemas.microsoft.com/office/excel/2006/main">
          <x14:cfRule type="expression" priority="40" stopIfTrue="1" id="{415729C0-18BF-4475-9FF3-A71FDE062914}">
            <xm:f xml:space="preserve"> OR($X$34=+テーブル!A2,$X$34=+テーブル!A3,$X$34=+テーブル!A4,$X$34=+テーブル!A9,$X$34=+テーブル!A10,$X$34=+テーブル!A11,$X$34=+テーブル!A12,$X$34=+テーブル!A13,$X$34=+テーブル!A14,$X$34=+テーブル!A16)</xm:f>
            <x14:dxf>
              <font>
                <color rgb="FFFF0000"/>
              </font>
            </x14:dxf>
          </x14:cfRule>
          <xm:sqref>H34:I34</xm:sqref>
        </x14:conditionalFormatting>
        <x14:conditionalFormatting xmlns:xm="http://schemas.microsoft.com/office/excel/2006/main">
          <x14:cfRule type="expression" priority="39" stopIfTrue="1" id="{F8D519D7-C9B9-4366-98EB-37999E8C8936}">
            <xm:f xml:space="preserve"> OR($X$35=+テーブル!A2,$X$35=+テーブル!A3,$X$35=+テーブル!A9,$X$35=+テーブル!A10,$X$35=+テーブル!A12,$X$35=+テーブル!A13,$X$35=+テーブル!A16)</xm:f>
            <x14:dxf>
              <font>
                <color rgb="FFFF0000"/>
              </font>
            </x14:dxf>
          </x14:cfRule>
          <xm:sqref>D35:E35</xm:sqref>
        </x14:conditionalFormatting>
        <x14:conditionalFormatting xmlns:xm="http://schemas.microsoft.com/office/excel/2006/main">
          <x14:cfRule type="expression" priority="38" stopIfTrue="1" id="{3BD2EF2F-C4AA-4541-8FA6-CE90143B455D}">
            <xm:f xml:space="preserve"> OR($X$35=+テーブル!A2,$X$35=+テーブル!A4,$X$35=+テーブル!A9,$X$35=+テーブル!A11,$X$35=+テーブル!A12,$X$35=+テーブル!A14,$X$35=+テーブル!A16)</xm:f>
            <x14:dxf>
              <font>
                <color rgb="FFFF0000"/>
              </font>
            </x14:dxf>
          </x14:cfRule>
          <xm:sqref>F35:G35</xm:sqref>
        </x14:conditionalFormatting>
        <x14:conditionalFormatting xmlns:xm="http://schemas.microsoft.com/office/excel/2006/main">
          <x14:cfRule type="expression" priority="37" stopIfTrue="1" id="{74F03CD0-DD2C-4894-AF02-E6A91112B227}">
            <xm:f xml:space="preserve"> OR($X$35=+テーブル!A2,$X$35=+テーブル!A3,$X$35=+テーブル!A4,$X$35=+テーブル!A9,$X$35=+テーブル!A10,$X$35=+テーブル!A11,$X$35=+テーブル!A12,$X$35=+テーブル!A13,$X$35=+テーブル!A14,$X$35=+テーブル!A16)</xm:f>
            <x14:dxf>
              <font>
                <color rgb="FFFF0000"/>
              </font>
            </x14:dxf>
          </x14:cfRule>
          <xm:sqref>H35:I35</xm:sqref>
        </x14:conditionalFormatting>
        <x14:conditionalFormatting xmlns:xm="http://schemas.microsoft.com/office/excel/2006/main">
          <x14:cfRule type="expression" priority="36" stopIfTrue="1" id="{1A93F10A-22A0-419A-97D7-FCCBF9726C56}">
            <xm:f xml:space="preserve"> OR($X$36=+テーブル!A2,$X$36=+テーブル!A3,$X$36=+テーブル!A9,$X$36=+テーブル!A10,$X$36=+テーブル!A12,$X$36=+テーブル!A13,$X$36=+テーブル!A16)</xm:f>
            <x14:dxf>
              <font>
                <color rgb="FFFF0000"/>
              </font>
            </x14:dxf>
          </x14:cfRule>
          <xm:sqref>D36:E36</xm:sqref>
        </x14:conditionalFormatting>
        <x14:conditionalFormatting xmlns:xm="http://schemas.microsoft.com/office/excel/2006/main">
          <x14:cfRule type="expression" priority="35" stopIfTrue="1" id="{7BF5796D-9595-4A3C-BB1A-A3A0277A1497}">
            <xm:f xml:space="preserve"> OR($X$36=+テーブル!A2,$X$36=+テーブル!A4,$X$36=+テーブル!A9,$X$36=+テーブル!A11,$X$36=+テーブル!A12,$X$36=+テーブル!A14,$X$36=+テーブル!A16)</xm:f>
            <x14:dxf>
              <font>
                <color rgb="FFFF0000"/>
              </font>
            </x14:dxf>
          </x14:cfRule>
          <xm:sqref>F36:G36</xm:sqref>
        </x14:conditionalFormatting>
        <x14:conditionalFormatting xmlns:xm="http://schemas.microsoft.com/office/excel/2006/main">
          <x14:cfRule type="expression" priority="34" stopIfTrue="1" id="{693C956F-0711-4B8F-BEE5-C3D4E71D8B91}">
            <xm:f xml:space="preserve"> OR($X$36=+テーブル!A2,$X$36=+テーブル!A3,$X$36=+テーブル!A4,$X$36=+テーブル!A9,$X$36=+テーブル!A10,$X$36=+テーブル!A11,$X$36=+テーブル!A12,$X$36=+テーブル!A13,$X$36=+テーブル!A14,$X$36=+テーブル!A16)</xm:f>
            <x14:dxf>
              <font>
                <color rgb="FFFF0000"/>
              </font>
            </x14:dxf>
          </x14:cfRule>
          <xm:sqref>H36:I36</xm:sqref>
        </x14:conditionalFormatting>
        <x14:conditionalFormatting xmlns:xm="http://schemas.microsoft.com/office/excel/2006/main">
          <x14:cfRule type="expression" priority="33" stopIfTrue="1" id="{59A6E7D5-29C5-4775-86B9-172EAF721A59}">
            <xm:f xml:space="preserve"> OR($X$37=+テーブル!A2,$X$37=+テーブル!A3,$X$37=+テーブル!A9,$X$37=+テーブル!A10,$X$37=+テーブル!A12,$X$37=+テーブル!A13,$X$37=+テーブル!A16)</xm:f>
            <x14:dxf>
              <font>
                <color rgb="FFFF0000"/>
              </font>
            </x14:dxf>
          </x14:cfRule>
          <xm:sqref>D37:E37</xm:sqref>
        </x14:conditionalFormatting>
        <x14:conditionalFormatting xmlns:xm="http://schemas.microsoft.com/office/excel/2006/main">
          <x14:cfRule type="expression" priority="32" stopIfTrue="1" id="{012C25B9-AC25-42E9-A637-087CBD79A62A}">
            <xm:f xml:space="preserve"> OR($X$37=+テーブル!A2,$X$37=+テーブル!A4,$X$37=+テーブル!A9,$X$37=+テーブル!A11,$X$37=+テーブル!A12,$X$37=+テーブル!A14,$X$37=+テーブル!A16)</xm:f>
            <x14:dxf>
              <font>
                <color rgb="FFFF0000"/>
              </font>
            </x14:dxf>
          </x14:cfRule>
          <xm:sqref>F37:G37</xm:sqref>
        </x14:conditionalFormatting>
        <x14:conditionalFormatting xmlns:xm="http://schemas.microsoft.com/office/excel/2006/main">
          <x14:cfRule type="expression" priority="31" stopIfTrue="1" id="{AEAD8664-5377-4124-9A66-DE6F4FCFDE17}">
            <xm:f xml:space="preserve"> OR($X$37=+テーブル!A2,$X$37=+テーブル!A3,$X$37=+テーブル!A4,$X$37=+テーブル!A9,$X$37=+テーブル!A10,$X$37=+テーブル!A11,$X$37=+テーブル!A12,$X$37=+テーブル!A13,$X$37=+テーブル!A14,$X$37=+テーブル!A16)</xm:f>
            <x14:dxf>
              <font>
                <color rgb="FFFF0000"/>
              </font>
            </x14:dxf>
          </x14:cfRule>
          <xm:sqref>H37:I37</xm:sqref>
        </x14:conditionalFormatting>
        <x14:conditionalFormatting xmlns:xm="http://schemas.microsoft.com/office/excel/2006/main">
          <x14:cfRule type="expression" priority="30" stopIfTrue="1" id="{DCD6AD67-8D70-4EE8-A2F6-BF90B05BE475}">
            <xm:f xml:space="preserve"> OR($X$38=+テーブル!A2,$X$38=+テーブル!A3,$X$38=+テーブル!A9,$X$38=+テーブル!A10,$X$38=+テーブル!A12,$X$38=+テーブル!A13,$X$38=+テーブル!A16)</xm:f>
            <x14:dxf>
              <font>
                <color rgb="FFFF0000"/>
              </font>
            </x14:dxf>
          </x14:cfRule>
          <xm:sqref>D38:E38</xm:sqref>
        </x14:conditionalFormatting>
        <x14:conditionalFormatting xmlns:xm="http://schemas.microsoft.com/office/excel/2006/main">
          <x14:cfRule type="expression" priority="29" stopIfTrue="1" id="{05378B64-ACA6-4C18-A447-46268FFD8A3F}">
            <xm:f xml:space="preserve"> OR($X$38=+テーブル!A2,$X$38=+テーブル!A4,$X$38=+テーブル!A9,$X$38=+テーブル!A11,$X$38=+テーブル!A12,$X$38=+テーブル!A14,$X$38=+テーブル!A16)</xm:f>
            <x14:dxf>
              <font>
                <color rgb="FFFF0000"/>
              </font>
            </x14:dxf>
          </x14:cfRule>
          <xm:sqref>F38:G38</xm:sqref>
        </x14:conditionalFormatting>
        <x14:conditionalFormatting xmlns:xm="http://schemas.microsoft.com/office/excel/2006/main">
          <x14:cfRule type="expression" priority="28" stopIfTrue="1" id="{74289EE3-0998-483F-AC1C-708633AA46F2}">
            <xm:f xml:space="preserve"> OR($X$38=+テーブル!A2,$X$38=+テーブル!A3,$X$38=+テーブル!A4,$X$38=+テーブル!A9,$X$38=+テーブル!A10,$X$38=+テーブル!A11,$X$38=+テーブル!A12,$X$38=+テーブル!A13,$X$38=+テーブル!A14,$X$38=+テーブル!A16)</xm:f>
            <x14:dxf>
              <font>
                <color rgb="FFFF0000"/>
              </font>
            </x14:dxf>
          </x14:cfRule>
          <xm:sqref>H38:I38</xm:sqref>
        </x14:conditionalFormatting>
        <x14:conditionalFormatting xmlns:xm="http://schemas.microsoft.com/office/excel/2006/main">
          <x14:cfRule type="expression" priority="27" stopIfTrue="1" id="{1A7A6FF0-5EB4-492E-9B80-1D332DA0BE6B}">
            <xm:f xml:space="preserve"> OR($X$39=+テーブル!A2,$X$39=+テーブル!A3,$X$39=+テーブル!A9,$X$39=+テーブル!A10,$X$39=+テーブル!A12,$X$39=+テーブル!A13,$X$39=+テーブル!A16)</xm:f>
            <x14:dxf>
              <font>
                <color rgb="FFFF0000"/>
              </font>
            </x14:dxf>
          </x14:cfRule>
          <xm:sqref>D39:E39</xm:sqref>
        </x14:conditionalFormatting>
        <x14:conditionalFormatting xmlns:xm="http://schemas.microsoft.com/office/excel/2006/main">
          <x14:cfRule type="expression" priority="26" stopIfTrue="1" id="{0A795A6B-87E8-4D6D-B61E-F16501590991}">
            <xm:f xml:space="preserve"> OR($X$39=+テーブル!A2,$X$39=+テーブル!A4,$X$39=+テーブル!A9,$X$39=+テーブル!A11,$X$39=+テーブル!A12,$X$39=+テーブル!A14,$X$39=+テーブル!A16)</xm:f>
            <x14:dxf>
              <font>
                <color rgb="FFFF0000"/>
              </font>
            </x14:dxf>
          </x14:cfRule>
          <xm:sqref>F39:G39</xm:sqref>
        </x14:conditionalFormatting>
        <x14:conditionalFormatting xmlns:xm="http://schemas.microsoft.com/office/excel/2006/main">
          <x14:cfRule type="expression" priority="25" stopIfTrue="1" id="{ADDA9576-68D6-449D-9F8D-0CBDF65C0DD8}">
            <xm:f xml:space="preserve"> OR($X$39=+テーブル!A2,$X$39=+テーブル!A3,$X$39=+テーブル!A4,$X$39=+テーブル!A9,$X$39=+テーブル!A10,$X$39=+テーブル!A11,$X$39=+テーブル!A12,$X$39=+テーブル!A13,$X$39=+テーブル!A14,$X$39=+テーブル!A16)</xm:f>
            <x14:dxf>
              <font>
                <color rgb="FFFF0000"/>
              </font>
            </x14:dxf>
          </x14:cfRule>
          <xm:sqref>H39:I39</xm:sqref>
        </x14:conditionalFormatting>
        <x14:conditionalFormatting xmlns:xm="http://schemas.microsoft.com/office/excel/2006/main">
          <x14:cfRule type="expression" priority="24" stopIfTrue="1" id="{D39C4070-B2C5-4ED6-A706-92B58E6C2733}">
            <xm:f xml:space="preserve"> OR($X$40=+テーブル!A2,$X$40=+テーブル!A3,$X$40=+テーブル!A9,$X$40=+テーブル!A10,$X$40=+テーブル!A12,$X$40=+テーブル!A13,$X$40=+テーブル!A16)</xm:f>
            <x14:dxf>
              <font>
                <color rgb="FFFF0000"/>
              </font>
            </x14:dxf>
          </x14:cfRule>
          <xm:sqref>D40:E40</xm:sqref>
        </x14:conditionalFormatting>
        <x14:conditionalFormatting xmlns:xm="http://schemas.microsoft.com/office/excel/2006/main">
          <x14:cfRule type="expression" priority="23" stopIfTrue="1" id="{8F1BBB6D-0670-4D86-9F8D-E22F047B6FD5}">
            <xm:f xml:space="preserve"> OR($X$40=+テーブル!A2,$X$40=+テーブル!A4,$X$40=+テーブル!A9,$X$40=+テーブル!A11,$X$40=+テーブル!A12,$X$40=+テーブル!A14,$X$40=+テーブル!A16)</xm:f>
            <x14:dxf>
              <font>
                <color rgb="FFFF0000"/>
              </font>
            </x14:dxf>
          </x14:cfRule>
          <xm:sqref>F40:G40</xm:sqref>
        </x14:conditionalFormatting>
        <x14:conditionalFormatting xmlns:xm="http://schemas.microsoft.com/office/excel/2006/main">
          <x14:cfRule type="expression" priority="22" stopIfTrue="1" id="{4A62A7E0-2C41-4038-9D87-A20450B26E0D}">
            <xm:f xml:space="preserve"> OR($X$40=+テーブル!A2,$X$40=+テーブル!A3,$X$40=+テーブル!A4,$X$40=+テーブル!A9,$X$40=+テーブル!A10,$X$40=+テーブル!A11,$X$40=+テーブル!A12,$X$40=+テーブル!A13,$X$40=+テーブル!A14,$X$40=+テーブル!A16)</xm:f>
            <x14:dxf>
              <font>
                <color rgb="FFFF0000"/>
              </font>
            </x14:dxf>
          </x14:cfRule>
          <xm:sqref>H40:I40</xm:sqref>
        </x14:conditionalFormatting>
        <x14:conditionalFormatting xmlns:xm="http://schemas.microsoft.com/office/excel/2006/main">
          <x14:cfRule type="expression" priority="21" stopIfTrue="1" id="{C6FCCB33-E084-4916-B5CE-828A0C77ADC0}">
            <xm:f xml:space="preserve"> OR($X$41=+テーブル!A2,$X$41=+テーブル!A3,$X$41=+テーブル!A9,$X$41=+テーブル!A10,$X$41=+テーブル!A12,$X$41=+テーブル!A13,$X$41=+テーブル!A16)</xm:f>
            <x14:dxf>
              <font>
                <color rgb="FFFF0000"/>
              </font>
            </x14:dxf>
          </x14:cfRule>
          <xm:sqref>D41:E41</xm:sqref>
        </x14:conditionalFormatting>
        <x14:conditionalFormatting xmlns:xm="http://schemas.microsoft.com/office/excel/2006/main">
          <x14:cfRule type="expression" priority="20" stopIfTrue="1" id="{79B9E655-85EB-40BF-90C5-F04CE63EC267}">
            <xm:f xml:space="preserve"> OR($X$41=+テーブル!A2,$X$41=+テーブル!A4,$X$41=+テーブル!A9,$X$41=+テーブル!A11,$X$41=+テーブル!A12,$X$41=+テーブル!A14,$X$41=+テーブル!A16)</xm:f>
            <x14:dxf>
              <font>
                <color rgb="FFFF0000"/>
              </font>
            </x14:dxf>
          </x14:cfRule>
          <xm:sqref>F41:G41</xm:sqref>
        </x14:conditionalFormatting>
        <x14:conditionalFormatting xmlns:xm="http://schemas.microsoft.com/office/excel/2006/main">
          <x14:cfRule type="expression" priority="19" stopIfTrue="1" id="{7483CEC8-BDBA-44E5-9FAE-A6B471B09D07}">
            <xm:f xml:space="preserve"> OR($X$41=+テーブル!A2,$X$41=+テーブル!A3,$X$41=+テーブル!A4,$X$41=+テーブル!A9,$X$41=+テーブル!A10,$X$41=+テーブル!A11,$X$41=+テーブル!A12,$X$41=+テーブル!A13,$X$41=+テーブル!A14,$X$41=+テーブル!A16)</xm:f>
            <x14:dxf>
              <font>
                <color rgb="FFFF0000"/>
              </font>
            </x14:dxf>
          </x14:cfRule>
          <xm:sqref>H41:I41</xm:sqref>
        </x14:conditionalFormatting>
        <x14:conditionalFormatting xmlns:xm="http://schemas.microsoft.com/office/excel/2006/main">
          <x14:cfRule type="expression" priority="18" stopIfTrue="1" id="{CD5B1BAE-4EE8-4C0D-9B64-1EF8B796856E}">
            <xm:f xml:space="preserve"> OR($X$42=+テーブル!A2,$X$42=+テーブル!A3,$X$42=+テーブル!A9,$X$42=+テーブル!A10,$X$42=+テーブル!A12,$X$42=+テーブル!A13,$X$42=+テーブル!A16)</xm:f>
            <x14:dxf>
              <font>
                <color rgb="FFFF0000"/>
              </font>
            </x14:dxf>
          </x14:cfRule>
          <xm:sqref>D42:E42</xm:sqref>
        </x14:conditionalFormatting>
        <x14:conditionalFormatting xmlns:xm="http://schemas.microsoft.com/office/excel/2006/main">
          <x14:cfRule type="expression" priority="17" stopIfTrue="1" id="{B54EC969-1521-4157-BC47-906C8F3ACDD8}">
            <xm:f xml:space="preserve"> OR($X$42=+テーブル!A2,$X$42=+テーブル!A4,$X$42=+テーブル!A9,$X$42=+テーブル!A11,$X$42=+テーブル!A12,$X$42=+テーブル!A14,$X$42=+テーブル!A16)</xm:f>
            <x14:dxf>
              <font>
                <color rgb="FFFF0000"/>
              </font>
            </x14:dxf>
          </x14:cfRule>
          <xm:sqref>F42:G42</xm:sqref>
        </x14:conditionalFormatting>
        <x14:conditionalFormatting xmlns:xm="http://schemas.microsoft.com/office/excel/2006/main">
          <x14:cfRule type="expression" priority="16" stopIfTrue="1" id="{1853771A-B3FF-4819-B281-A1E01C0C5802}">
            <xm:f xml:space="preserve"> OR($X$42=+テーブル!A2,$X$42=+テーブル!A3,$X$42=+テーブル!A4,$X$42=+テーブル!A9,$X$42=+テーブル!A10,$X$42=+テーブル!A11,$X$42=+テーブル!A12,$X$42=+テーブル!A13,$X$42=+テーブル!A14,$X$42=+テーブル!A16)</xm:f>
            <x14:dxf>
              <font>
                <color rgb="FFFF0000"/>
              </font>
            </x14:dxf>
          </x14:cfRule>
          <xm:sqref>H42:I42</xm:sqref>
        </x14:conditionalFormatting>
        <x14:conditionalFormatting xmlns:xm="http://schemas.microsoft.com/office/excel/2006/main">
          <x14:cfRule type="expression" priority="15" stopIfTrue="1" id="{7850E0B7-C98E-46D4-A34E-2F893A18EDC1}">
            <xm:f xml:space="preserve"> OR($X$43=+テーブル!A2,$X$43=+テーブル!A3,$X$43=+テーブル!A9,$X$43=+テーブル!A10,$X$43=+テーブル!A12,$X$43=+テーブル!A13,$X$43=+テーブル!A16)</xm:f>
            <x14:dxf>
              <font>
                <color rgb="FFFF0000"/>
              </font>
            </x14:dxf>
          </x14:cfRule>
          <xm:sqref>D43:E43</xm:sqref>
        </x14:conditionalFormatting>
        <x14:conditionalFormatting xmlns:xm="http://schemas.microsoft.com/office/excel/2006/main">
          <x14:cfRule type="expression" priority="14" stopIfTrue="1" id="{A315A526-949C-48E3-BDB7-141E607820BE}">
            <xm:f xml:space="preserve"> OR($X$43=+テーブル!A2,$X$43=+テーブル!A4,$X$43=+テーブル!A9,$X$43=+テーブル!A11,$X$43=+テーブル!A12,$X$43=+テーブル!A14,$X$43=+テーブル!A16)</xm:f>
            <x14:dxf>
              <font>
                <color rgb="FFFF0000"/>
              </font>
            </x14:dxf>
          </x14:cfRule>
          <xm:sqref>F43:G43</xm:sqref>
        </x14:conditionalFormatting>
        <x14:conditionalFormatting xmlns:xm="http://schemas.microsoft.com/office/excel/2006/main">
          <x14:cfRule type="expression" priority="13" stopIfTrue="1" id="{DE55E09D-B52D-41AD-98A8-F93C0C114828}">
            <xm:f xml:space="preserve"> OR($X$43=+テーブル!A2,$X$43=+テーブル!A3,$X$43=+テーブル!A4,$X$43=+テーブル!A9,$X$43=+テーブル!A10,$X$43=+テーブル!A11,$X$43=+テーブル!A12,$X$43=+テーブル!A13,$X$43=+テーブル!A14,$X$43=+テーブル!A16)</xm:f>
            <x14:dxf>
              <font>
                <color rgb="FFFF0000"/>
              </font>
            </x14:dxf>
          </x14:cfRule>
          <xm:sqref>H43:I43</xm:sqref>
        </x14:conditionalFormatting>
        <x14:conditionalFormatting xmlns:xm="http://schemas.microsoft.com/office/excel/2006/main">
          <x14:cfRule type="expression" priority="12" stopIfTrue="1" id="{4E01580D-8C9C-47BB-8C9D-8BF3654D80DB}">
            <xm:f xml:space="preserve"> OR($X$44=+テーブル!A2,$X$44=+テーブル!A3,$X$44=+テーブル!A9,$X$44=+テーブル!A10,$X$44=+テーブル!A12,$X$44=+テーブル!A13,$X$44=+テーブル!A16)</xm:f>
            <x14:dxf>
              <font>
                <color rgb="FFFF0000"/>
              </font>
            </x14:dxf>
          </x14:cfRule>
          <xm:sqref>D44:E44</xm:sqref>
        </x14:conditionalFormatting>
        <x14:conditionalFormatting xmlns:xm="http://schemas.microsoft.com/office/excel/2006/main">
          <x14:cfRule type="expression" priority="11" stopIfTrue="1" id="{85F8A775-C349-43DA-B6BB-D987DDE12243}">
            <xm:f xml:space="preserve"> OR($X$44=+テーブル!A2,$X$44=+テーブル!A4,$X$44=+テーブル!A9,$X$44=+テーブル!A11,$X$44=+テーブル!A12,$X$44=+テーブル!A14,$X$44=+テーブル!A16)</xm:f>
            <x14:dxf>
              <font>
                <color rgb="FFFF0000"/>
              </font>
            </x14:dxf>
          </x14:cfRule>
          <xm:sqref>F44:G44</xm:sqref>
        </x14:conditionalFormatting>
        <x14:conditionalFormatting xmlns:xm="http://schemas.microsoft.com/office/excel/2006/main">
          <x14:cfRule type="expression" priority="10" stopIfTrue="1" id="{7D4E779E-E6E0-4343-9487-AE2F4C8EC06B}">
            <xm:f xml:space="preserve"> OR($X$44=+テーブル!A2,$X$44=+テーブル!A3,$X$44=+テーブル!A4,$X$44=+テーブル!A9,$X$44=+テーブル!A10,$X$44=+テーブル!A11,$X$44=+テーブル!A12,$X$44=+テーブル!A13,$X$44=+テーブル!A14,$X$44=+テーブル!A16)</xm:f>
            <x14:dxf>
              <font>
                <color rgb="FFFF0000"/>
              </font>
            </x14:dxf>
          </x14:cfRule>
          <xm:sqref>H44:I44</xm:sqref>
        </x14:conditionalFormatting>
        <x14:conditionalFormatting xmlns:xm="http://schemas.microsoft.com/office/excel/2006/main">
          <x14:cfRule type="expression" priority="9" stopIfTrue="1" id="{536E9585-B85F-4B3B-877A-9D4816112BAC}">
            <xm:f xml:space="preserve"> OR($X$45=+テーブル!A2,$X$45=+テーブル!A3,$X$45=+テーブル!A9,$X$45=+テーブル!A10,$X$45=+テーブル!A12,$X$45=+テーブル!A13,$X$45=+テーブル!A16)</xm:f>
            <x14:dxf>
              <font>
                <color rgb="FFFF0000"/>
              </font>
            </x14:dxf>
          </x14:cfRule>
          <xm:sqref>D45:E45</xm:sqref>
        </x14:conditionalFormatting>
        <x14:conditionalFormatting xmlns:xm="http://schemas.microsoft.com/office/excel/2006/main">
          <x14:cfRule type="expression" priority="8" stopIfTrue="1" id="{8E90BF4C-F6A9-4EF5-A626-7981CEEECE94}">
            <xm:f xml:space="preserve"> OR($X$45=+テーブル!A2,$X$45=+テーブル!A4,$X$45=+テーブル!A9,$X$45=+テーブル!A11,$X$45=+テーブル!A12,$X$45=+テーブル!A14,$X$45=+テーブル!A16)</xm:f>
            <x14:dxf>
              <font>
                <color rgb="FFFF0000"/>
              </font>
            </x14:dxf>
          </x14:cfRule>
          <xm:sqref>F45:G45</xm:sqref>
        </x14:conditionalFormatting>
        <x14:conditionalFormatting xmlns:xm="http://schemas.microsoft.com/office/excel/2006/main">
          <x14:cfRule type="expression" priority="7" stopIfTrue="1" id="{55784EB1-68FF-4322-BBE2-17E68D6DEFCC}">
            <xm:f xml:space="preserve"> OR($X$45=+テーブル!A2,$X$45=+テーブル!A3,$X$45=+テーブル!A4,$X$45=+テーブル!A9,$X$45=+テーブル!A10,$X$45=+テーブル!A11,$X$45=+テーブル!A12,$X$45=+テーブル!A13,$X$45=+テーブル!A14,$X$45=+テーブル!A16)</xm:f>
            <x14:dxf>
              <font>
                <color rgb="FFFF0000"/>
              </font>
            </x14:dxf>
          </x14:cfRule>
          <xm:sqref>H45:I45</xm:sqref>
        </x14:conditionalFormatting>
        <x14:conditionalFormatting xmlns:xm="http://schemas.microsoft.com/office/excel/2006/main">
          <x14:cfRule type="expression" priority="6" stopIfTrue="1" id="{EC543018-E73E-4F25-BBF1-96A003B1BF68}">
            <xm:f xml:space="preserve"> OR($X$46=+テーブル!A2,$X$46=+テーブル!A3,$X$46=+テーブル!A9,$X$46=+テーブル!A10,$X$46=+テーブル!A12,$X$46=+テーブル!A13,$X$46=+テーブル!A16)</xm:f>
            <x14:dxf>
              <font>
                <color rgb="FFFF0000"/>
              </font>
            </x14:dxf>
          </x14:cfRule>
          <xm:sqref>D46:E46</xm:sqref>
        </x14:conditionalFormatting>
        <x14:conditionalFormatting xmlns:xm="http://schemas.microsoft.com/office/excel/2006/main">
          <x14:cfRule type="expression" priority="5" stopIfTrue="1" id="{1440F133-EDCC-4416-BCCB-16C0753BD170}">
            <xm:f xml:space="preserve"> OR($X$46=+テーブル!A2,$X$46=+テーブル!A4,$X$46=+テーブル!A9,$X$46=+テーブル!A11,$X$46=+テーブル!A12,$X$46=+テーブル!A14,$X$46=+テーブル!A16)</xm:f>
            <x14:dxf>
              <font>
                <color rgb="FFFF0000"/>
              </font>
            </x14:dxf>
          </x14:cfRule>
          <xm:sqref>F46:G46</xm:sqref>
        </x14:conditionalFormatting>
        <x14:conditionalFormatting xmlns:xm="http://schemas.microsoft.com/office/excel/2006/main">
          <x14:cfRule type="expression" priority="4" stopIfTrue="1" id="{75EAD9AC-BABE-43C8-A877-982DAC3D41A7}">
            <xm:f xml:space="preserve"> OR($X$46=+テーブル!A2,$X$46=+テーブル!A3,$X$46=+テーブル!A4,$X$46=+テーブル!A9,$X$46=+テーブル!A10,$X$46=+テーブル!A11,$X$46=+テーブル!A12,$X$46=+テーブル!A13,$X$46=+テーブル!A14,$X$46=+テーブル!A16)</xm:f>
            <x14:dxf>
              <font>
                <color rgb="FFFF0000"/>
              </font>
            </x14:dxf>
          </x14:cfRule>
          <xm:sqref>H46:I46</xm:sqref>
        </x14:conditionalFormatting>
        <x14:conditionalFormatting xmlns:xm="http://schemas.microsoft.com/office/excel/2006/main">
          <x14:cfRule type="expression" priority="3" stopIfTrue="1" id="{C8F15FF4-633C-4CBE-8099-DAA006EAA713}">
            <xm:f xml:space="preserve"> OR($X$47=+テーブル!A2,$X$47=+テーブル!A3,$X$47=+テーブル!A9,$X$47=+テーブル!A10,$X$47=+テーブル!A12,$X$47=+テーブル!A13,$X$47=+テーブル!A16)</xm:f>
            <x14:dxf>
              <font>
                <color rgb="FFFF0000"/>
              </font>
            </x14:dxf>
          </x14:cfRule>
          <xm:sqref>D47:E47</xm:sqref>
        </x14:conditionalFormatting>
        <x14:conditionalFormatting xmlns:xm="http://schemas.microsoft.com/office/excel/2006/main">
          <x14:cfRule type="expression" priority="2" stopIfTrue="1" id="{720EAF87-CC04-45A9-B9FE-132F39DDDBAA}">
            <xm:f xml:space="preserve"> OR($X$47=+テーブル!A2,$X$47=+テーブル!A4,$X$47=+テーブル!A9,$X$47=+テーブル!A11,$X$47=+テーブル!A12,$X$47=+テーブル!A14,$X$47=+テーブル!A16)</xm:f>
            <x14:dxf>
              <font>
                <color rgb="FFFF0000"/>
              </font>
            </x14:dxf>
          </x14:cfRule>
          <xm:sqref>F47:G47</xm:sqref>
        </x14:conditionalFormatting>
        <x14:conditionalFormatting xmlns:xm="http://schemas.microsoft.com/office/excel/2006/main">
          <x14:cfRule type="expression" priority="1" stopIfTrue="1" id="{C970ECB4-F42C-4165-B030-D370B927B121}">
            <xm:f xml:space="preserve"> OR($X$47=+テーブル!A2,$X$47=+テーブル!A3,$X$47=+テーブル!A4,$X$47=+テーブル!A9,$X$47=+テーブル!A10,$X$47=+テーブル!A11,$X$47=+テーブル!A12,$X$47=+テーブル!A13,$X$47=+テーブル!A14,$X$47=+テーブル!A16)</xm:f>
            <x14:dxf>
              <font>
                <color rgb="FFFF0000"/>
              </font>
            </x14:dxf>
          </x14:cfRule>
          <xm:sqref>H47:I47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555C441-56E1-4864-B96B-9CFC607A45D4}">
          <x14:formula1>
            <xm:f>テーブル!$Q:$Q</xm:f>
          </x14:formula1>
          <xm:sqref>D62:I64</xm:sqref>
        </x14:dataValidation>
        <x14:dataValidation type="list" allowBlank="1" showInputMessage="1" showErrorMessage="1" xr:uid="{7A8D93DE-7B82-46E1-8DBE-F3BB81870B48}">
          <x14:formula1>
            <xm:f>テーブル!$P:$P</xm:f>
          </x14:formula1>
          <xm:sqref>D61:I61</xm:sqref>
        </x14:dataValidation>
        <x14:dataValidation type="list" allowBlank="1" showInputMessage="1" showErrorMessage="1" xr:uid="{68645147-C1A8-4724-8D93-6F6A5A8159DC}">
          <x14:formula1>
            <xm:f>テーブル!$B:$B</xm:f>
          </x14:formula1>
          <xm:sqref>P57:W57</xm:sqref>
        </x14:dataValidation>
        <x14:dataValidation type="list" allowBlank="1" showInputMessage="1" showErrorMessage="1" xr:uid="{7653D2DC-9EF4-4304-AC1B-208C5D63CD17}">
          <x14:formula1>
            <xm:f>テーブル!$A:$A</xm:f>
          </x14:formula1>
          <xm:sqref>X17:Z47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1B8C4-8638-4E0F-8FF5-D025CC7F0694}">
  <sheetPr codeName="Sheet31">
    <pageSetUpPr fitToPage="1"/>
  </sheetPr>
  <dimension ref="A1:AH83"/>
  <sheetViews>
    <sheetView view="pageBreakPreview" zoomScaleNormal="130" zoomScaleSheetLayoutView="100" workbookViewId="0">
      <pane ySplit="16" topLeftCell="A17" activePane="bottomLeft" state="frozen"/>
      <selection activeCell="AC46" sqref="AC46"/>
      <selection pane="bottomLeft" activeCell="AC46" sqref="AC46"/>
    </sheetView>
  </sheetViews>
  <sheetFormatPr defaultRowHeight="13" x14ac:dyDescent="0.2"/>
  <cols>
    <col min="1" max="1" width="5.36328125" customWidth="1"/>
    <col min="2" max="7" width="3.6328125" customWidth="1"/>
    <col min="8" max="8" width="4.36328125" customWidth="1"/>
    <col min="9" max="12" width="3.6328125" customWidth="1"/>
    <col min="13" max="15" width="3.90625" customWidth="1"/>
    <col min="16" max="26" width="3.6328125" customWidth="1"/>
    <col min="27" max="28" width="10.453125" bestFit="1" customWidth="1"/>
    <col min="257" max="282" width="3.6328125" customWidth="1"/>
    <col min="513" max="538" width="3.6328125" customWidth="1"/>
    <col min="769" max="794" width="3.6328125" customWidth="1"/>
    <col min="1025" max="1050" width="3.6328125" customWidth="1"/>
    <col min="1281" max="1306" width="3.6328125" customWidth="1"/>
    <col min="1537" max="1562" width="3.6328125" customWidth="1"/>
    <col min="1793" max="1818" width="3.6328125" customWidth="1"/>
    <col min="2049" max="2074" width="3.6328125" customWidth="1"/>
    <col min="2305" max="2330" width="3.6328125" customWidth="1"/>
    <col min="2561" max="2586" width="3.6328125" customWidth="1"/>
    <col min="2817" max="2842" width="3.6328125" customWidth="1"/>
    <col min="3073" max="3098" width="3.6328125" customWidth="1"/>
    <col min="3329" max="3354" width="3.6328125" customWidth="1"/>
    <col min="3585" max="3610" width="3.6328125" customWidth="1"/>
    <col min="3841" max="3866" width="3.6328125" customWidth="1"/>
    <col min="4097" max="4122" width="3.6328125" customWidth="1"/>
    <col min="4353" max="4378" width="3.6328125" customWidth="1"/>
    <col min="4609" max="4634" width="3.6328125" customWidth="1"/>
    <col min="4865" max="4890" width="3.6328125" customWidth="1"/>
    <col min="5121" max="5146" width="3.6328125" customWidth="1"/>
    <col min="5377" max="5402" width="3.6328125" customWidth="1"/>
    <col min="5633" max="5658" width="3.6328125" customWidth="1"/>
    <col min="5889" max="5914" width="3.6328125" customWidth="1"/>
    <col min="6145" max="6170" width="3.6328125" customWidth="1"/>
    <col min="6401" max="6426" width="3.6328125" customWidth="1"/>
    <col min="6657" max="6682" width="3.6328125" customWidth="1"/>
    <col min="6913" max="6938" width="3.6328125" customWidth="1"/>
    <col min="7169" max="7194" width="3.6328125" customWidth="1"/>
    <col min="7425" max="7450" width="3.6328125" customWidth="1"/>
    <col min="7681" max="7706" width="3.6328125" customWidth="1"/>
    <col min="7937" max="7962" width="3.6328125" customWidth="1"/>
    <col min="8193" max="8218" width="3.6328125" customWidth="1"/>
    <col min="8449" max="8474" width="3.6328125" customWidth="1"/>
    <col min="8705" max="8730" width="3.6328125" customWidth="1"/>
    <col min="8961" max="8986" width="3.6328125" customWidth="1"/>
    <col min="9217" max="9242" width="3.6328125" customWidth="1"/>
    <col min="9473" max="9498" width="3.6328125" customWidth="1"/>
    <col min="9729" max="9754" width="3.6328125" customWidth="1"/>
    <col min="9985" max="10010" width="3.6328125" customWidth="1"/>
    <col min="10241" max="10266" width="3.6328125" customWidth="1"/>
    <col min="10497" max="10522" width="3.6328125" customWidth="1"/>
    <col min="10753" max="10778" width="3.6328125" customWidth="1"/>
    <col min="11009" max="11034" width="3.6328125" customWidth="1"/>
    <col min="11265" max="11290" width="3.6328125" customWidth="1"/>
    <col min="11521" max="11546" width="3.6328125" customWidth="1"/>
    <col min="11777" max="11802" width="3.6328125" customWidth="1"/>
    <col min="12033" max="12058" width="3.6328125" customWidth="1"/>
    <col min="12289" max="12314" width="3.6328125" customWidth="1"/>
    <col min="12545" max="12570" width="3.6328125" customWidth="1"/>
    <col min="12801" max="12826" width="3.6328125" customWidth="1"/>
    <col min="13057" max="13082" width="3.6328125" customWidth="1"/>
    <col min="13313" max="13338" width="3.6328125" customWidth="1"/>
    <col min="13569" max="13594" width="3.6328125" customWidth="1"/>
    <col min="13825" max="13850" width="3.6328125" customWidth="1"/>
    <col min="14081" max="14106" width="3.6328125" customWidth="1"/>
    <col min="14337" max="14362" width="3.6328125" customWidth="1"/>
    <col min="14593" max="14618" width="3.6328125" customWidth="1"/>
    <col min="14849" max="14874" width="3.6328125" customWidth="1"/>
    <col min="15105" max="15130" width="3.6328125" customWidth="1"/>
    <col min="15361" max="15386" width="3.6328125" customWidth="1"/>
    <col min="15617" max="15642" width="3.6328125" customWidth="1"/>
    <col min="15873" max="15898" width="3.6328125" customWidth="1"/>
    <col min="16129" max="16154" width="3.6328125" customWidth="1"/>
  </cols>
  <sheetData>
    <row r="1" spans="1:32" ht="8" customHeight="1" x14ac:dyDescent="0.2">
      <c r="A1" s="55">
        <v>45413</v>
      </c>
      <c r="B1" s="85">
        <v>45413</v>
      </c>
      <c r="AB1" s="55"/>
      <c r="AC1" s="57"/>
    </row>
    <row r="2" spans="1:32" ht="8" customHeight="1" x14ac:dyDescent="0.2">
      <c r="A2" s="3"/>
      <c r="B2" s="3"/>
      <c r="C2" s="3"/>
      <c r="D2" s="3"/>
      <c r="E2" s="3"/>
      <c r="F2" s="3"/>
      <c r="G2" s="3"/>
      <c r="H2" s="3"/>
      <c r="I2" s="3"/>
      <c r="J2" s="4"/>
      <c r="K2" s="4"/>
      <c r="L2" s="5"/>
      <c r="M2" s="6"/>
      <c r="N2" s="6"/>
      <c r="O2" s="6"/>
      <c r="P2" s="4"/>
      <c r="X2" t="s">
        <v>66</v>
      </c>
      <c r="Y2" s="361">
        <f>LOOKUP(10^10,Ver管理!C3:C33)</f>
        <v>6</v>
      </c>
      <c r="Z2" s="361"/>
    </row>
    <row r="3" spans="1:32" ht="10" customHeight="1" thickBot="1" x14ac:dyDescent="0.25">
      <c r="A3" s="362">
        <f ca="1">+VLOOKUP(AB5,テーブル!L:M,2,0)</f>
        <v>46235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2"/>
      <c r="R3" s="362"/>
      <c r="S3" s="362"/>
      <c r="T3" s="362"/>
      <c r="U3" s="362"/>
      <c r="V3" s="362"/>
      <c r="W3" s="362"/>
      <c r="X3" s="362"/>
      <c r="Y3" s="362"/>
      <c r="Z3" s="362"/>
    </row>
    <row r="4" spans="1:32" ht="10" customHeight="1" x14ac:dyDescent="0.2">
      <c r="A4" s="362"/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B4" s="68"/>
      <c r="AC4" s="69"/>
      <c r="AD4" s="70"/>
    </row>
    <row r="5" spans="1:32" ht="14.15" customHeight="1" x14ac:dyDescent="0.2">
      <c r="A5" s="363" t="s">
        <v>202</v>
      </c>
      <c r="B5" s="363"/>
      <c r="C5" s="363"/>
      <c r="D5" s="363"/>
      <c r="E5" s="364" t="str">
        <f>+'7月'!$E$5</f>
        <v>NMHT　社員</v>
      </c>
      <c r="F5" s="364"/>
      <c r="G5" s="364"/>
      <c r="H5" s="364"/>
      <c r="I5" s="364"/>
      <c r="J5" s="7"/>
      <c r="K5" s="7"/>
      <c r="L5" s="7"/>
      <c r="M5" s="7"/>
      <c r="N5" s="7"/>
      <c r="O5" s="7"/>
      <c r="P5" s="7" t="str">
        <f ca="1">IF(_xlfn.XLOOKUP(当月,テーブル!U:U,テーブル!V:V,0,FALSE)+_xlfn.XLOOKUP(当月,テーブル!U:U,テーブル!W:W,0,FALSE)&lt;&gt;_xlfn.XLOOKUP(AB6,テーブル!U:U,テーブル!V:V,0,FALSE)+_xlfn.XLOOKUP(AB6,テーブル!U:U,テーブル!W:W,0,FALSE),"基給+手当1に前月と差異があります。","")</f>
        <v/>
      </c>
      <c r="Q5" s="7"/>
      <c r="R5" s="8"/>
      <c r="S5" s="8"/>
      <c r="T5" s="8"/>
      <c r="U5" s="8"/>
      <c r="AB5" s="71" t="str" cm="1">
        <f t="array" aca="1" ref="AB5" ca="1">RIGHT(CELL("filename",A1),LEN(CELL("filename",A1))-FIND("]",CELL("filename",A1)))</f>
        <v>8月</v>
      </c>
      <c r="AC5" t="s">
        <v>158</v>
      </c>
      <c r="AD5" s="72"/>
    </row>
    <row r="6" spans="1:32" ht="14.15" customHeight="1" x14ac:dyDescent="0.25">
      <c r="A6" s="366">
        <f>+'7月'!$A$6</f>
        <v>2000002</v>
      </c>
      <c r="B6" s="366"/>
      <c r="C6" s="366"/>
      <c r="D6" s="366"/>
      <c r="E6" s="365"/>
      <c r="F6" s="365"/>
      <c r="G6" s="365"/>
      <c r="H6" s="365"/>
      <c r="I6" s="365"/>
      <c r="J6" s="9" t="s">
        <v>98</v>
      </c>
      <c r="K6" s="108" t="str">
        <f ca="1">HYPERLINK(LEFT(TEXT(CELL("filename",B2),0),SEARCH("\[",TEXT(CELL("filename",B2),0),1)-1)&amp;"\")</f>
        <v>Z:\マクロ保管場所谷津用\2月控除分\</v>
      </c>
      <c r="L6" s="5"/>
      <c r="M6" s="6"/>
      <c r="N6" s="6"/>
      <c r="O6" s="6"/>
      <c r="P6" s="4"/>
      <c r="AB6" s="71" t="str">
        <f ca="1">+IF(SUBSTITUTE(当月,"月","")-1=0,12,SUBSTITUTE(当月,"月","")-1) &amp; "月"</f>
        <v>7月</v>
      </c>
      <c r="AC6" s="74" t="s">
        <v>170</v>
      </c>
      <c r="AD6" s="72"/>
    </row>
    <row r="7" spans="1:32" ht="14.15" customHeight="1" x14ac:dyDescent="0.2">
      <c r="I7" s="3"/>
      <c r="K7" s="11"/>
      <c r="N7" s="368"/>
      <c r="O7" s="368"/>
      <c r="P7" s="367" t="s">
        <v>272</v>
      </c>
      <c r="Q7" s="358"/>
      <c r="R7" s="358"/>
      <c r="S7" s="358"/>
      <c r="T7" s="358"/>
      <c r="U7" s="358"/>
      <c r="V7" s="358"/>
      <c r="W7" s="358"/>
      <c r="X7" s="358"/>
      <c r="Y7" s="358"/>
      <c r="Z7" s="358"/>
      <c r="AB7" s="73"/>
      <c r="AC7" s="56">
        <v>0.91666666666666663</v>
      </c>
      <c r="AD7" s="72"/>
    </row>
    <row r="8" spans="1:32" ht="14.15" hidden="1" customHeight="1" thickBot="1" x14ac:dyDescent="0.25">
      <c r="A8" s="163" t="s">
        <v>99</v>
      </c>
      <c r="B8" s="120"/>
      <c r="C8" s="350" t="str">
        <f>+'7月'!C8</f>
        <v>株式会社エヌエム・ヒューマテック</v>
      </c>
      <c r="D8" s="351"/>
      <c r="E8" s="351"/>
      <c r="F8" s="351"/>
      <c r="G8" s="351"/>
      <c r="H8" s="351"/>
      <c r="I8" s="352"/>
      <c r="J8" s="353"/>
      <c r="K8" s="11"/>
      <c r="L8" s="1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B8" s="75">
        <f ca="1">+IF(給与体系="管理監督者",0,IF(給与体系="月給制",1,2))</f>
        <v>2</v>
      </c>
      <c r="AC8" s="76">
        <v>0.20833333333333334</v>
      </c>
      <c r="AD8" s="77"/>
    </row>
    <row r="9" spans="1:32" ht="14.15" hidden="1" customHeight="1" x14ac:dyDescent="0.2">
      <c r="A9" s="166"/>
      <c r="B9" s="123"/>
      <c r="C9" s="354"/>
      <c r="D9" s="355"/>
      <c r="E9" s="355"/>
      <c r="F9" s="355"/>
      <c r="G9" s="355"/>
      <c r="H9" s="355"/>
      <c r="I9" s="356"/>
      <c r="J9" s="357"/>
      <c r="K9" s="13"/>
      <c r="P9" s="53"/>
      <c r="Q9" s="54" t="s">
        <v>269</v>
      </c>
      <c r="R9" s="52"/>
      <c r="S9" s="52"/>
      <c r="T9" s="358" t="s">
        <v>270</v>
      </c>
      <c r="U9" s="358"/>
      <c r="V9" s="358"/>
      <c r="W9" s="358"/>
      <c r="X9" s="358"/>
      <c r="Y9" s="358"/>
      <c r="Z9" s="358"/>
    </row>
    <row r="10" spans="1:32" ht="14.15" hidden="1" customHeight="1" x14ac:dyDescent="0.2">
      <c r="A10" s="163" t="s">
        <v>100</v>
      </c>
      <c r="B10" s="120"/>
      <c r="C10" s="359" t="str">
        <f>+'7月'!C10</f>
        <v>管理部</v>
      </c>
      <c r="D10" s="332"/>
      <c r="E10" s="332"/>
      <c r="F10" s="332"/>
      <c r="G10" s="332"/>
      <c r="H10" s="332"/>
      <c r="I10" s="333"/>
      <c r="J10" s="334"/>
      <c r="K10" s="13"/>
      <c r="P10" s="53"/>
      <c r="Q10" s="52"/>
      <c r="R10" s="52"/>
      <c r="S10" s="52"/>
      <c r="T10" s="360" t="s">
        <v>271</v>
      </c>
      <c r="U10" s="360"/>
      <c r="V10" s="360"/>
      <c r="W10" s="360"/>
      <c r="X10" s="360"/>
      <c r="Y10" s="360"/>
      <c r="Z10" s="360"/>
    </row>
    <row r="11" spans="1:32" ht="14.15" hidden="1" customHeight="1" x14ac:dyDescent="0.2">
      <c r="A11" s="166"/>
      <c r="B11" s="123"/>
      <c r="C11" s="335"/>
      <c r="D11" s="336"/>
      <c r="E11" s="336"/>
      <c r="F11" s="336"/>
      <c r="G11" s="336"/>
      <c r="H11" s="336"/>
      <c r="I11" s="337"/>
      <c r="J11" s="338"/>
      <c r="K11" s="4"/>
      <c r="L11" s="4"/>
      <c r="P11" s="52"/>
      <c r="Q11" s="54" t="s">
        <v>96</v>
      </c>
      <c r="R11" s="54"/>
      <c r="S11" s="53"/>
      <c r="T11" s="54"/>
      <c r="U11" s="53"/>
      <c r="V11" s="54" t="s">
        <v>97</v>
      </c>
      <c r="W11" s="54"/>
      <c r="X11" s="52"/>
      <c r="Y11" s="52"/>
      <c r="Z11" s="52"/>
      <c r="AE11" t="s">
        <v>178</v>
      </c>
    </row>
    <row r="12" spans="1:32" ht="14.15" hidden="1" customHeight="1" x14ac:dyDescent="0.2">
      <c r="A12" s="163" t="s">
        <v>101</v>
      </c>
      <c r="B12" s="120"/>
      <c r="C12" s="331"/>
      <c r="D12" s="332"/>
      <c r="E12" s="332"/>
      <c r="F12" s="332"/>
      <c r="G12" s="332"/>
      <c r="H12" s="332"/>
      <c r="I12" s="333"/>
      <c r="J12" s="334"/>
      <c r="K12" s="13"/>
      <c r="M12" s="15"/>
      <c r="N12" s="15"/>
      <c r="O12" s="14"/>
      <c r="P12" s="14"/>
      <c r="Q12" s="14"/>
      <c r="R12" s="14"/>
      <c r="S12" s="14"/>
      <c r="T12" s="14"/>
      <c r="U12" s="14"/>
      <c r="V12" s="8"/>
      <c r="W12" s="8"/>
      <c r="AF12">
        <f ca="1">+IFERROR(((MAX(0,超過勤務時間計+深夜残業時間計-60)*1.5+MIN(60,超過勤務時間計+深夜残業時間計)*1.25))/(超過勤務時間計),0)</f>
        <v>0</v>
      </c>
    </row>
    <row r="13" spans="1:32" ht="14.15" hidden="1" customHeight="1" x14ac:dyDescent="0.2">
      <c r="A13" s="166"/>
      <c r="B13" s="123"/>
      <c r="C13" s="335"/>
      <c r="D13" s="336"/>
      <c r="E13" s="336"/>
      <c r="F13" s="336"/>
      <c r="G13" s="336"/>
      <c r="H13" s="336"/>
      <c r="I13" s="337"/>
      <c r="J13" s="338"/>
      <c r="K13" s="13"/>
      <c r="M13" s="16"/>
      <c r="N13" s="15"/>
      <c r="O13" s="14"/>
      <c r="P13" s="14"/>
      <c r="Q13" s="14"/>
      <c r="R13" s="14"/>
      <c r="S13" s="14">
        <f>+'7月'!S13</f>
        <v>0</v>
      </c>
    </row>
    <row r="14" spans="1:32" ht="14.15" hidden="1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4"/>
      <c r="K14" s="4"/>
      <c r="L14" s="4"/>
      <c r="M14" s="4"/>
      <c r="N14" s="17"/>
      <c r="O14" s="4"/>
      <c r="P14" s="4"/>
      <c r="U14" s="18"/>
    </row>
    <row r="15" spans="1:32" ht="14.15" customHeight="1" x14ac:dyDescent="0.2">
      <c r="A15" s="339" t="s">
        <v>5</v>
      </c>
      <c r="B15" s="340"/>
      <c r="C15" s="339" t="s">
        <v>6</v>
      </c>
      <c r="D15" s="312" t="s">
        <v>36</v>
      </c>
      <c r="E15" s="343"/>
      <c r="F15" s="343"/>
      <c r="G15" s="313"/>
      <c r="H15" s="344" t="s">
        <v>37</v>
      </c>
      <c r="I15" s="345"/>
      <c r="J15" s="345" t="s">
        <v>7</v>
      </c>
      <c r="K15" s="348"/>
      <c r="L15" s="314" t="s">
        <v>8</v>
      </c>
      <c r="M15" s="325"/>
      <c r="N15" s="328" t="s">
        <v>9</v>
      </c>
      <c r="O15" s="315"/>
      <c r="P15" s="314" t="s">
        <v>10</v>
      </c>
      <c r="Q15" s="315"/>
      <c r="R15" s="314" t="s">
        <v>11</v>
      </c>
      <c r="S15" s="315"/>
      <c r="T15" s="314" t="s">
        <v>12</v>
      </c>
      <c r="U15" s="315"/>
      <c r="V15" s="314" t="s">
        <v>43</v>
      </c>
      <c r="W15" s="315"/>
      <c r="X15" s="304" t="s">
        <v>122</v>
      </c>
      <c r="Y15" s="305"/>
      <c r="Z15" s="306"/>
      <c r="AA15" s="310" t="s">
        <v>107</v>
      </c>
      <c r="AB15" t="s">
        <v>32</v>
      </c>
    </row>
    <row r="16" spans="1:32" ht="14.15" customHeight="1" x14ac:dyDescent="0.2">
      <c r="A16" s="341"/>
      <c r="B16" s="342"/>
      <c r="C16" s="341"/>
      <c r="D16" s="312" t="s">
        <v>14</v>
      </c>
      <c r="E16" s="313"/>
      <c r="F16" s="312" t="s">
        <v>15</v>
      </c>
      <c r="G16" s="313"/>
      <c r="H16" s="346"/>
      <c r="I16" s="347"/>
      <c r="J16" s="347"/>
      <c r="K16" s="349"/>
      <c r="L16" s="326"/>
      <c r="M16" s="327"/>
      <c r="N16" s="329"/>
      <c r="O16" s="317"/>
      <c r="P16" s="316"/>
      <c r="Q16" s="317"/>
      <c r="R16" s="316"/>
      <c r="S16" s="317"/>
      <c r="T16" s="316"/>
      <c r="U16" s="317"/>
      <c r="V16" s="316"/>
      <c r="W16" s="317"/>
      <c r="X16" s="307"/>
      <c r="Y16" s="308"/>
      <c r="Z16" s="309"/>
      <c r="AA16" s="311"/>
      <c r="AB16" t="s">
        <v>210</v>
      </c>
      <c r="AC16" s="59"/>
    </row>
    <row r="17" spans="1:30" s="59" customFormat="1" ht="14.15" customHeight="1" x14ac:dyDescent="0.2">
      <c r="A17" s="318">
        <f ca="1">A3</f>
        <v>46235</v>
      </c>
      <c r="B17" s="319"/>
      <c r="C17" s="78">
        <f ca="1">IF(A17="","",IF(WEEKDAY(A17,1)=1,1,IF(COUNTIF(祝日管理!B:B,A17)=1,"祝",WEEKDAY(A17,1))))</f>
        <v>7</v>
      </c>
      <c r="D17" s="320"/>
      <c r="E17" s="320"/>
      <c r="F17" s="320"/>
      <c r="G17" s="320"/>
      <c r="H17" s="320"/>
      <c r="I17" s="321"/>
      <c r="J17" s="322">
        <f>IF(OR(D17="",F17="",H17=""),0,IF(F17&gt;D17,F17,F17+24)-D17-H17)</f>
        <v>0</v>
      </c>
      <c r="K17" s="323"/>
      <c r="L17" s="299">
        <f>IF(J17="",0,(HOUR(J17))+(ROUNDDOWN(MINUTE(J17)/60,2)*1))</f>
        <v>0</v>
      </c>
      <c r="M17" s="324"/>
      <c r="N17" s="330">
        <f ca="1">+IF(ISERROR(IF(A17="",0,IF(OR(X17="法休",X17="所休")=1,0,IF(L17=0,0,MIN(8,L17-R17))))),"",IF(A17="","",IF(OR(X17="法休",X17="所休"),0,IF(L17=0,0,MIN(8,L17-R17)))))</f>
        <v>0</v>
      </c>
      <c r="O17" s="300"/>
      <c r="P17" s="299">
        <f ca="1">+IF(ISERROR(IF(A17="","",IF(X17="法休",0,MAX(0,L17-N17-R17)))),0,IF(A17="","",IF(X17="法休",0,MAX(0,L17-N17-R17))))</f>
        <v>0</v>
      </c>
      <c r="Q17" s="300"/>
      <c r="R17" s="299">
        <f ca="1">+IF(A17="",0,IF(X17="法休",0,NOT(OR(D17="",F17=""))*MIN(7,(MAX(0,MIN(F17,$AC$8)-D17)+MAX(0,F17-$AC$7+(D17&gt;F17)))*24)))</f>
        <v>0</v>
      </c>
      <c r="S17" s="300"/>
      <c r="T17" s="299">
        <f t="shared" ref="T17" ca="1" si="0">+IF(A17="",0,IF(X17="法休",L17-V17,0))</f>
        <v>0</v>
      </c>
      <c r="U17" s="300"/>
      <c r="V17" s="299">
        <f t="shared" ref="V17" ca="1" si="1">+IF(A17="",0,IF(X17&lt;&gt;"法休",0,NOT(OR(D17="",F17=""))*MIN(7,(MAX(0,MIN(F17,$AC$8)-D17)+MAX(0,F17-$AC$7+(D17&gt;F17)))*24)))</f>
        <v>0</v>
      </c>
      <c r="W17" s="300"/>
      <c r="X17" s="301"/>
      <c r="Y17" s="302"/>
      <c r="Z17" s="303"/>
      <c r="AA17" s="79"/>
      <c r="AB17" s="93">
        <f t="shared" ref="AB17:AB46" ca="1" si="2">IF(ISERROR((X17="")*(7.5-N17)),0,(X17="")*(7.5-N17))</f>
        <v>7.5</v>
      </c>
      <c r="AD17" s="67"/>
    </row>
    <row r="18" spans="1:30" ht="14.15" customHeight="1" x14ac:dyDescent="0.2">
      <c r="A18" s="290">
        <f t="shared" ref="A18:A44" ca="1" si="3">A17+1</f>
        <v>46236</v>
      </c>
      <c r="B18" s="291"/>
      <c r="C18" s="80">
        <f ca="1">IF(A18="","",IF(WEEKDAY(A18,1)=1,1,IF(COUNTIF(祝日管理!B:B,A18)=1,"祝",WEEKDAY(A18,1))))</f>
        <v>1</v>
      </c>
      <c r="D18" s="292"/>
      <c r="E18" s="292"/>
      <c r="F18" s="292"/>
      <c r="G18" s="292"/>
      <c r="H18" s="292"/>
      <c r="I18" s="293"/>
      <c r="J18" s="298">
        <f t="shared" ref="J18:J47" si="4">IF(OR(D18="",F18="",H18=""),0,IF(F18&gt;D18,F18,F18+24)-D18-H18)</f>
        <v>0</v>
      </c>
      <c r="K18" s="294"/>
      <c r="L18" s="285">
        <f t="shared" ref="L18:L47" si="5">IF(J18="",0,(HOUR(J18))+(ROUNDDOWN(MINUTE(J18)/60,2)*1))</f>
        <v>0</v>
      </c>
      <c r="M18" s="296"/>
      <c r="N18" s="297">
        <f t="shared" ref="N18:N47" ca="1" si="6">+IF(ISERROR(IF(A18="",0,IF(OR(X18="法休",X18="所休")=1,0,IF(L18=0,0,MIN(8,L18-R18))))),"",IF(A18="","",IF(OR(X18="法休",X18="所休"),0,IF(L18=0,0,MIN(8,L18-R18)))))</f>
        <v>0</v>
      </c>
      <c r="O18" s="286"/>
      <c r="P18" s="285">
        <f t="shared" ref="P18:P47" ca="1" si="7">+IF(ISERROR(IF(A18="","",IF(X18="法休",0,MAX(0,L18-N18-R18)))),0,IF(A18="","",IF(X18="法休",0,MAX(0,L18-N18-R18))))</f>
        <v>0</v>
      </c>
      <c r="Q18" s="286"/>
      <c r="R18" s="285">
        <f t="shared" ref="R18:R47" ca="1" si="8">+IF(A18="",0,IF(X18="法休",0,NOT(OR(D18="",F18=""))*MIN(7,(MAX(0,MIN(F18,$AC$8)-D18)+MAX(0,F18-$AC$7+(D18&gt;F18)))*24)))</f>
        <v>0</v>
      </c>
      <c r="S18" s="286"/>
      <c r="T18" s="285">
        <f t="shared" ref="T18:T47" ca="1" si="9">+IF(A18="",0,IF(X18="法休",L18-V18,0))</f>
        <v>0</v>
      </c>
      <c r="U18" s="286"/>
      <c r="V18" s="285">
        <f t="shared" ref="V18:V47" ca="1" si="10">+IF(A18="",0,IF(X18&lt;&gt;"法休",0,NOT(OR(D18="",F18=""))*MIN(7,(MAX(0,MIN(F18,$AC$8)-D18)+MAX(0,F18-$AC$7+(D18&gt;F18)))*24)))</f>
        <v>0</v>
      </c>
      <c r="W18" s="286"/>
      <c r="X18" s="287" t="s">
        <v>187</v>
      </c>
      <c r="Y18" s="288"/>
      <c r="Z18" s="289"/>
      <c r="AA18" s="81"/>
      <c r="AB18" s="93">
        <f t="shared" ca="1" si="2"/>
        <v>0</v>
      </c>
      <c r="AC18" s="59"/>
      <c r="AD18" t="s">
        <v>175</v>
      </c>
    </row>
    <row r="19" spans="1:30" ht="14.15" customHeight="1" x14ac:dyDescent="0.2">
      <c r="A19" s="290">
        <f t="shared" ca="1" si="3"/>
        <v>46237</v>
      </c>
      <c r="B19" s="291"/>
      <c r="C19" s="80">
        <f ca="1">IF(A19="","",IF(WEEKDAY(A19,1)=1,1,IF(COUNTIF(祝日管理!B:B,A19)=1,"祝",WEEKDAY(A19,1))))</f>
        <v>2</v>
      </c>
      <c r="D19" s="292"/>
      <c r="E19" s="292"/>
      <c r="F19" s="292"/>
      <c r="G19" s="292"/>
      <c r="H19" s="292"/>
      <c r="I19" s="293"/>
      <c r="J19" s="298">
        <f t="shared" si="4"/>
        <v>0</v>
      </c>
      <c r="K19" s="294"/>
      <c r="L19" s="285">
        <f t="shared" si="5"/>
        <v>0</v>
      </c>
      <c r="M19" s="296"/>
      <c r="N19" s="297">
        <f t="shared" ca="1" si="6"/>
        <v>0</v>
      </c>
      <c r="O19" s="286"/>
      <c r="P19" s="285">
        <f t="shared" ca="1" si="7"/>
        <v>0</v>
      </c>
      <c r="Q19" s="286"/>
      <c r="R19" s="285">
        <f t="shared" ca="1" si="8"/>
        <v>0</v>
      </c>
      <c r="S19" s="286"/>
      <c r="T19" s="285">
        <f t="shared" ca="1" si="9"/>
        <v>0</v>
      </c>
      <c r="U19" s="286"/>
      <c r="V19" s="285">
        <f t="shared" ca="1" si="10"/>
        <v>0</v>
      </c>
      <c r="W19" s="286"/>
      <c r="X19" s="287" t="s">
        <v>185</v>
      </c>
      <c r="Y19" s="288"/>
      <c r="Z19" s="289"/>
      <c r="AA19" s="81"/>
      <c r="AB19" s="93">
        <f t="shared" ca="1" si="2"/>
        <v>0</v>
      </c>
      <c r="AC19" s="59"/>
    </row>
    <row r="20" spans="1:30" ht="14.15" customHeight="1" x14ac:dyDescent="0.2">
      <c r="A20" s="290">
        <f t="shared" ca="1" si="3"/>
        <v>46238</v>
      </c>
      <c r="B20" s="291"/>
      <c r="C20" s="80">
        <f ca="1">IF(A20="","",IF(WEEKDAY(A20,1)=1,1,IF(COUNTIF(祝日管理!B:B,A20)=1,"祝",WEEKDAY(A20,1))))</f>
        <v>3</v>
      </c>
      <c r="D20" s="292"/>
      <c r="E20" s="292"/>
      <c r="F20" s="292"/>
      <c r="G20" s="292"/>
      <c r="H20" s="292"/>
      <c r="I20" s="293"/>
      <c r="J20" s="298">
        <f t="shared" si="4"/>
        <v>0</v>
      </c>
      <c r="K20" s="294"/>
      <c r="L20" s="285">
        <f t="shared" si="5"/>
        <v>0</v>
      </c>
      <c r="M20" s="296"/>
      <c r="N20" s="297">
        <f t="shared" ca="1" si="6"/>
        <v>0</v>
      </c>
      <c r="O20" s="286"/>
      <c r="P20" s="285">
        <f t="shared" ca="1" si="7"/>
        <v>0</v>
      </c>
      <c r="Q20" s="286"/>
      <c r="R20" s="285">
        <f t="shared" ca="1" si="8"/>
        <v>0</v>
      </c>
      <c r="S20" s="286"/>
      <c r="T20" s="285">
        <f t="shared" ca="1" si="9"/>
        <v>0</v>
      </c>
      <c r="U20" s="286"/>
      <c r="V20" s="285">
        <f t="shared" ca="1" si="10"/>
        <v>0</v>
      </c>
      <c r="W20" s="286"/>
      <c r="X20" s="287"/>
      <c r="Y20" s="288"/>
      <c r="Z20" s="289"/>
      <c r="AA20" s="81"/>
      <c r="AB20" s="93">
        <f t="shared" ca="1" si="2"/>
        <v>7.5</v>
      </c>
      <c r="AC20" s="59"/>
    </row>
    <row r="21" spans="1:30" ht="14.15" customHeight="1" x14ac:dyDescent="0.2">
      <c r="A21" s="290">
        <f t="shared" ca="1" si="3"/>
        <v>46239</v>
      </c>
      <c r="B21" s="291"/>
      <c r="C21" s="80">
        <f ca="1">IF(A21="","",IF(WEEKDAY(A21,1)=1,1,IF(COUNTIF(祝日管理!B:B,A21)=1,"祝",WEEKDAY(A21,1))))</f>
        <v>4</v>
      </c>
      <c r="D21" s="292"/>
      <c r="E21" s="292"/>
      <c r="F21" s="292"/>
      <c r="G21" s="292"/>
      <c r="H21" s="292"/>
      <c r="I21" s="293"/>
      <c r="J21" s="298">
        <f t="shared" si="4"/>
        <v>0</v>
      </c>
      <c r="K21" s="294"/>
      <c r="L21" s="285">
        <f t="shared" si="5"/>
        <v>0</v>
      </c>
      <c r="M21" s="296"/>
      <c r="N21" s="297">
        <f t="shared" ca="1" si="6"/>
        <v>0</v>
      </c>
      <c r="O21" s="286"/>
      <c r="P21" s="285">
        <f t="shared" ca="1" si="7"/>
        <v>0</v>
      </c>
      <c r="Q21" s="286"/>
      <c r="R21" s="285">
        <f t="shared" ca="1" si="8"/>
        <v>0</v>
      </c>
      <c r="S21" s="286"/>
      <c r="T21" s="285">
        <f t="shared" ca="1" si="9"/>
        <v>0</v>
      </c>
      <c r="U21" s="286"/>
      <c r="V21" s="285">
        <f t="shared" ca="1" si="10"/>
        <v>0</v>
      </c>
      <c r="W21" s="286"/>
      <c r="X21" s="287"/>
      <c r="Y21" s="288"/>
      <c r="Z21" s="289"/>
      <c r="AA21" s="81"/>
      <c r="AB21" s="93">
        <f t="shared" ca="1" si="2"/>
        <v>7.5</v>
      </c>
      <c r="AC21" s="59"/>
      <c r="AD21" t="s">
        <v>176</v>
      </c>
    </row>
    <row r="22" spans="1:30" s="59" customFormat="1" ht="14.15" customHeight="1" x14ac:dyDescent="0.2">
      <c r="A22" s="290">
        <f t="shared" ca="1" si="3"/>
        <v>46240</v>
      </c>
      <c r="B22" s="291"/>
      <c r="C22" s="80">
        <f ca="1">IF(A22="","",IF(WEEKDAY(A22,1)=1,1,IF(COUNTIF(祝日管理!B:B,A22)=1,"祝",WEEKDAY(A22,1))))</f>
        <v>5</v>
      </c>
      <c r="D22" s="292"/>
      <c r="E22" s="292"/>
      <c r="F22" s="292"/>
      <c r="G22" s="292"/>
      <c r="H22" s="292"/>
      <c r="I22" s="293"/>
      <c r="J22" s="298">
        <f t="shared" si="4"/>
        <v>0</v>
      </c>
      <c r="K22" s="294"/>
      <c r="L22" s="285">
        <f t="shared" si="5"/>
        <v>0</v>
      </c>
      <c r="M22" s="296"/>
      <c r="N22" s="297">
        <f t="shared" ca="1" si="6"/>
        <v>0</v>
      </c>
      <c r="O22" s="286"/>
      <c r="P22" s="285">
        <f t="shared" ca="1" si="7"/>
        <v>0</v>
      </c>
      <c r="Q22" s="286"/>
      <c r="R22" s="285">
        <f t="shared" ca="1" si="8"/>
        <v>0</v>
      </c>
      <c r="S22" s="286"/>
      <c r="T22" s="285">
        <f t="shared" ca="1" si="9"/>
        <v>0</v>
      </c>
      <c r="U22" s="286"/>
      <c r="V22" s="285">
        <f t="shared" ca="1" si="10"/>
        <v>0</v>
      </c>
      <c r="W22" s="286"/>
      <c r="X22" s="287"/>
      <c r="Y22" s="288"/>
      <c r="Z22" s="289"/>
      <c r="AA22" s="81"/>
      <c r="AB22" s="93">
        <f t="shared" ca="1" si="2"/>
        <v>7.5</v>
      </c>
    </row>
    <row r="23" spans="1:30" ht="14.15" customHeight="1" x14ac:dyDescent="0.2">
      <c r="A23" s="290">
        <f t="shared" ca="1" si="3"/>
        <v>46241</v>
      </c>
      <c r="B23" s="291"/>
      <c r="C23" s="80">
        <f ca="1">IF(A23="","",IF(WEEKDAY(A23,1)=1,1,IF(COUNTIF(祝日管理!B:B,A23)=1,"祝",WEEKDAY(A23,1))))</f>
        <v>6</v>
      </c>
      <c r="D23" s="292"/>
      <c r="E23" s="292"/>
      <c r="F23" s="292"/>
      <c r="G23" s="292"/>
      <c r="H23" s="292"/>
      <c r="I23" s="293"/>
      <c r="J23" s="298">
        <f t="shared" si="4"/>
        <v>0</v>
      </c>
      <c r="K23" s="294"/>
      <c r="L23" s="285">
        <f t="shared" si="5"/>
        <v>0</v>
      </c>
      <c r="M23" s="296"/>
      <c r="N23" s="297">
        <f t="shared" ca="1" si="6"/>
        <v>0</v>
      </c>
      <c r="O23" s="286"/>
      <c r="P23" s="285">
        <f t="shared" ca="1" si="7"/>
        <v>0</v>
      </c>
      <c r="Q23" s="286"/>
      <c r="R23" s="285">
        <f t="shared" ca="1" si="8"/>
        <v>0</v>
      </c>
      <c r="S23" s="286"/>
      <c r="T23" s="285">
        <f t="shared" ca="1" si="9"/>
        <v>0</v>
      </c>
      <c r="U23" s="286"/>
      <c r="V23" s="285">
        <f t="shared" ca="1" si="10"/>
        <v>0</v>
      </c>
      <c r="W23" s="286"/>
      <c r="X23" s="287"/>
      <c r="Y23" s="288"/>
      <c r="Z23" s="289"/>
      <c r="AA23" s="81"/>
      <c r="AB23" s="93">
        <f t="shared" ca="1" si="2"/>
        <v>7.5</v>
      </c>
    </row>
    <row r="24" spans="1:30" ht="14.15" customHeight="1" x14ac:dyDescent="0.2">
      <c r="A24" s="290">
        <f t="shared" ca="1" si="3"/>
        <v>46242</v>
      </c>
      <c r="B24" s="291"/>
      <c r="C24" s="80">
        <f ca="1">IF(A24="","",IF(WEEKDAY(A24,1)=1,1,IF(COUNTIF(祝日管理!B:B,A24)=1,"祝",WEEKDAY(A24,1))))</f>
        <v>7</v>
      </c>
      <c r="D24" s="292"/>
      <c r="E24" s="292"/>
      <c r="F24" s="292"/>
      <c r="G24" s="292"/>
      <c r="H24" s="292"/>
      <c r="I24" s="293"/>
      <c r="J24" s="298">
        <f t="shared" si="4"/>
        <v>0</v>
      </c>
      <c r="K24" s="294"/>
      <c r="L24" s="285">
        <f t="shared" si="5"/>
        <v>0</v>
      </c>
      <c r="M24" s="296"/>
      <c r="N24" s="297">
        <f t="shared" ca="1" si="6"/>
        <v>0</v>
      </c>
      <c r="O24" s="286"/>
      <c r="P24" s="285">
        <f t="shared" ca="1" si="7"/>
        <v>0</v>
      </c>
      <c r="Q24" s="286"/>
      <c r="R24" s="285">
        <f t="shared" ca="1" si="8"/>
        <v>0</v>
      </c>
      <c r="S24" s="286"/>
      <c r="T24" s="285">
        <f t="shared" ca="1" si="9"/>
        <v>0</v>
      </c>
      <c r="U24" s="286"/>
      <c r="V24" s="285">
        <f t="shared" ca="1" si="10"/>
        <v>0</v>
      </c>
      <c r="W24" s="286"/>
      <c r="X24" s="287"/>
      <c r="Y24" s="288"/>
      <c r="Z24" s="289"/>
      <c r="AA24" s="81"/>
      <c r="AB24" s="93">
        <f t="shared" ca="1" si="2"/>
        <v>7.5</v>
      </c>
      <c r="AD24" t="s">
        <v>177</v>
      </c>
    </row>
    <row r="25" spans="1:30" ht="14.15" customHeight="1" x14ac:dyDescent="0.2">
      <c r="A25" s="290">
        <f t="shared" ca="1" si="3"/>
        <v>46243</v>
      </c>
      <c r="B25" s="291"/>
      <c r="C25" s="80">
        <f ca="1">IF(A25="","",IF(WEEKDAY(A25,1)=1,1,IF(COUNTIF(祝日管理!B:B,A25)=1,"祝",WEEKDAY(A25,1))))</f>
        <v>1</v>
      </c>
      <c r="D25" s="292"/>
      <c r="E25" s="292"/>
      <c r="F25" s="292"/>
      <c r="G25" s="292"/>
      <c r="H25" s="292"/>
      <c r="I25" s="293"/>
      <c r="J25" s="298">
        <f t="shared" si="4"/>
        <v>0</v>
      </c>
      <c r="K25" s="294"/>
      <c r="L25" s="285">
        <f t="shared" si="5"/>
        <v>0</v>
      </c>
      <c r="M25" s="296"/>
      <c r="N25" s="297">
        <f t="shared" ca="1" si="6"/>
        <v>0</v>
      </c>
      <c r="O25" s="286"/>
      <c r="P25" s="285">
        <f t="shared" ca="1" si="7"/>
        <v>0</v>
      </c>
      <c r="Q25" s="286"/>
      <c r="R25" s="285">
        <f t="shared" ca="1" si="8"/>
        <v>0</v>
      </c>
      <c r="S25" s="286"/>
      <c r="T25" s="285">
        <f t="shared" ca="1" si="9"/>
        <v>0</v>
      </c>
      <c r="U25" s="286"/>
      <c r="V25" s="285">
        <f t="shared" ca="1" si="10"/>
        <v>0</v>
      </c>
      <c r="W25" s="286"/>
      <c r="X25" s="287" t="s">
        <v>187</v>
      </c>
      <c r="Y25" s="288"/>
      <c r="Z25" s="289"/>
      <c r="AA25" s="81"/>
      <c r="AB25" s="93">
        <f t="shared" ca="1" si="2"/>
        <v>0</v>
      </c>
    </row>
    <row r="26" spans="1:30" ht="14.15" customHeight="1" x14ac:dyDescent="0.2">
      <c r="A26" s="290">
        <f t="shared" ca="1" si="3"/>
        <v>46244</v>
      </c>
      <c r="B26" s="291"/>
      <c r="C26" s="80">
        <f ca="1">IF(A26="","",IF(WEEKDAY(A26,1)=1,1,IF(COUNTIF(祝日管理!B:B,A26)=1,"祝",WEEKDAY(A26,1))))</f>
        <v>2</v>
      </c>
      <c r="D26" s="292"/>
      <c r="E26" s="292"/>
      <c r="F26" s="292"/>
      <c r="G26" s="292"/>
      <c r="H26" s="292"/>
      <c r="I26" s="293"/>
      <c r="J26" s="298">
        <f t="shared" si="4"/>
        <v>0</v>
      </c>
      <c r="K26" s="294"/>
      <c r="L26" s="285">
        <f t="shared" si="5"/>
        <v>0</v>
      </c>
      <c r="M26" s="296"/>
      <c r="N26" s="297">
        <f t="shared" ca="1" si="6"/>
        <v>0</v>
      </c>
      <c r="O26" s="286"/>
      <c r="P26" s="285">
        <f t="shared" ca="1" si="7"/>
        <v>0</v>
      </c>
      <c r="Q26" s="286"/>
      <c r="R26" s="285">
        <f t="shared" ca="1" si="8"/>
        <v>0</v>
      </c>
      <c r="S26" s="286"/>
      <c r="T26" s="285">
        <f t="shared" ca="1" si="9"/>
        <v>0</v>
      </c>
      <c r="U26" s="286"/>
      <c r="V26" s="285">
        <f t="shared" ca="1" si="10"/>
        <v>0</v>
      </c>
      <c r="W26" s="286"/>
      <c r="X26" s="287" t="s">
        <v>185</v>
      </c>
      <c r="Y26" s="288"/>
      <c r="Z26" s="289"/>
      <c r="AA26" s="81"/>
      <c r="AB26" s="93">
        <f t="shared" ca="1" si="2"/>
        <v>0</v>
      </c>
      <c r="AD26" t="s">
        <v>213</v>
      </c>
    </row>
    <row r="27" spans="1:30" ht="14.15" customHeight="1" x14ac:dyDescent="0.2">
      <c r="A27" s="290">
        <f t="shared" ca="1" si="3"/>
        <v>46245</v>
      </c>
      <c r="B27" s="291"/>
      <c r="C27" s="80">
        <f ca="1">IF(A27="","",IF(WEEKDAY(A27,1)=1,1,IF(COUNTIF(祝日管理!B:B,A27)=1,"祝",WEEKDAY(A27,1))))</f>
        <v>3</v>
      </c>
      <c r="D27" s="292"/>
      <c r="E27" s="292"/>
      <c r="F27" s="292"/>
      <c r="G27" s="292"/>
      <c r="H27" s="292"/>
      <c r="I27" s="293"/>
      <c r="J27" s="298">
        <f t="shared" si="4"/>
        <v>0</v>
      </c>
      <c r="K27" s="294"/>
      <c r="L27" s="285">
        <f t="shared" si="5"/>
        <v>0</v>
      </c>
      <c r="M27" s="296"/>
      <c r="N27" s="297">
        <f t="shared" ca="1" si="6"/>
        <v>0</v>
      </c>
      <c r="O27" s="286"/>
      <c r="P27" s="285">
        <f t="shared" ca="1" si="7"/>
        <v>0</v>
      </c>
      <c r="Q27" s="286"/>
      <c r="R27" s="285">
        <f t="shared" ca="1" si="8"/>
        <v>0</v>
      </c>
      <c r="S27" s="286"/>
      <c r="T27" s="285">
        <f t="shared" ca="1" si="9"/>
        <v>0</v>
      </c>
      <c r="U27" s="286"/>
      <c r="V27" s="285">
        <f t="shared" ca="1" si="10"/>
        <v>0</v>
      </c>
      <c r="W27" s="286"/>
      <c r="X27" s="287" t="s">
        <v>187</v>
      </c>
      <c r="Y27" s="288"/>
      <c r="Z27" s="289"/>
      <c r="AA27" s="81"/>
      <c r="AB27" s="93">
        <f t="shared" ca="1" si="2"/>
        <v>0</v>
      </c>
    </row>
    <row r="28" spans="1:30" ht="14.15" customHeight="1" x14ac:dyDescent="0.2">
      <c r="A28" s="290">
        <f t="shared" ca="1" si="3"/>
        <v>46246</v>
      </c>
      <c r="B28" s="291"/>
      <c r="C28" s="80">
        <f ca="1">IF(A28="","",IF(WEEKDAY(A28,1)=1,1,IF(COUNTIF(祝日管理!B:B,A28)=1,"祝",WEEKDAY(A28,1))))</f>
        <v>4</v>
      </c>
      <c r="D28" s="292"/>
      <c r="E28" s="292"/>
      <c r="F28" s="292"/>
      <c r="G28" s="292"/>
      <c r="H28" s="292"/>
      <c r="I28" s="293"/>
      <c r="J28" s="298">
        <f t="shared" si="4"/>
        <v>0</v>
      </c>
      <c r="K28" s="294"/>
      <c r="L28" s="285">
        <f t="shared" si="5"/>
        <v>0</v>
      </c>
      <c r="M28" s="296"/>
      <c r="N28" s="297">
        <f t="shared" ca="1" si="6"/>
        <v>0</v>
      </c>
      <c r="O28" s="286"/>
      <c r="P28" s="285">
        <f t="shared" ca="1" si="7"/>
        <v>0</v>
      </c>
      <c r="Q28" s="286"/>
      <c r="R28" s="285">
        <f t="shared" ca="1" si="8"/>
        <v>0</v>
      </c>
      <c r="S28" s="286"/>
      <c r="T28" s="285">
        <f t="shared" ca="1" si="9"/>
        <v>0</v>
      </c>
      <c r="U28" s="286"/>
      <c r="V28" s="285">
        <f t="shared" ca="1" si="10"/>
        <v>0</v>
      </c>
      <c r="W28" s="286"/>
      <c r="X28" s="287"/>
      <c r="Y28" s="288"/>
      <c r="Z28" s="289"/>
      <c r="AA28" s="81"/>
      <c r="AB28" s="93">
        <f t="shared" ca="1" si="2"/>
        <v>7.5</v>
      </c>
    </row>
    <row r="29" spans="1:30" s="59" customFormat="1" ht="14.15" customHeight="1" x14ac:dyDescent="0.2">
      <c r="A29" s="290">
        <f t="shared" ca="1" si="3"/>
        <v>46247</v>
      </c>
      <c r="B29" s="291"/>
      <c r="C29" s="80">
        <f ca="1">IF(A29="","",IF(WEEKDAY(A29,1)=1,1,IF(COUNTIF(祝日管理!B:B,A29)=1,"祝",WEEKDAY(A29,1))))</f>
        <v>5</v>
      </c>
      <c r="D29" s="292"/>
      <c r="E29" s="292"/>
      <c r="F29" s="292"/>
      <c r="G29" s="292"/>
      <c r="H29" s="292"/>
      <c r="I29" s="293"/>
      <c r="J29" s="298">
        <f t="shared" si="4"/>
        <v>0</v>
      </c>
      <c r="K29" s="294"/>
      <c r="L29" s="285">
        <f t="shared" si="5"/>
        <v>0</v>
      </c>
      <c r="M29" s="296"/>
      <c r="N29" s="297">
        <f t="shared" ca="1" si="6"/>
        <v>0</v>
      </c>
      <c r="O29" s="286"/>
      <c r="P29" s="285">
        <f t="shared" ca="1" si="7"/>
        <v>0</v>
      </c>
      <c r="Q29" s="286"/>
      <c r="R29" s="285">
        <f t="shared" ca="1" si="8"/>
        <v>0</v>
      </c>
      <c r="S29" s="286"/>
      <c r="T29" s="285">
        <f t="shared" ca="1" si="9"/>
        <v>0</v>
      </c>
      <c r="U29" s="286"/>
      <c r="V29" s="285">
        <f t="shared" ca="1" si="10"/>
        <v>0</v>
      </c>
      <c r="W29" s="286"/>
      <c r="X29" s="287"/>
      <c r="Y29" s="288"/>
      <c r="Z29" s="289"/>
      <c r="AA29" s="81"/>
      <c r="AB29" s="93">
        <f t="shared" ca="1" si="2"/>
        <v>7.5</v>
      </c>
      <c r="AC29" s="59" t="s">
        <v>207</v>
      </c>
    </row>
    <row r="30" spans="1:30" ht="14.15" customHeight="1" x14ac:dyDescent="0.2">
      <c r="A30" s="290">
        <f t="shared" ca="1" si="3"/>
        <v>46248</v>
      </c>
      <c r="B30" s="291"/>
      <c r="C30" s="80">
        <f ca="1">IF(A30="","",IF(WEEKDAY(A30,1)=1,1,IF(COUNTIF(祝日管理!B:B,A30)=1,"祝",WEEKDAY(A30,1))))</f>
        <v>6</v>
      </c>
      <c r="D30" s="292"/>
      <c r="E30" s="292"/>
      <c r="F30" s="292"/>
      <c r="G30" s="292"/>
      <c r="H30" s="292"/>
      <c r="I30" s="293"/>
      <c r="J30" s="298">
        <f t="shared" si="4"/>
        <v>0</v>
      </c>
      <c r="K30" s="294"/>
      <c r="L30" s="285">
        <f t="shared" si="5"/>
        <v>0</v>
      </c>
      <c r="M30" s="296"/>
      <c r="N30" s="297">
        <f t="shared" ca="1" si="6"/>
        <v>0</v>
      </c>
      <c r="O30" s="286"/>
      <c r="P30" s="285">
        <f t="shared" ca="1" si="7"/>
        <v>0</v>
      </c>
      <c r="Q30" s="286"/>
      <c r="R30" s="285">
        <f t="shared" ca="1" si="8"/>
        <v>0</v>
      </c>
      <c r="S30" s="286"/>
      <c r="T30" s="285">
        <f t="shared" ca="1" si="9"/>
        <v>0</v>
      </c>
      <c r="U30" s="286"/>
      <c r="V30" s="285">
        <f t="shared" ca="1" si="10"/>
        <v>0</v>
      </c>
      <c r="W30" s="286"/>
      <c r="X30" s="287"/>
      <c r="Y30" s="288"/>
      <c r="Z30" s="289"/>
      <c r="AA30" s="81"/>
      <c r="AB30" s="93">
        <f t="shared" ca="1" si="2"/>
        <v>7.5</v>
      </c>
      <c r="AC30" t="s">
        <v>208</v>
      </c>
    </row>
    <row r="31" spans="1:30" ht="14.15" customHeight="1" x14ac:dyDescent="0.2">
      <c r="A31" s="290">
        <f t="shared" ca="1" si="3"/>
        <v>46249</v>
      </c>
      <c r="B31" s="291"/>
      <c r="C31" s="80">
        <f ca="1">IF(A31="","",IF(WEEKDAY(A31,1)=1,1,IF(COUNTIF(祝日管理!B:B,A31)=1,"祝",WEEKDAY(A31,1))))</f>
        <v>7</v>
      </c>
      <c r="D31" s="292"/>
      <c r="E31" s="292"/>
      <c r="F31" s="292"/>
      <c r="G31" s="292"/>
      <c r="H31" s="292"/>
      <c r="I31" s="293"/>
      <c r="J31" s="298">
        <f t="shared" si="4"/>
        <v>0</v>
      </c>
      <c r="K31" s="294"/>
      <c r="L31" s="285">
        <f t="shared" si="5"/>
        <v>0</v>
      </c>
      <c r="M31" s="296"/>
      <c r="N31" s="297">
        <f t="shared" ca="1" si="6"/>
        <v>0</v>
      </c>
      <c r="O31" s="286"/>
      <c r="P31" s="285">
        <f t="shared" ca="1" si="7"/>
        <v>0</v>
      </c>
      <c r="Q31" s="286"/>
      <c r="R31" s="285">
        <f t="shared" ca="1" si="8"/>
        <v>0</v>
      </c>
      <c r="S31" s="286"/>
      <c r="T31" s="285">
        <f t="shared" ca="1" si="9"/>
        <v>0</v>
      </c>
      <c r="U31" s="286"/>
      <c r="V31" s="285">
        <f t="shared" ca="1" si="10"/>
        <v>0</v>
      </c>
      <c r="W31" s="286"/>
      <c r="X31" s="287"/>
      <c r="Y31" s="288"/>
      <c r="Z31" s="289"/>
      <c r="AA31" s="81"/>
      <c r="AB31" s="93">
        <f t="shared" ca="1" si="2"/>
        <v>7.5</v>
      </c>
      <c r="AC31" t="s">
        <v>209</v>
      </c>
    </row>
    <row r="32" spans="1:30" ht="14.15" customHeight="1" x14ac:dyDescent="0.2">
      <c r="A32" s="290">
        <f t="shared" ca="1" si="3"/>
        <v>46250</v>
      </c>
      <c r="B32" s="291"/>
      <c r="C32" s="80">
        <f ca="1">IF(A32="","",IF(WEEKDAY(A32,1)=1,1,IF(COUNTIF(祝日管理!B:B,A32)=1,"祝",WEEKDAY(A32,1))))</f>
        <v>1</v>
      </c>
      <c r="D32" s="292"/>
      <c r="E32" s="292"/>
      <c r="F32" s="292"/>
      <c r="G32" s="292"/>
      <c r="H32" s="292"/>
      <c r="I32" s="293"/>
      <c r="J32" s="298">
        <f t="shared" si="4"/>
        <v>0</v>
      </c>
      <c r="K32" s="294"/>
      <c r="L32" s="285">
        <f t="shared" si="5"/>
        <v>0</v>
      </c>
      <c r="M32" s="296"/>
      <c r="N32" s="297">
        <f t="shared" ca="1" si="6"/>
        <v>0</v>
      </c>
      <c r="O32" s="286"/>
      <c r="P32" s="285">
        <f t="shared" ca="1" si="7"/>
        <v>0</v>
      </c>
      <c r="Q32" s="286"/>
      <c r="R32" s="285">
        <f t="shared" ca="1" si="8"/>
        <v>0</v>
      </c>
      <c r="S32" s="286"/>
      <c r="T32" s="285">
        <f t="shared" ca="1" si="9"/>
        <v>0</v>
      </c>
      <c r="U32" s="286"/>
      <c r="V32" s="285">
        <f t="shared" ca="1" si="10"/>
        <v>0</v>
      </c>
      <c r="W32" s="286"/>
      <c r="X32" s="287" t="s">
        <v>187</v>
      </c>
      <c r="Y32" s="288"/>
      <c r="Z32" s="289"/>
      <c r="AA32" s="81"/>
      <c r="AB32" s="93">
        <f t="shared" ca="1" si="2"/>
        <v>0</v>
      </c>
    </row>
    <row r="33" spans="1:32" ht="14.15" customHeight="1" x14ac:dyDescent="0.2">
      <c r="A33" s="290">
        <f t="shared" ca="1" si="3"/>
        <v>46251</v>
      </c>
      <c r="B33" s="291"/>
      <c r="C33" s="80">
        <f ca="1">IF(A33="","",IF(WEEKDAY(A33,1)=1,1,IF(COUNTIF(祝日管理!B:B,A33)=1,"祝",WEEKDAY(A33,1))))</f>
        <v>2</v>
      </c>
      <c r="D33" s="292"/>
      <c r="E33" s="292"/>
      <c r="F33" s="292"/>
      <c r="G33" s="292"/>
      <c r="H33" s="292"/>
      <c r="I33" s="293"/>
      <c r="J33" s="298">
        <f t="shared" si="4"/>
        <v>0</v>
      </c>
      <c r="K33" s="294"/>
      <c r="L33" s="285">
        <f t="shared" si="5"/>
        <v>0</v>
      </c>
      <c r="M33" s="296"/>
      <c r="N33" s="297">
        <f t="shared" ca="1" si="6"/>
        <v>0</v>
      </c>
      <c r="O33" s="286"/>
      <c r="P33" s="285">
        <f t="shared" ca="1" si="7"/>
        <v>0</v>
      </c>
      <c r="Q33" s="286"/>
      <c r="R33" s="285">
        <f t="shared" ca="1" si="8"/>
        <v>0</v>
      </c>
      <c r="S33" s="286"/>
      <c r="T33" s="285">
        <f t="shared" ca="1" si="9"/>
        <v>0</v>
      </c>
      <c r="U33" s="286"/>
      <c r="V33" s="285">
        <f t="shared" ca="1" si="10"/>
        <v>0</v>
      </c>
      <c r="W33" s="286"/>
      <c r="X33" s="287" t="s">
        <v>185</v>
      </c>
      <c r="Y33" s="288"/>
      <c r="Z33" s="289"/>
      <c r="AA33" s="81"/>
      <c r="AB33" s="93">
        <f t="shared" ca="1" si="2"/>
        <v>0</v>
      </c>
      <c r="AD33" t="s">
        <v>214</v>
      </c>
    </row>
    <row r="34" spans="1:32" ht="14.15" customHeight="1" x14ac:dyDescent="0.2">
      <c r="A34" s="290">
        <f t="shared" ca="1" si="3"/>
        <v>46252</v>
      </c>
      <c r="B34" s="291"/>
      <c r="C34" s="80">
        <f ca="1">IF(A34="","",IF(WEEKDAY(A34,1)=1,1,IF(COUNTIF(祝日管理!B:B,A34)=1,"祝",WEEKDAY(A34,1))))</f>
        <v>3</v>
      </c>
      <c r="D34" s="292"/>
      <c r="E34" s="292"/>
      <c r="F34" s="292"/>
      <c r="G34" s="292"/>
      <c r="H34" s="292"/>
      <c r="I34" s="293"/>
      <c r="J34" s="298">
        <f t="shared" si="4"/>
        <v>0</v>
      </c>
      <c r="K34" s="294"/>
      <c r="L34" s="285">
        <f t="shared" si="5"/>
        <v>0</v>
      </c>
      <c r="M34" s="296"/>
      <c r="N34" s="297">
        <f t="shared" ca="1" si="6"/>
        <v>0</v>
      </c>
      <c r="O34" s="286"/>
      <c r="P34" s="285">
        <f t="shared" ca="1" si="7"/>
        <v>0</v>
      </c>
      <c r="Q34" s="286"/>
      <c r="R34" s="285">
        <f t="shared" ca="1" si="8"/>
        <v>0</v>
      </c>
      <c r="S34" s="286"/>
      <c r="T34" s="285">
        <f t="shared" ca="1" si="9"/>
        <v>0</v>
      </c>
      <c r="U34" s="286"/>
      <c r="V34" s="285">
        <f t="shared" ca="1" si="10"/>
        <v>0</v>
      </c>
      <c r="W34" s="286"/>
      <c r="X34" s="287"/>
      <c r="Y34" s="288"/>
      <c r="Z34" s="289"/>
      <c r="AA34" s="81"/>
      <c r="AB34" s="93">
        <f ca="1">IF(ISERROR((X34="")*(7.5-N34)),0,(X34="")*(7.5-N34))</f>
        <v>7.5</v>
      </c>
      <c r="AD34" t="s">
        <v>215</v>
      </c>
    </row>
    <row r="35" spans="1:32" ht="14.15" customHeight="1" x14ac:dyDescent="0.2">
      <c r="A35" s="290">
        <f t="shared" ca="1" si="3"/>
        <v>46253</v>
      </c>
      <c r="B35" s="291"/>
      <c r="C35" s="80">
        <f ca="1">IF(A35="","",IF(WEEKDAY(A35,1)=1,1,IF(COUNTIF(祝日管理!B:B,A35)=1,"祝",WEEKDAY(A35,1))))</f>
        <v>4</v>
      </c>
      <c r="D35" s="292"/>
      <c r="E35" s="292"/>
      <c r="F35" s="292"/>
      <c r="G35" s="292"/>
      <c r="H35" s="292"/>
      <c r="I35" s="293"/>
      <c r="J35" s="298">
        <f t="shared" si="4"/>
        <v>0</v>
      </c>
      <c r="K35" s="294"/>
      <c r="L35" s="285">
        <f t="shared" si="5"/>
        <v>0</v>
      </c>
      <c r="M35" s="296"/>
      <c r="N35" s="297">
        <f t="shared" ca="1" si="6"/>
        <v>0</v>
      </c>
      <c r="O35" s="286"/>
      <c r="P35" s="285">
        <f t="shared" ca="1" si="7"/>
        <v>0</v>
      </c>
      <c r="Q35" s="286"/>
      <c r="R35" s="285">
        <f t="shared" ca="1" si="8"/>
        <v>0</v>
      </c>
      <c r="S35" s="286"/>
      <c r="T35" s="285">
        <f t="shared" ca="1" si="9"/>
        <v>0</v>
      </c>
      <c r="U35" s="286"/>
      <c r="V35" s="285">
        <f t="shared" ca="1" si="10"/>
        <v>0</v>
      </c>
      <c r="W35" s="286"/>
      <c r="X35" s="287"/>
      <c r="Y35" s="288"/>
      <c r="Z35" s="289"/>
      <c r="AA35" s="81"/>
      <c r="AB35" s="93">
        <f ca="1">IF(ISERROR((X35="")*(7.5-N35)),0,(X35="")*(7.5-N35))</f>
        <v>7.5</v>
      </c>
    </row>
    <row r="36" spans="1:32" ht="14.15" customHeight="1" x14ac:dyDescent="0.2">
      <c r="A36" s="290">
        <f t="shared" ca="1" si="3"/>
        <v>46254</v>
      </c>
      <c r="B36" s="291"/>
      <c r="C36" s="80">
        <f ca="1">IF(A36="","",IF(WEEKDAY(A36,1)=1,1,IF(COUNTIF(祝日管理!B:B,A36)=1,"祝",WEEKDAY(A36,1))))</f>
        <v>5</v>
      </c>
      <c r="D36" s="292"/>
      <c r="E36" s="292"/>
      <c r="F36" s="292"/>
      <c r="G36" s="292"/>
      <c r="H36" s="292"/>
      <c r="I36" s="293"/>
      <c r="J36" s="298">
        <f t="shared" si="4"/>
        <v>0</v>
      </c>
      <c r="K36" s="294"/>
      <c r="L36" s="285">
        <f t="shared" si="5"/>
        <v>0</v>
      </c>
      <c r="M36" s="296"/>
      <c r="N36" s="297">
        <f t="shared" ca="1" si="6"/>
        <v>0</v>
      </c>
      <c r="O36" s="286"/>
      <c r="P36" s="285">
        <f t="shared" ca="1" si="7"/>
        <v>0</v>
      </c>
      <c r="Q36" s="286"/>
      <c r="R36" s="285">
        <f t="shared" ca="1" si="8"/>
        <v>0</v>
      </c>
      <c r="S36" s="286"/>
      <c r="T36" s="285">
        <f t="shared" ca="1" si="9"/>
        <v>0</v>
      </c>
      <c r="U36" s="286"/>
      <c r="V36" s="285">
        <f t="shared" ca="1" si="10"/>
        <v>0</v>
      </c>
      <c r="W36" s="286"/>
      <c r="X36" s="287"/>
      <c r="Y36" s="288"/>
      <c r="Z36" s="289"/>
      <c r="AA36" s="81"/>
      <c r="AB36" s="93">
        <f t="shared" ca="1" si="2"/>
        <v>7.5</v>
      </c>
    </row>
    <row r="37" spans="1:32" ht="14.15" customHeight="1" x14ac:dyDescent="0.2">
      <c r="A37" s="290">
        <f t="shared" ca="1" si="3"/>
        <v>46255</v>
      </c>
      <c r="B37" s="291"/>
      <c r="C37" s="80">
        <f ca="1">IF(A37="","",IF(WEEKDAY(A37,1)=1,1,IF(COUNTIF(祝日管理!B:B,A37)=1,"祝",WEEKDAY(A37,1))))</f>
        <v>6</v>
      </c>
      <c r="D37" s="292"/>
      <c r="E37" s="292"/>
      <c r="F37" s="292"/>
      <c r="G37" s="292"/>
      <c r="H37" s="292"/>
      <c r="I37" s="293"/>
      <c r="J37" s="298">
        <f t="shared" si="4"/>
        <v>0</v>
      </c>
      <c r="K37" s="294"/>
      <c r="L37" s="285">
        <f t="shared" si="5"/>
        <v>0</v>
      </c>
      <c r="M37" s="296"/>
      <c r="N37" s="297">
        <f t="shared" ca="1" si="6"/>
        <v>0</v>
      </c>
      <c r="O37" s="286"/>
      <c r="P37" s="285">
        <f t="shared" ca="1" si="7"/>
        <v>0</v>
      </c>
      <c r="Q37" s="286"/>
      <c r="R37" s="285">
        <f t="shared" ca="1" si="8"/>
        <v>0</v>
      </c>
      <c r="S37" s="286"/>
      <c r="T37" s="285">
        <f t="shared" ca="1" si="9"/>
        <v>0</v>
      </c>
      <c r="U37" s="286"/>
      <c r="V37" s="285">
        <f t="shared" ca="1" si="10"/>
        <v>0</v>
      </c>
      <c r="W37" s="286"/>
      <c r="X37" s="287"/>
      <c r="Y37" s="288"/>
      <c r="Z37" s="289"/>
      <c r="AA37" s="81"/>
      <c r="AB37" s="93">
        <f t="shared" ca="1" si="2"/>
        <v>7.5</v>
      </c>
    </row>
    <row r="38" spans="1:32" ht="14.15" customHeight="1" x14ac:dyDescent="0.2">
      <c r="A38" s="290">
        <f t="shared" ca="1" si="3"/>
        <v>46256</v>
      </c>
      <c r="B38" s="291"/>
      <c r="C38" s="80">
        <f ca="1">IF(A38="","",IF(WEEKDAY(A38,1)=1,1,IF(COUNTIF(祝日管理!B:B,A38)=1,"祝",WEEKDAY(A38,1))))</f>
        <v>7</v>
      </c>
      <c r="D38" s="292"/>
      <c r="E38" s="292"/>
      <c r="F38" s="292"/>
      <c r="G38" s="292"/>
      <c r="H38" s="292"/>
      <c r="I38" s="293"/>
      <c r="J38" s="298">
        <f t="shared" si="4"/>
        <v>0</v>
      </c>
      <c r="K38" s="294"/>
      <c r="L38" s="285">
        <f t="shared" si="5"/>
        <v>0</v>
      </c>
      <c r="M38" s="296"/>
      <c r="N38" s="297">
        <f t="shared" ca="1" si="6"/>
        <v>0</v>
      </c>
      <c r="O38" s="286"/>
      <c r="P38" s="285">
        <f t="shared" ca="1" si="7"/>
        <v>0</v>
      </c>
      <c r="Q38" s="286"/>
      <c r="R38" s="285">
        <f t="shared" ca="1" si="8"/>
        <v>0</v>
      </c>
      <c r="S38" s="286"/>
      <c r="T38" s="285">
        <f t="shared" ca="1" si="9"/>
        <v>0</v>
      </c>
      <c r="U38" s="286"/>
      <c r="V38" s="285">
        <f t="shared" ca="1" si="10"/>
        <v>0</v>
      </c>
      <c r="W38" s="286"/>
      <c r="X38" s="287"/>
      <c r="Y38" s="288"/>
      <c r="Z38" s="289"/>
      <c r="AA38" s="81"/>
      <c r="AB38" s="93">
        <f t="shared" ca="1" si="2"/>
        <v>7.5</v>
      </c>
    </row>
    <row r="39" spans="1:32" ht="14.15" customHeight="1" x14ac:dyDescent="0.2">
      <c r="A39" s="290">
        <f t="shared" ca="1" si="3"/>
        <v>46257</v>
      </c>
      <c r="B39" s="291"/>
      <c r="C39" s="80">
        <f ca="1">IF(A39="","",IF(WEEKDAY(A39,1)=1,1,IF(COUNTIF(祝日管理!B:B,A39)=1,"祝",WEEKDAY(A39,1))))</f>
        <v>1</v>
      </c>
      <c r="D39" s="292"/>
      <c r="E39" s="292"/>
      <c r="F39" s="292"/>
      <c r="G39" s="292"/>
      <c r="H39" s="292"/>
      <c r="I39" s="293"/>
      <c r="J39" s="298">
        <f t="shared" si="4"/>
        <v>0</v>
      </c>
      <c r="K39" s="294"/>
      <c r="L39" s="285">
        <f t="shared" si="5"/>
        <v>0</v>
      </c>
      <c r="M39" s="296"/>
      <c r="N39" s="297">
        <f t="shared" ca="1" si="6"/>
        <v>0</v>
      </c>
      <c r="O39" s="286"/>
      <c r="P39" s="285">
        <f t="shared" ca="1" si="7"/>
        <v>0</v>
      </c>
      <c r="Q39" s="286"/>
      <c r="R39" s="285">
        <f t="shared" ca="1" si="8"/>
        <v>0</v>
      </c>
      <c r="S39" s="286"/>
      <c r="T39" s="285">
        <f t="shared" ca="1" si="9"/>
        <v>0</v>
      </c>
      <c r="U39" s="286"/>
      <c r="V39" s="285">
        <f t="shared" ca="1" si="10"/>
        <v>0</v>
      </c>
      <c r="W39" s="286"/>
      <c r="X39" s="287" t="s">
        <v>187</v>
      </c>
      <c r="Y39" s="288"/>
      <c r="Z39" s="289"/>
      <c r="AA39" s="81"/>
      <c r="AB39" s="93">
        <f t="shared" ca="1" si="2"/>
        <v>0</v>
      </c>
    </row>
    <row r="40" spans="1:32" ht="14.15" customHeight="1" x14ac:dyDescent="0.2">
      <c r="A40" s="290">
        <f t="shared" ca="1" si="3"/>
        <v>46258</v>
      </c>
      <c r="B40" s="291"/>
      <c r="C40" s="80">
        <f ca="1">IF(A40="","",IF(WEEKDAY(A40,1)=1,1,IF(COUNTIF(祝日管理!B:B,A40)=1,"祝",WEEKDAY(A40,1))))</f>
        <v>2</v>
      </c>
      <c r="D40" s="292"/>
      <c r="E40" s="292"/>
      <c r="F40" s="292"/>
      <c r="G40" s="292"/>
      <c r="H40" s="292"/>
      <c r="I40" s="293"/>
      <c r="J40" s="298">
        <f t="shared" si="4"/>
        <v>0</v>
      </c>
      <c r="K40" s="294"/>
      <c r="L40" s="285">
        <f t="shared" si="5"/>
        <v>0</v>
      </c>
      <c r="M40" s="296"/>
      <c r="N40" s="297">
        <f t="shared" ca="1" si="6"/>
        <v>0</v>
      </c>
      <c r="O40" s="286"/>
      <c r="P40" s="285">
        <f t="shared" ca="1" si="7"/>
        <v>0</v>
      </c>
      <c r="Q40" s="286"/>
      <c r="R40" s="285">
        <f t="shared" ca="1" si="8"/>
        <v>0</v>
      </c>
      <c r="S40" s="286"/>
      <c r="T40" s="285">
        <f t="shared" ca="1" si="9"/>
        <v>0</v>
      </c>
      <c r="U40" s="286"/>
      <c r="V40" s="285">
        <f t="shared" ca="1" si="10"/>
        <v>0</v>
      </c>
      <c r="W40" s="286"/>
      <c r="X40" s="287" t="s">
        <v>185</v>
      </c>
      <c r="Y40" s="288"/>
      <c r="Z40" s="289"/>
      <c r="AA40" s="81"/>
      <c r="AB40" s="93">
        <f t="shared" ca="1" si="2"/>
        <v>0</v>
      </c>
    </row>
    <row r="41" spans="1:32" ht="14.15" customHeight="1" x14ac:dyDescent="0.2">
      <c r="A41" s="290">
        <f t="shared" ca="1" si="3"/>
        <v>46259</v>
      </c>
      <c r="B41" s="291"/>
      <c r="C41" s="80">
        <f ca="1">IF(A41="","",IF(WEEKDAY(A41,1)=1,1,IF(COUNTIF(祝日管理!B:B,A41)=1,"祝",WEEKDAY(A41,1))))</f>
        <v>3</v>
      </c>
      <c r="D41" s="292"/>
      <c r="E41" s="292"/>
      <c r="F41" s="292"/>
      <c r="G41" s="292"/>
      <c r="H41" s="292"/>
      <c r="I41" s="293"/>
      <c r="J41" s="298">
        <f t="shared" si="4"/>
        <v>0</v>
      </c>
      <c r="K41" s="294"/>
      <c r="L41" s="285">
        <f t="shared" si="5"/>
        <v>0</v>
      </c>
      <c r="M41" s="296"/>
      <c r="N41" s="297">
        <f t="shared" ca="1" si="6"/>
        <v>0</v>
      </c>
      <c r="O41" s="286"/>
      <c r="P41" s="285">
        <f t="shared" ca="1" si="7"/>
        <v>0</v>
      </c>
      <c r="Q41" s="286"/>
      <c r="R41" s="285">
        <f t="shared" ca="1" si="8"/>
        <v>0</v>
      </c>
      <c r="S41" s="286"/>
      <c r="T41" s="285">
        <f t="shared" ca="1" si="9"/>
        <v>0</v>
      </c>
      <c r="U41" s="286"/>
      <c r="V41" s="285">
        <f t="shared" ca="1" si="10"/>
        <v>0</v>
      </c>
      <c r="W41" s="286"/>
      <c r="X41" s="287"/>
      <c r="Y41" s="288"/>
      <c r="Z41" s="289"/>
      <c r="AA41" s="81"/>
      <c r="AB41" s="93">
        <f t="shared" ca="1" si="2"/>
        <v>7.5</v>
      </c>
    </row>
    <row r="42" spans="1:32" ht="14.15" customHeight="1" x14ac:dyDescent="0.2">
      <c r="A42" s="290">
        <f t="shared" ca="1" si="3"/>
        <v>46260</v>
      </c>
      <c r="B42" s="291"/>
      <c r="C42" s="80">
        <f ca="1">IF(A42="","",IF(WEEKDAY(A42,1)=1,1,IF(COUNTIF(祝日管理!B:B,A42)=1,"祝",WEEKDAY(A42,1))))</f>
        <v>4</v>
      </c>
      <c r="D42" s="292"/>
      <c r="E42" s="292"/>
      <c r="F42" s="292"/>
      <c r="G42" s="292"/>
      <c r="H42" s="292"/>
      <c r="I42" s="293"/>
      <c r="J42" s="298">
        <f t="shared" si="4"/>
        <v>0</v>
      </c>
      <c r="K42" s="294"/>
      <c r="L42" s="285">
        <f t="shared" si="5"/>
        <v>0</v>
      </c>
      <c r="M42" s="296"/>
      <c r="N42" s="297">
        <f t="shared" ca="1" si="6"/>
        <v>0</v>
      </c>
      <c r="O42" s="286"/>
      <c r="P42" s="285">
        <f t="shared" ca="1" si="7"/>
        <v>0</v>
      </c>
      <c r="Q42" s="286"/>
      <c r="R42" s="285">
        <f t="shared" ca="1" si="8"/>
        <v>0</v>
      </c>
      <c r="S42" s="286"/>
      <c r="T42" s="285">
        <f t="shared" ca="1" si="9"/>
        <v>0</v>
      </c>
      <c r="U42" s="286"/>
      <c r="V42" s="285">
        <f t="shared" ca="1" si="10"/>
        <v>0</v>
      </c>
      <c r="W42" s="286"/>
      <c r="X42" s="287"/>
      <c r="Y42" s="288"/>
      <c r="Z42" s="289"/>
      <c r="AA42" s="81"/>
      <c r="AB42" s="93">
        <f t="shared" ca="1" si="2"/>
        <v>7.5</v>
      </c>
    </row>
    <row r="43" spans="1:32" ht="14.15" customHeight="1" x14ac:dyDescent="0.2">
      <c r="A43" s="290">
        <f t="shared" ca="1" si="3"/>
        <v>46261</v>
      </c>
      <c r="B43" s="291"/>
      <c r="C43" s="80">
        <f ca="1">IF(A43="","",IF(WEEKDAY(A43,1)=1,1,IF(COUNTIF(祝日管理!B:B,A43)=1,"祝",WEEKDAY(A43,1))))</f>
        <v>5</v>
      </c>
      <c r="D43" s="292"/>
      <c r="E43" s="292"/>
      <c r="F43" s="292"/>
      <c r="G43" s="292"/>
      <c r="H43" s="292"/>
      <c r="I43" s="293"/>
      <c r="J43" s="298">
        <f t="shared" si="4"/>
        <v>0</v>
      </c>
      <c r="K43" s="294"/>
      <c r="L43" s="285">
        <f t="shared" si="5"/>
        <v>0</v>
      </c>
      <c r="M43" s="296"/>
      <c r="N43" s="297">
        <f t="shared" ca="1" si="6"/>
        <v>0</v>
      </c>
      <c r="O43" s="286"/>
      <c r="P43" s="285">
        <f t="shared" ca="1" si="7"/>
        <v>0</v>
      </c>
      <c r="Q43" s="286"/>
      <c r="R43" s="285">
        <f t="shared" ca="1" si="8"/>
        <v>0</v>
      </c>
      <c r="S43" s="286"/>
      <c r="T43" s="285">
        <f t="shared" ca="1" si="9"/>
        <v>0</v>
      </c>
      <c r="U43" s="286"/>
      <c r="V43" s="285">
        <f t="shared" ca="1" si="10"/>
        <v>0</v>
      </c>
      <c r="W43" s="286"/>
      <c r="X43" s="287"/>
      <c r="Y43" s="288"/>
      <c r="Z43" s="289"/>
      <c r="AA43" s="81"/>
      <c r="AB43" s="93">
        <f t="shared" ca="1" si="2"/>
        <v>7.5</v>
      </c>
    </row>
    <row r="44" spans="1:32" ht="14.15" customHeight="1" x14ac:dyDescent="0.2">
      <c r="A44" s="290">
        <f t="shared" ca="1" si="3"/>
        <v>46262</v>
      </c>
      <c r="B44" s="291"/>
      <c r="C44" s="80">
        <f ca="1">IF(A44="","",IF(WEEKDAY(A44,1)=1,1,IF(COUNTIF(祝日管理!B:B,A44)=1,"祝",WEEKDAY(A44,1))))</f>
        <v>6</v>
      </c>
      <c r="D44" s="292"/>
      <c r="E44" s="292"/>
      <c r="F44" s="292"/>
      <c r="G44" s="292"/>
      <c r="H44" s="292"/>
      <c r="I44" s="293"/>
      <c r="J44" s="298">
        <f t="shared" si="4"/>
        <v>0</v>
      </c>
      <c r="K44" s="294"/>
      <c r="L44" s="285">
        <f t="shared" si="5"/>
        <v>0</v>
      </c>
      <c r="M44" s="296"/>
      <c r="N44" s="297">
        <f t="shared" ca="1" si="6"/>
        <v>0</v>
      </c>
      <c r="O44" s="286"/>
      <c r="P44" s="285">
        <f t="shared" ca="1" si="7"/>
        <v>0</v>
      </c>
      <c r="Q44" s="286"/>
      <c r="R44" s="285">
        <f t="shared" ca="1" si="8"/>
        <v>0</v>
      </c>
      <c r="S44" s="286"/>
      <c r="T44" s="285">
        <f t="shared" ca="1" si="9"/>
        <v>0</v>
      </c>
      <c r="U44" s="286"/>
      <c r="V44" s="285">
        <f t="shared" ca="1" si="10"/>
        <v>0</v>
      </c>
      <c r="W44" s="286"/>
      <c r="X44" s="287"/>
      <c r="Y44" s="288"/>
      <c r="Z44" s="289"/>
      <c r="AA44" s="81"/>
      <c r="AB44" s="93">
        <f t="shared" ca="1" si="2"/>
        <v>7.5</v>
      </c>
    </row>
    <row r="45" spans="1:32" ht="14.15" customHeight="1" x14ac:dyDescent="0.2">
      <c r="A45" s="290">
        <f ca="1">IF(DAY(A44+1)=29,A44+1,"")</f>
        <v>46263</v>
      </c>
      <c r="B45" s="291"/>
      <c r="C45" s="80">
        <f ca="1">IF(A45="","",IF(WEEKDAY(A45,1)=1,1,IF(COUNTIF(祝日管理!B:B,A45)=1,"祝",WEEKDAY(A45,1))))</f>
        <v>7</v>
      </c>
      <c r="D45" s="292"/>
      <c r="E45" s="292"/>
      <c r="F45" s="292"/>
      <c r="G45" s="292"/>
      <c r="H45" s="292"/>
      <c r="I45" s="293"/>
      <c r="J45" s="298">
        <f t="shared" si="4"/>
        <v>0</v>
      </c>
      <c r="K45" s="294"/>
      <c r="L45" s="285">
        <f t="shared" si="5"/>
        <v>0</v>
      </c>
      <c r="M45" s="296"/>
      <c r="N45" s="297">
        <f t="shared" ca="1" si="6"/>
        <v>0</v>
      </c>
      <c r="O45" s="286"/>
      <c r="P45" s="285">
        <f t="shared" ca="1" si="7"/>
        <v>0</v>
      </c>
      <c r="Q45" s="286"/>
      <c r="R45" s="285">
        <f t="shared" ca="1" si="8"/>
        <v>0</v>
      </c>
      <c r="S45" s="286"/>
      <c r="T45" s="285">
        <f t="shared" ca="1" si="9"/>
        <v>0</v>
      </c>
      <c r="U45" s="286"/>
      <c r="V45" s="285">
        <f t="shared" ca="1" si="10"/>
        <v>0</v>
      </c>
      <c r="W45" s="286"/>
      <c r="X45" s="287"/>
      <c r="Y45" s="288"/>
      <c r="Z45" s="289"/>
      <c r="AA45" s="82"/>
      <c r="AB45" s="93">
        <f t="shared" ca="1" si="2"/>
        <v>7.5</v>
      </c>
    </row>
    <row r="46" spans="1:32" ht="14.15" customHeight="1" x14ac:dyDescent="0.2">
      <c r="A46" s="290">
        <f ca="1">IF(A45="","",IF(DAY(A45+1)=30,A45+1,""))</f>
        <v>46264</v>
      </c>
      <c r="B46" s="291"/>
      <c r="C46" s="80">
        <f ca="1">IF(A46="","",IF(WEEKDAY(A46,1)=1,1,IF(COUNTIF(祝日管理!B:B,A46)=1,"祝",WEEKDAY(A46,1))))</f>
        <v>1</v>
      </c>
      <c r="D46" s="292"/>
      <c r="E46" s="292"/>
      <c r="F46" s="292"/>
      <c r="G46" s="292"/>
      <c r="H46" s="292"/>
      <c r="I46" s="293"/>
      <c r="J46" s="298">
        <f t="shared" si="4"/>
        <v>0</v>
      </c>
      <c r="K46" s="294"/>
      <c r="L46" s="285">
        <f t="shared" si="5"/>
        <v>0</v>
      </c>
      <c r="M46" s="296"/>
      <c r="N46" s="297">
        <f t="shared" ca="1" si="6"/>
        <v>0</v>
      </c>
      <c r="O46" s="286"/>
      <c r="P46" s="285">
        <f t="shared" ca="1" si="7"/>
        <v>0</v>
      </c>
      <c r="Q46" s="286"/>
      <c r="R46" s="285">
        <f t="shared" ca="1" si="8"/>
        <v>0</v>
      </c>
      <c r="S46" s="286"/>
      <c r="T46" s="285">
        <f t="shared" ca="1" si="9"/>
        <v>0</v>
      </c>
      <c r="U46" s="286"/>
      <c r="V46" s="285">
        <f t="shared" ca="1" si="10"/>
        <v>0</v>
      </c>
      <c r="W46" s="286"/>
      <c r="X46" s="287" t="s">
        <v>187</v>
      </c>
      <c r="Y46" s="288"/>
      <c r="Z46" s="289"/>
      <c r="AA46" s="81"/>
      <c r="AB46" s="93">
        <f t="shared" ca="1" si="2"/>
        <v>0</v>
      </c>
      <c r="AF46">
        <f>+時間・月額</f>
        <v>250000</v>
      </c>
    </row>
    <row r="47" spans="1:32" ht="14.15" customHeight="1" thickBot="1" x14ac:dyDescent="0.25">
      <c r="A47" s="290">
        <f ca="1">IF(A46="","",IF(DAY(A46+1)=31,A46+1,""))</f>
        <v>46265</v>
      </c>
      <c r="B47" s="291"/>
      <c r="C47" s="80">
        <f ca="1">IF(A47="","",IF(WEEKDAY(A47,1)=1,1,IF(COUNTIF(祝日管理!B:B,A47)=1,"祝",WEEKDAY(A47,1))))</f>
        <v>2</v>
      </c>
      <c r="D47" s="292"/>
      <c r="E47" s="292"/>
      <c r="F47" s="292"/>
      <c r="G47" s="292"/>
      <c r="H47" s="292"/>
      <c r="I47" s="293"/>
      <c r="J47" s="294">
        <f t="shared" si="4"/>
        <v>0</v>
      </c>
      <c r="K47" s="295"/>
      <c r="L47" s="285">
        <f t="shared" si="5"/>
        <v>0</v>
      </c>
      <c r="M47" s="296"/>
      <c r="N47" s="283">
        <f t="shared" ca="1" si="6"/>
        <v>0</v>
      </c>
      <c r="O47" s="284"/>
      <c r="P47" s="285">
        <f t="shared" ca="1" si="7"/>
        <v>0</v>
      </c>
      <c r="Q47" s="286"/>
      <c r="R47" s="285">
        <f t="shared" ca="1" si="8"/>
        <v>0</v>
      </c>
      <c r="S47" s="286"/>
      <c r="T47" s="285">
        <f t="shared" ca="1" si="9"/>
        <v>0</v>
      </c>
      <c r="U47" s="286"/>
      <c r="V47" s="285">
        <f t="shared" ca="1" si="10"/>
        <v>0</v>
      </c>
      <c r="W47" s="286"/>
      <c r="X47" s="287" t="s">
        <v>185</v>
      </c>
      <c r="Y47" s="288"/>
      <c r="Z47" s="289"/>
      <c r="AA47" s="81"/>
      <c r="AB47" s="93">
        <f ca="1">IF(ISERROR((X47="")*(7.5-N47)),0,(X47="")*(7.5-N47))</f>
        <v>0</v>
      </c>
    </row>
    <row r="48" spans="1:32" ht="14.15" customHeight="1" thickBot="1" x14ac:dyDescent="0.25">
      <c r="A48" s="274" t="s">
        <v>56</v>
      </c>
      <c r="B48" s="275"/>
      <c r="C48" s="35"/>
      <c r="D48" s="276"/>
      <c r="E48" s="277"/>
      <c r="F48" s="276"/>
      <c r="G48" s="277"/>
      <c r="H48" s="276"/>
      <c r="I48" s="278"/>
      <c r="J48" s="279"/>
      <c r="K48" s="280"/>
      <c r="L48" s="281" t="s">
        <v>198</v>
      </c>
      <c r="M48" s="282"/>
      <c r="N48" s="265"/>
      <c r="O48" s="266"/>
      <c r="P48" s="267" t="s">
        <v>200</v>
      </c>
      <c r="Q48" s="268"/>
      <c r="R48" s="265"/>
      <c r="S48" s="266"/>
      <c r="T48" s="269"/>
      <c r="U48" s="270"/>
      <c r="V48" s="269"/>
      <c r="W48" s="270"/>
      <c r="X48" s="271"/>
      <c r="Y48" s="272"/>
      <c r="Z48" s="273"/>
      <c r="AA48" s="66"/>
      <c r="AB48" t="s">
        <v>191</v>
      </c>
    </row>
    <row r="49" spans="1:34" ht="14.15" customHeight="1" x14ac:dyDescent="0.2">
      <c r="A49" s="255" t="s">
        <v>196</v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8">
        <f>SUM(L17:M47)+N48</f>
        <v>0</v>
      </c>
      <c r="M49" s="259"/>
      <c r="N49" s="260">
        <f ca="1">ROUNDDOWN((SUM(N17:O48)+0.01)*4,0)/4</f>
        <v>0</v>
      </c>
      <c r="O49" s="261"/>
      <c r="P49" s="262">
        <f ca="1">ROUNDDOWN((SUM(P17:Q47)+0.01)*4,0)/4</f>
        <v>0</v>
      </c>
      <c r="Q49" s="263"/>
      <c r="R49" s="242">
        <f ca="1">ROUNDDOWN((SUM(R17:S47)+0.01)*4,0)/4</f>
        <v>0</v>
      </c>
      <c r="S49" s="264"/>
      <c r="T49" s="242">
        <f ca="1">ROUNDDOWN((SUM(T17:U47)+0.01)*4,0)/4</f>
        <v>0</v>
      </c>
      <c r="U49" s="243"/>
      <c r="V49" s="242">
        <f ca="1">ROUNDDOWN((SUM(V17:W47)+0.01)*4,0)/4</f>
        <v>0</v>
      </c>
      <c r="W49" s="243"/>
      <c r="X49" s="244">
        <f ca="1">SUM(通常時間計:休日深夜時間計)</f>
        <v>0</v>
      </c>
      <c r="Y49" s="245"/>
      <c r="Z49" s="245"/>
      <c r="AA49" s="64" t="s">
        <v>142</v>
      </c>
    </row>
    <row r="50" spans="1:34" ht="14.15" customHeight="1" thickBot="1" x14ac:dyDescent="0.25">
      <c r="A50" s="246" t="s">
        <v>106</v>
      </c>
      <c r="B50" s="246"/>
      <c r="C50" s="246"/>
      <c r="D50" s="246"/>
      <c r="E50" s="246"/>
      <c r="F50" s="246"/>
      <c r="G50" s="246"/>
      <c r="H50" s="246"/>
      <c r="I50" s="246"/>
      <c r="J50" s="246"/>
      <c r="K50" s="246"/>
      <c r="L50" s="247">
        <f ca="1">SUM(N50:W50)</f>
        <v>0</v>
      </c>
      <c r="M50" s="248"/>
      <c r="N50" s="249">
        <f ca="1">通常時間計</f>
        <v>0</v>
      </c>
      <c r="O50" s="250"/>
      <c r="P50" s="249">
        <f ca="1">IF(給与体系="140-160時間制",超過勤務時間計,MAX(0,超過勤務時間計+深夜残業時間計-60)*0.25+超過勤務時間計*1.25)</f>
        <v>0</v>
      </c>
      <c r="Q50" s="250"/>
      <c r="R50" s="251">
        <f ca="1">IF(給与体系="140-160時間制",深夜残業時間計,深夜残業時間計*1.5)</f>
        <v>0</v>
      </c>
      <c r="S50" s="252"/>
      <c r="T50" s="251">
        <f ca="1">IF(給与体系="140-160時間制",休日出勤時間計,休日出勤時間計*1.35)</f>
        <v>0</v>
      </c>
      <c r="U50" s="252"/>
      <c r="V50" s="251">
        <f ca="1">IF(給与体系="140-160時間制",休日深夜時間計,休日深夜時間計*1.6)</f>
        <v>0</v>
      </c>
      <c r="W50" s="252"/>
      <c r="X50" s="253">
        <f ca="1">SUM(N50:W50)</f>
        <v>0</v>
      </c>
      <c r="Y50" s="254"/>
      <c r="Z50" s="254"/>
      <c r="AA50" s="88">
        <f>+'7月'!AA50</f>
        <v>45748</v>
      </c>
      <c r="AB50" s="98">
        <f ca="1">+IFERROR(((MAX(0,超過勤務時間計+深夜残業時間計-60)*0.25+(超過勤務時間計+深夜残業時間計)*1.25))/(超過勤務時間計+深夜残業時間計),0)</f>
        <v>0</v>
      </c>
      <c r="AC50" s="2" t="s">
        <v>158</v>
      </c>
      <c r="AD50" s="2"/>
      <c r="AE50" s="231"/>
      <c r="AF50" s="231"/>
      <c r="AG50" s="60"/>
      <c r="AH50" s="61"/>
    </row>
    <row r="51" spans="1:34" ht="14.15" customHeight="1" thickTop="1" thickBot="1" x14ac:dyDescent="0.25">
      <c r="A51" s="232" t="s">
        <v>38</v>
      </c>
      <c r="B51" s="233"/>
      <c r="C51" s="234">
        <f>COUNTA(D17:D47)-W51-W52</f>
        <v>0</v>
      </c>
      <c r="D51" s="235"/>
      <c r="E51" s="236" t="s">
        <v>32</v>
      </c>
      <c r="F51" s="233"/>
      <c r="G51" s="237">
        <f>+COUNTIF($X17:$Z47,E51)</f>
        <v>0</v>
      </c>
      <c r="H51" s="238"/>
      <c r="I51" s="169" t="s">
        <v>111</v>
      </c>
      <c r="J51" s="170"/>
      <c r="K51" s="167">
        <f>+COUNTIF($X17:$Z47,I51)</f>
        <v>0</v>
      </c>
      <c r="L51" s="168"/>
      <c r="M51" s="169" t="s">
        <v>113</v>
      </c>
      <c r="N51" s="170"/>
      <c r="O51" s="167">
        <f>+COUNTIF($X17:$Z47,M51)</f>
        <v>0</v>
      </c>
      <c r="P51" s="168"/>
      <c r="Q51" s="169" t="s">
        <v>112</v>
      </c>
      <c r="R51" s="170"/>
      <c r="S51" s="167">
        <f>+COUNTIF($X17:$Z47,Q51)</f>
        <v>0</v>
      </c>
      <c r="T51" s="168"/>
      <c r="U51" s="169" t="s">
        <v>123</v>
      </c>
      <c r="V51" s="170"/>
      <c r="W51" s="171">
        <f>+K51+(O51+S51)/2</f>
        <v>0</v>
      </c>
      <c r="X51" s="172"/>
      <c r="Y51" s="208" t="s">
        <v>124</v>
      </c>
      <c r="Z51" s="209"/>
      <c r="AA51" s="63">
        <f>+AA52-W51-AA53</f>
        <v>35</v>
      </c>
      <c r="AB51" t="s">
        <v>174</v>
      </c>
    </row>
    <row r="52" spans="1:34" ht="14.15" customHeight="1" thickTop="1" thickBot="1" x14ac:dyDescent="0.25">
      <c r="A52" s="239" t="s">
        <v>153</v>
      </c>
      <c r="B52" s="239"/>
      <c r="C52" s="239"/>
      <c r="D52" s="239"/>
      <c r="E52" s="239"/>
      <c r="F52" s="240">
        <f>+'7月'!F52</f>
        <v>250000</v>
      </c>
      <c r="G52" s="240"/>
      <c r="H52" s="241"/>
      <c r="I52" s="169" t="s">
        <v>126</v>
      </c>
      <c r="J52" s="170"/>
      <c r="K52" s="167">
        <f>+COUNTIF($X17:$Z47,"*全*")-COUNTIF($X17:$Z47,"*欠勤(全*")-COUNTIF($X17:$Z47,"*振休(全*")-COUNTIF($X17:$Z47,"*代休(全*")-K51</f>
        <v>0</v>
      </c>
      <c r="L52" s="168"/>
      <c r="M52" s="169" t="s">
        <v>135</v>
      </c>
      <c r="N52" s="170"/>
      <c r="O52" s="167">
        <f>+COUNTIF($X17:$Z47,"*AM*")-COUNTIF($X17:$Z47,"*欠勤(A*")-COUNTIF($X17:$Z47,"*代休(A*")-O51</f>
        <v>0</v>
      </c>
      <c r="P52" s="168"/>
      <c r="Q52" s="169" t="s">
        <v>136</v>
      </c>
      <c r="R52" s="170"/>
      <c r="S52" s="167">
        <f>+COUNTIF($X17:$Z47,"*PM*")-COUNTIF($X17:$Z47,"*代休(P*")-S51</f>
        <v>0</v>
      </c>
      <c r="T52" s="168"/>
      <c r="U52" s="169" t="s">
        <v>127</v>
      </c>
      <c r="V52" s="170"/>
      <c r="W52" s="171">
        <f>+K52+(O52+S52)/2</f>
        <v>0</v>
      </c>
      <c r="X52" s="172"/>
      <c r="Y52" s="208" t="s">
        <v>125</v>
      </c>
      <c r="Z52" s="209"/>
      <c r="AA52" s="62">
        <f>+'7月'!AA51</f>
        <v>35</v>
      </c>
      <c r="AB52" t="s">
        <v>173</v>
      </c>
    </row>
    <row r="53" spans="1:34" ht="14.15" customHeight="1" thickTop="1" thickBot="1" x14ac:dyDescent="0.25">
      <c r="A53" s="224"/>
      <c r="B53" s="225"/>
      <c r="C53" s="226"/>
      <c r="D53" s="227" t="s">
        <v>21</v>
      </c>
      <c r="E53" s="228"/>
      <c r="F53" s="33"/>
      <c r="G53" s="228" t="s">
        <v>22</v>
      </c>
      <c r="H53" s="228"/>
      <c r="I53" s="34"/>
      <c r="J53" s="229"/>
      <c r="K53" s="225"/>
      <c r="L53" s="230"/>
      <c r="M53" s="27"/>
      <c r="N53" s="28"/>
      <c r="O53" s="32"/>
      <c r="P53" s="4"/>
      <c r="S53" s="4"/>
      <c r="Y53" s="208" t="s">
        <v>166</v>
      </c>
      <c r="Z53" s="209"/>
      <c r="AA53" s="63">
        <v>0</v>
      </c>
      <c r="AB53" t="s">
        <v>167</v>
      </c>
    </row>
    <row r="54" spans="1:34" ht="14.15" customHeight="1" thickTop="1" thickBot="1" x14ac:dyDescent="0.25">
      <c r="A54" s="217" t="s">
        <v>256</v>
      </c>
      <c r="B54" s="218"/>
      <c r="C54" s="218"/>
      <c r="D54" s="219" t="e">
        <f ca="1">ROUNDUP(IF(給与種別=0,時間・月額+手当１金額,IF(給与体系="時給制",(時間・月額+手当１金額/150),(時間・月額+手当１金額)/SUMIF(テーブル_勤務時間,給与体系,テーブル!C:C))),0)</f>
        <v>#DIV/0!</v>
      </c>
      <c r="E54" s="220"/>
      <c r="F54" s="99" t="s">
        <v>39</v>
      </c>
      <c r="G54" s="195">
        <f ca="1">+IF(給与種別=0,1,IF(給与体系&lt;&gt;"時給制",SUMIF(テーブル_勤務時間,給与体系,テーブル!K:K),通常時間計))</f>
        <v>0</v>
      </c>
      <c r="H54" s="195"/>
      <c r="I54" s="100" t="str">
        <f ca="1">IF(給与種別=2,"h","m")</f>
        <v>h</v>
      </c>
      <c r="J54" s="221">
        <f ca="1">IF(給与体系="時給制",基本給単価*基本給時間,SUMIF(テーブル!U2:U13,当月,テーブル!V2:V13))</f>
        <v>0</v>
      </c>
      <c r="K54" s="222"/>
      <c r="L54" s="223"/>
      <c r="M54" s="4"/>
      <c r="N54" s="202" t="s">
        <v>188</v>
      </c>
      <c r="O54" s="203"/>
      <c r="P54" s="203"/>
      <c r="Q54" s="204">
        <f>(合計_15分未満切捨て-(K51+K52)*7.5-(O51+O52)*3-(S51+S52)*4.5)</f>
        <v>0</v>
      </c>
      <c r="R54" s="205"/>
      <c r="S54" s="206"/>
      <c r="T54" s="207"/>
      <c r="U54" s="92" t="s">
        <v>197</v>
      </c>
      <c r="Y54" s="208" t="s">
        <v>203</v>
      </c>
      <c r="Z54" s="209"/>
      <c r="AA54" s="63">
        <f>+SUM('8月:4月'!W51:X51)</f>
        <v>0</v>
      </c>
      <c r="AB54" t="s">
        <v>204</v>
      </c>
    </row>
    <row r="55" spans="1:34" ht="14.15" customHeight="1" thickTop="1" thickBot="1" x14ac:dyDescent="0.25">
      <c r="A55" s="192" t="str">
        <f ca="1">+IF(給与体系="時給制","超過勤務","みなし給")</f>
        <v>みなし給</v>
      </c>
      <c r="B55" s="193"/>
      <c r="C55" s="194"/>
      <c r="D55" s="210" t="e">
        <f ca="1">IF(給与体系="140-160時間制",基本給単価/4,IF(時間外係数=0,基本給単価*1.25,ROUNDUP(IF(給与体系="時給制",(時間・月額+手当１金額/150)*時間外係数,(時間・月額+手当１金額)/SUMIF(テーブル_勤務時間,給与体系,テーブル!C:C)*SUMIF(テーブル_勤務時間,給与体系,テーブル!E:E)),0)))</f>
        <v>#DIV/0!</v>
      </c>
      <c r="E55" s="211"/>
      <c r="F55" s="99" t="s">
        <v>39</v>
      </c>
      <c r="G55" s="195">
        <f ca="1">+IF(給与体系="時給制",超過勤務時間計,SUMIF(テーブル_勤務時間,給与体系,テーブル_みなし時間))</f>
        <v>0</v>
      </c>
      <c r="H55" s="195"/>
      <c r="I55" s="100" t="s">
        <v>40</v>
      </c>
      <c r="J55" s="212">
        <f ca="1">IF(みなし給時間="","",IF(給与体系="時給制",みなし給単価*みなし給時間,SUMIF(テーブル!U2:U13,当月,テーブル!W2:W13)))</f>
        <v>0</v>
      </c>
      <c r="K55" s="213"/>
      <c r="L55" s="214"/>
      <c r="M55" s="4"/>
      <c r="N55" s="215" t="s">
        <v>189</v>
      </c>
      <c r="O55" s="216"/>
      <c r="P55" s="216"/>
      <c r="Q55" s="204">
        <f>+N48+R48*7.5</f>
        <v>0</v>
      </c>
      <c r="R55" s="205"/>
      <c r="S55" s="206"/>
      <c r="T55" s="207"/>
      <c r="U55" s="92" t="s">
        <v>201</v>
      </c>
      <c r="AA55" s="87" t="s">
        <v>192</v>
      </c>
    </row>
    <row r="56" spans="1:34" ht="14.15" customHeight="1" thickTop="1" thickBot="1" x14ac:dyDescent="0.25">
      <c r="A56" s="192" t="str">
        <f ca="1">+IF(給与体系="時給制","深夜残業","月額給")</f>
        <v>月額給</v>
      </c>
      <c r="B56" s="193"/>
      <c r="C56" s="194"/>
      <c r="D56" s="200" t="e">
        <f ca="1">IF(給与体系="時給制",ROUND(基本給単価*(1.5+MAX(0,時間外係数-1.25)),0),IF(給与体系="月給制","",VLOOKUP(給与体系,テーブル!B:F,5,0)))</f>
        <v>#N/A</v>
      </c>
      <c r="E56" s="201"/>
      <c r="F56" s="99" t="str">
        <f ca="1">+IF(給与体系="時給制","＊",IF(給与体系="月給制","","－"))</f>
        <v>－</v>
      </c>
      <c r="G56" s="195" t="e">
        <f ca="1">+IF(給与体系="時給制",深夜残業時間計,IF(給与体系="月給制","月額給",VLOOKUP(給与体系,テーブル!B:G,6,0)))</f>
        <v>#N/A</v>
      </c>
      <c r="H56" s="195"/>
      <c r="I56" s="100" t="str">
        <f ca="1">+IF(給与体系="時給制","h","制")</f>
        <v>制</v>
      </c>
      <c r="J56" s="179">
        <f ca="1">IF(給与体系="時給制",D56*G56,基本給+みなし給)</f>
        <v>0</v>
      </c>
      <c r="K56" s="180"/>
      <c r="L56" s="181"/>
      <c r="M56" s="4"/>
      <c r="N56" s="202" t="s">
        <v>190</v>
      </c>
      <c r="O56" s="203"/>
      <c r="P56" s="203"/>
      <c r="Q56" s="204">
        <f>+Q54-Q55</f>
        <v>0</v>
      </c>
      <c r="R56" s="205"/>
      <c r="S56" s="206"/>
      <c r="T56" s="207"/>
      <c r="U56" s="92" t="s">
        <v>199</v>
      </c>
      <c r="AA56" s="86">
        <f>IF(D62="テレワーク手当",J62/400,IF(D63="テレワーク手当",J63/400,IF(D64="テレワーク手当",J64/400,0)))</f>
        <v>0</v>
      </c>
      <c r="AB56" t="s">
        <v>193</v>
      </c>
    </row>
    <row r="57" spans="1:34" ht="14.15" customHeight="1" thickTop="1" thickBot="1" x14ac:dyDescent="0.25">
      <c r="A57" s="192" t="str">
        <f ca="1">+IF(給与体系="時給制","休日出勤","控除精算")</f>
        <v>控除精算</v>
      </c>
      <c r="B57" s="193"/>
      <c r="C57" s="194"/>
      <c r="D57" s="176" t="e">
        <f ca="1">ROUNDUP(IF(給与種別=0,0,IF(給与体系="時給制",(基本給単価)*1.35,(時間・月額)/SUMIF(テーブル_勤務時間,給与体系,テーブル!C:C))),0)</f>
        <v>#DIV/0!</v>
      </c>
      <c r="E57" s="177"/>
      <c r="F57" s="99" t="s">
        <v>39</v>
      </c>
      <c r="G57" s="195">
        <f ca="1">IF(給与体系="時給制",休日出勤時間計,IF(給与体系="月給制",-1*欠勤時間計,IF(給与体系="140-160時間制",MIN(0,時間合計-140),MIN(0,補正勤務時間合計-SUMIF(テーブル_勤務時間,給与体系,テーブル!H:H)))))</f>
        <v>0</v>
      </c>
      <c r="H57" s="195"/>
      <c r="I57" s="100" t="s">
        <v>40</v>
      </c>
      <c r="J57" s="179" t="e">
        <f ca="1">MAX(控除単価*控除時間,時間・月額*-1)</f>
        <v>#DIV/0!</v>
      </c>
      <c r="K57" s="180"/>
      <c r="L57" s="181"/>
      <c r="M57" s="4"/>
      <c r="N57" s="196" t="s">
        <v>134</v>
      </c>
      <c r="O57" s="197"/>
      <c r="P57" s="198">
        <f ca="1">_xlfn.XLOOKUP(当月,テーブル!U2:U13,テーブル!X2:X13,テーブル!$O$6,FALSE)</f>
        <v>0</v>
      </c>
      <c r="Q57" s="198"/>
      <c r="R57" s="198"/>
      <c r="S57" s="198"/>
      <c r="T57" s="198"/>
      <c r="U57" s="198"/>
      <c r="V57" s="198"/>
      <c r="W57" s="199"/>
    </row>
    <row r="58" spans="1:34" ht="14.15" customHeight="1" x14ac:dyDescent="0.2">
      <c r="A58" s="173" t="str">
        <f ca="1">+IF(給与体系="時給制","休日深夜","超過精算")</f>
        <v>超過精算</v>
      </c>
      <c r="B58" s="174"/>
      <c r="C58" s="175"/>
      <c r="D58" s="176" t="e">
        <f ca="1">ROUNDUP(IF(給与種別=0,((時間・月額+手当１金額)/150),IF(給与体系="時給制",(基本給単価)*1.6,(時間・月額)/SUMIF(テーブル_勤務時間,給与体系,テーブル!C:C))),0)</f>
        <v>#DIV/0!</v>
      </c>
      <c r="E58" s="177"/>
      <c r="F58" s="101" t="s">
        <v>39</v>
      </c>
      <c r="G58" s="178">
        <f ca="1">IF(給与体系="時給制",休日深夜時間計,IF(給与体系="140-160時間制",MAX(0,時間合計-160)*1.25+MAX(0,深夜残業時間計-80)*0.25,(IF(給与体系="管理監督者",(深夜残業時間計+休日深夜時間計)*0.25,MAX(0,補正勤務時間合計-SUMIF(テーブル_勤務時間,給与体系,テーブル!I:I))))))</f>
        <v>0</v>
      </c>
      <c r="H58" s="178"/>
      <c r="I58" s="102" t="s">
        <v>40</v>
      </c>
      <c r="J58" s="179" t="e">
        <f ca="1">超過単価*超過時間</f>
        <v>#DIV/0!</v>
      </c>
      <c r="K58" s="180"/>
      <c r="L58" s="181"/>
      <c r="M58" s="4"/>
      <c r="N58" s="182" t="s">
        <v>157</v>
      </c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94" t="s">
        <v>211</v>
      </c>
    </row>
    <row r="59" spans="1:34" ht="14.15" customHeight="1" thickBot="1" x14ac:dyDescent="0.25">
      <c r="A59" s="183" t="s">
        <v>227</v>
      </c>
      <c r="B59" s="184"/>
      <c r="C59" s="185"/>
      <c r="D59" s="186"/>
      <c r="E59" s="187"/>
      <c r="F59" s="83"/>
      <c r="G59" s="188" t="s">
        <v>255</v>
      </c>
      <c r="H59" s="188"/>
      <c r="I59" s="84"/>
      <c r="J59" s="189" t="str">
        <f>+IF(ISERROR(過不足調整単価*過不足調整時間),"",過不足調整単価*過不足調整時間)</f>
        <v/>
      </c>
      <c r="K59" s="190"/>
      <c r="L59" s="191"/>
      <c r="M59" s="4"/>
      <c r="N59" s="154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95">
        <f ca="1">+SUM(AB17:AB47)+G51*7.5+AB59</f>
        <v>150</v>
      </c>
    </row>
    <row r="60" spans="1:34" ht="14.15" customHeight="1" thickTop="1" x14ac:dyDescent="0.2">
      <c r="A60" s="145"/>
      <c r="B60" s="146"/>
      <c r="C60" s="147"/>
      <c r="D60" s="148" t="s">
        <v>148</v>
      </c>
      <c r="E60" s="149"/>
      <c r="F60" s="149"/>
      <c r="G60" s="149"/>
      <c r="H60" s="149"/>
      <c r="I60" s="150"/>
      <c r="J60" s="151" t="e">
        <f ca="1">IF(給与体系="時給制",SUM(基本給:L59),SUM(J56:L59))</f>
        <v>#DIV/0!</v>
      </c>
      <c r="K60" s="152"/>
      <c r="L60" s="153"/>
      <c r="M60" s="4"/>
      <c r="N60" s="154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6"/>
      <c r="AB60" t="s">
        <v>229</v>
      </c>
    </row>
    <row r="61" spans="1:34" ht="14.15" customHeight="1" x14ac:dyDescent="0.2">
      <c r="A61" s="157" t="s">
        <v>137</v>
      </c>
      <c r="B61" s="158" t="s">
        <v>182</v>
      </c>
      <c r="C61" s="159"/>
      <c r="D61" s="160">
        <f>'4月'!D61</f>
        <v>0</v>
      </c>
      <c r="E61" s="161"/>
      <c r="F61" s="161"/>
      <c r="G61" s="161"/>
      <c r="H61" s="161"/>
      <c r="I61" s="162"/>
      <c r="J61" s="126">
        <f>'4月'!手当１金額</f>
        <v>0</v>
      </c>
      <c r="K61" s="127"/>
      <c r="L61" s="128"/>
      <c r="M61" s="4"/>
      <c r="N61" s="115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7"/>
      <c r="AB61" t="s">
        <v>232</v>
      </c>
      <c r="AC61" t="s">
        <v>235</v>
      </c>
    </row>
    <row r="62" spans="1:34" ht="14.15" customHeight="1" x14ac:dyDescent="0.2">
      <c r="A62" s="157"/>
      <c r="B62" s="163" t="s">
        <v>183</v>
      </c>
      <c r="C62" s="120"/>
      <c r="D62" s="133"/>
      <c r="E62" s="134"/>
      <c r="F62" s="134"/>
      <c r="G62" s="134"/>
      <c r="H62" s="134"/>
      <c r="I62" s="135"/>
      <c r="J62" s="126"/>
      <c r="K62" s="127"/>
      <c r="L62" s="128"/>
      <c r="M62" s="4"/>
      <c r="N62" s="115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7"/>
      <c r="AB62" t="s">
        <v>239</v>
      </c>
      <c r="AC62" t="s">
        <v>236</v>
      </c>
    </row>
    <row r="63" spans="1:34" ht="14.15" customHeight="1" x14ac:dyDescent="0.2">
      <c r="A63" s="157"/>
      <c r="B63" s="164"/>
      <c r="C63" s="165"/>
      <c r="D63" s="133"/>
      <c r="E63" s="134"/>
      <c r="F63" s="134"/>
      <c r="G63" s="134"/>
      <c r="H63" s="134"/>
      <c r="I63" s="135"/>
      <c r="J63" s="126"/>
      <c r="K63" s="127"/>
      <c r="L63" s="128"/>
      <c r="M63" s="4"/>
      <c r="N63" s="115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7"/>
      <c r="AB63" t="s">
        <v>245</v>
      </c>
      <c r="AC63" t="s">
        <v>249</v>
      </c>
    </row>
    <row r="64" spans="1:34" ht="14.15" customHeight="1" x14ac:dyDescent="0.2">
      <c r="A64" s="157"/>
      <c r="B64" s="166"/>
      <c r="C64" s="123"/>
      <c r="D64" s="133"/>
      <c r="E64" s="134"/>
      <c r="F64" s="134"/>
      <c r="G64" s="134"/>
      <c r="H64" s="134"/>
      <c r="I64" s="135"/>
      <c r="J64" s="126"/>
      <c r="K64" s="127"/>
      <c r="L64" s="128"/>
      <c r="M64" s="4"/>
      <c r="N64" s="115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7"/>
      <c r="AB64" t="s">
        <v>247</v>
      </c>
      <c r="AC64" t="s">
        <v>237</v>
      </c>
    </row>
    <row r="65" spans="1:29" ht="14.15" customHeight="1" x14ac:dyDescent="0.2">
      <c r="A65" s="136" t="s">
        <v>28</v>
      </c>
      <c r="B65" s="137"/>
      <c r="C65" s="137"/>
      <c r="D65" s="137"/>
      <c r="E65" s="137"/>
      <c r="F65" s="137"/>
      <c r="G65" s="137"/>
      <c r="H65" s="137"/>
      <c r="I65" s="138"/>
      <c r="J65" s="139" t="e">
        <f ca="1">J60+SUM(J62:L64)</f>
        <v>#DIV/0!</v>
      </c>
      <c r="K65" s="140"/>
      <c r="L65" s="141"/>
      <c r="M65" s="4"/>
      <c r="N65" s="142" t="str">
        <f>+IF('4月'!J66=0," ※前月の通勤費がゼロのため通勤交通費が表示されない","")</f>
        <v xml:space="preserve"> ※前月の通勤費がゼロのため通勤交通費が表示されない</v>
      </c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4"/>
    </row>
    <row r="66" spans="1:29" ht="14.15" customHeight="1" x14ac:dyDescent="0.2">
      <c r="A66" s="132" t="s">
        <v>169</v>
      </c>
      <c r="B66" s="124"/>
      <c r="C66" s="124"/>
      <c r="D66" s="124"/>
      <c r="E66" s="124"/>
      <c r="F66" s="124"/>
      <c r="G66" s="124"/>
      <c r="H66" s="124"/>
      <c r="I66" s="125"/>
      <c r="J66" s="126">
        <f>+'7月'!$J$66</f>
        <v>0</v>
      </c>
      <c r="K66" s="127"/>
      <c r="L66" s="128"/>
      <c r="M66" s="4"/>
      <c r="N66" s="115" t="str">
        <f>+IF(C51=0," ※出勤がないため通勤交通費の支給は無し","")</f>
        <v xml:space="preserve"> ※出勤がないため通勤交通費の支給は無し</v>
      </c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7"/>
      <c r="AB66" t="s">
        <v>246</v>
      </c>
      <c r="AC66" t="s">
        <v>253</v>
      </c>
    </row>
    <row r="67" spans="1:29" ht="14.15" customHeight="1" x14ac:dyDescent="0.2">
      <c r="A67" s="132" t="s">
        <v>141</v>
      </c>
      <c r="B67" s="124"/>
      <c r="C67" s="125"/>
      <c r="D67" s="124" t="s">
        <v>138</v>
      </c>
      <c r="E67" s="124"/>
      <c r="F67" s="124"/>
      <c r="G67" s="124"/>
      <c r="H67" s="124"/>
      <c r="I67" s="125"/>
      <c r="J67" s="126">
        <v>0</v>
      </c>
      <c r="K67" s="127"/>
      <c r="L67" s="128"/>
      <c r="N67" s="115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7"/>
      <c r="AB67" t="s">
        <v>248</v>
      </c>
      <c r="AC67" t="s">
        <v>254</v>
      </c>
    </row>
    <row r="68" spans="1:29" ht="14.15" customHeight="1" x14ac:dyDescent="0.2">
      <c r="A68" s="118" t="s">
        <v>140</v>
      </c>
      <c r="B68" s="119"/>
      <c r="C68" s="120"/>
      <c r="D68" s="124" t="s">
        <v>138</v>
      </c>
      <c r="E68" s="124"/>
      <c r="F68" s="124"/>
      <c r="G68" s="124"/>
      <c r="H68" s="124"/>
      <c r="I68" s="125"/>
      <c r="J68" s="126">
        <v>0</v>
      </c>
      <c r="K68" s="127"/>
      <c r="L68" s="128"/>
      <c r="N68" s="115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7"/>
    </row>
    <row r="69" spans="1:29" ht="13.5" customHeight="1" x14ac:dyDescent="0.2">
      <c r="A69" s="121"/>
      <c r="B69" s="122"/>
      <c r="C69" s="123"/>
      <c r="D69" s="124" t="s">
        <v>139</v>
      </c>
      <c r="E69" s="124"/>
      <c r="F69" s="124"/>
      <c r="G69" s="124"/>
      <c r="H69" s="124"/>
      <c r="I69" s="125"/>
      <c r="J69" s="129"/>
      <c r="K69" s="130"/>
      <c r="L69" s="131"/>
      <c r="N69" s="115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7"/>
      <c r="AB69" t="s">
        <v>240</v>
      </c>
      <c r="AC69" t="s">
        <v>233</v>
      </c>
    </row>
    <row r="70" spans="1:29" ht="14.15" customHeight="1" thickBot="1" x14ac:dyDescent="0.25">
      <c r="A70" s="109" t="s">
        <v>31</v>
      </c>
      <c r="B70" s="110"/>
      <c r="C70" s="110"/>
      <c r="D70" s="110"/>
      <c r="E70" s="110"/>
      <c r="F70" s="110"/>
      <c r="G70" s="110"/>
      <c r="H70" s="110"/>
      <c r="I70" s="111"/>
      <c r="J70" s="112" t="e">
        <f ca="1">SUM(J65:L69)</f>
        <v>#DIV/0!</v>
      </c>
      <c r="K70" s="113"/>
      <c r="L70" s="114"/>
      <c r="N70" s="115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7"/>
      <c r="AB70" t="s">
        <v>242</v>
      </c>
      <c r="AC70" t="s">
        <v>241</v>
      </c>
    </row>
    <row r="71" spans="1:29" ht="13.5" thickTop="1" x14ac:dyDescent="0.2">
      <c r="T71">
        <v>0</v>
      </c>
      <c r="AB71" t="s">
        <v>230</v>
      </c>
      <c r="AC71" t="s">
        <v>231</v>
      </c>
    </row>
    <row r="73" spans="1:29" x14ac:dyDescent="0.2">
      <c r="AB73" t="s">
        <v>228</v>
      </c>
    </row>
    <row r="74" spans="1:29" x14ac:dyDescent="0.2">
      <c r="AB74" t="s">
        <v>232</v>
      </c>
      <c r="AC74" t="s">
        <v>234</v>
      </c>
    </row>
    <row r="75" spans="1:29" x14ac:dyDescent="0.2">
      <c r="AB75" t="s">
        <v>239</v>
      </c>
      <c r="AC75" t="s">
        <v>238</v>
      </c>
    </row>
    <row r="76" spans="1:29" x14ac:dyDescent="0.2">
      <c r="AB76" t="s">
        <v>245</v>
      </c>
      <c r="AC76" t="s">
        <v>250</v>
      </c>
    </row>
    <row r="79" spans="1:29" x14ac:dyDescent="0.2">
      <c r="AB79" t="s">
        <v>246</v>
      </c>
      <c r="AC79" t="s">
        <v>251</v>
      </c>
    </row>
    <row r="80" spans="1:29" x14ac:dyDescent="0.2">
      <c r="AB80" t="s">
        <v>248</v>
      </c>
      <c r="AC80" t="s">
        <v>252</v>
      </c>
    </row>
    <row r="82" spans="28:29" x14ac:dyDescent="0.2">
      <c r="AB82" t="s">
        <v>240</v>
      </c>
      <c r="AC82" t="s">
        <v>243</v>
      </c>
    </row>
    <row r="83" spans="28:29" x14ac:dyDescent="0.2">
      <c r="AB83" t="s">
        <v>242</v>
      </c>
      <c r="AC83" t="s">
        <v>244</v>
      </c>
    </row>
  </sheetData>
  <dataConsolidate/>
  <mergeCells count="534">
    <mergeCell ref="T9:Z9"/>
    <mergeCell ref="A10:B11"/>
    <mergeCell ref="C10:J11"/>
    <mergeCell ref="T10:Z10"/>
    <mergeCell ref="Y2:Z2"/>
    <mergeCell ref="A3:Z4"/>
    <mergeCell ref="A5:D5"/>
    <mergeCell ref="E5:I6"/>
    <mergeCell ref="A6:D6"/>
    <mergeCell ref="P7:Z7"/>
    <mergeCell ref="N7:O7"/>
    <mergeCell ref="A12:B13"/>
    <mergeCell ref="C12:J13"/>
    <mergeCell ref="A15:B16"/>
    <mergeCell ref="C15:C16"/>
    <mergeCell ref="D15:G15"/>
    <mergeCell ref="H15:I16"/>
    <mergeCell ref="J15:K16"/>
    <mergeCell ref="A8:B9"/>
    <mergeCell ref="C8:J9"/>
    <mergeCell ref="A17:B17"/>
    <mergeCell ref="D17:E17"/>
    <mergeCell ref="F17:G17"/>
    <mergeCell ref="H17:I17"/>
    <mergeCell ref="J17:K17"/>
    <mergeCell ref="L17:M17"/>
    <mergeCell ref="L15:M16"/>
    <mergeCell ref="N15:O16"/>
    <mergeCell ref="P15:Q16"/>
    <mergeCell ref="N17:O17"/>
    <mergeCell ref="P17:Q17"/>
    <mergeCell ref="R17:S17"/>
    <mergeCell ref="T17:U17"/>
    <mergeCell ref="V17:W17"/>
    <mergeCell ref="X17:Z17"/>
    <mergeCell ref="X15:Z16"/>
    <mergeCell ref="AA15:AA16"/>
    <mergeCell ref="D16:E16"/>
    <mergeCell ref="F16:G16"/>
    <mergeCell ref="R15:S16"/>
    <mergeCell ref="T15:U16"/>
    <mergeCell ref="V15:W16"/>
    <mergeCell ref="N18:O18"/>
    <mergeCell ref="P18:Q18"/>
    <mergeCell ref="R18:S18"/>
    <mergeCell ref="T18:U18"/>
    <mergeCell ref="V18:W18"/>
    <mergeCell ref="X18:Z18"/>
    <mergeCell ref="A18:B18"/>
    <mergeCell ref="D18:E18"/>
    <mergeCell ref="F18:G18"/>
    <mergeCell ref="H18:I18"/>
    <mergeCell ref="J18:K18"/>
    <mergeCell ref="L18:M18"/>
    <mergeCell ref="N19:O19"/>
    <mergeCell ref="P19:Q19"/>
    <mergeCell ref="R19:S19"/>
    <mergeCell ref="T19:U19"/>
    <mergeCell ref="V19:W19"/>
    <mergeCell ref="X19:Z19"/>
    <mergeCell ref="A19:B19"/>
    <mergeCell ref="D19:E19"/>
    <mergeCell ref="F19:G19"/>
    <mergeCell ref="H19:I19"/>
    <mergeCell ref="J19:K19"/>
    <mergeCell ref="L19:M19"/>
    <mergeCell ref="N20:O20"/>
    <mergeCell ref="P20:Q20"/>
    <mergeCell ref="R20:S20"/>
    <mergeCell ref="T20:U20"/>
    <mergeCell ref="V20:W20"/>
    <mergeCell ref="X20:Z20"/>
    <mergeCell ref="A20:B20"/>
    <mergeCell ref="D20:E20"/>
    <mergeCell ref="F20:G20"/>
    <mergeCell ref="H20:I20"/>
    <mergeCell ref="J20:K20"/>
    <mergeCell ref="L20:M20"/>
    <mergeCell ref="N21:O21"/>
    <mergeCell ref="P21:Q21"/>
    <mergeCell ref="R21:S21"/>
    <mergeCell ref="T21:U21"/>
    <mergeCell ref="V21:W21"/>
    <mergeCell ref="X21:Z21"/>
    <mergeCell ref="A21:B21"/>
    <mergeCell ref="D21:E21"/>
    <mergeCell ref="F21:G21"/>
    <mergeCell ref="H21:I21"/>
    <mergeCell ref="J21:K21"/>
    <mergeCell ref="L21:M21"/>
    <mergeCell ref="N22:O22"/>
    <mergeCell ref="P22:Q22"/>
    <mergeCell ref="R22:S22"/>
    <mergeCell ref="T22:U22"/>
    <mergeCell ref="V22:W22"/>
    <mergeCell ref="X22:Z22"/>
    <mergeCell ref="A22:B22"/>
    <mergeCell ref="D22:E22"/>
    <mergeCell ref="F22:G22"/>
    <mergeCell ref="H22:I22"/>
    <mergeCell ref="J22:K22"/>
    <mergeCell ref="L22:M22"/>
    <mergeCell ref="N23:O23"/>
    <mergeCell ref="P23:Q23"/>
    <mergeCell ref="R23:S23"/>
    <mergeCell ref="T23:U23"/>
    <mergeCell ref="V23:W23"/>
    <mergeCell ref="X23:Z23"/>
    <mergeCell ref="A23:B23"/>
    <mergeCell ref="D23:E23"/>
    <mergeCell ref="F23:G23"/>
    <mergeCell ref="H23:I23"/>
    <mergeCell ref="J23:K23"/>
    <mergeCell ref="L23:M23"/>
    <mergeCell ref="N24:O24"/>
    <mergeCell ref="P24:Q24"/>
    <mergeCell ref="R24:S24"/>
    <mergeCell ref="T24:U24"/>
    <mergeCell ref="V24:W24"/>
    <mergeCell ref="X24:Z24"/>
    <mergeCell ref="A24:B24"/>
    <mergeCell ref="D24:E24"/>
    <mergeCell ref="F24:G24"/>
    <mergeCell ref="H24:I24"/>
    <mergeCell ref="J24:K24"/>
    <mergeCell ref="L24:M24"/>
    <mergeCell ref="N25:O25"/>
    <mergeCell ref="P25:Q25"/>
    <mergeCell ref="R25:S25"/>
    <mergeCell ref="T25:U25"/>
    <mergeCell ref="V25:W25"/>
    <mergeCell ref="X25:Z25"/>
    <mergeCell ref="A25:B25"/>
    <mergeCell ref="D25:E25"/>
    <mergeCell ref="F25:G25"/>
    <mergeCell ref="H25:I25"/>
    <mergeCell ref="J25:K25"/>
    <mergeCell ref="L25:M25"/>
    <mergeCell ref="N26:O26"/>
    <mergeCell ref="P26:Q26"/>
    <mergeCell ref="R26:S26"/>
    <mergeCell ref="T26:U26"/>
    <mergeCell ref="V26:W26"/>
    <mergeCell ref="X26:Z26"/>
    <mergeCell ref="A26:B26"/>
    <mergeCell ref="D26:E26"/>
    <mergeCell ref="F26:G26"/>
    <mergeCell ref="H26:I26"/>
    <mergeCell ref="J26:K26"/>
    <mergeCell ref="L26:M26"/>
    <mergeCell ref="N27:O27"/>
    <mergeCell ref="P27:Q27"/>
    <mergeCell ref="R27:S27"/>
    <mergeCell ref="T27:U27"/>
    <mergeCell ref="V27:W27"/>
    <mergeCell ref="X27:Z27"/>
    <mergeCell ref="A27:B27"/>
    <mergeCell ref="D27:E27"/>
    <mergeCell ref="F27:G27"/>
    <mergeCell ref="H27:I27"/>
    <mergeCell ref="J27:K27"/>
    <mergeCell ref="L27:M27"/>
    <mergeCell ref="N28:O28"/>
    <mergeCell ref="P28:Q28"/>
    <mergeCell ref="R28:S28"/>
    <mergeCell ref="T28:U28"/>
    <mergeCell ref="V28:W28"/>
    <mergeCell ref="X28:Z28"/>
    <mergeCell ref="A28:B28"/>
    <mergeCell ref="D28:E28"/>
    <mergeCell ref="F28:G28"/>
    <mergeCell ref="H28:I28"/>
    <mergeCell ref="J28:K28"/>
    <mergeCell ref="L28:M28"/>
    <mergeCell ref="N29:O29"/>
    <mergeCell ref="P29:Q29"/>
    <mergeCell ref="R29:S29"/>
    <mergeCell ref="T29:U29"/>
    <mergeCell ref="V29:W29"/>
    <mergeCell ref="X29:Z29"/>
    <mergeCell ref="A29:B29"/>
    <mergeCell ref="D29:E29"/>
    <mergeCell ref="F29:G29"/>
    <mergeCell ref="H29:I29"/>
    <mergeCell ref="J29:K29"/>
    <mergeCell ref="L29:M29"/>
    <mergeCell ref="N30:O30"/>
    <mergeCell ref="P30:Q30"/>
    <mergeCell ref="R30:S30"/>
    <mergeCell ref="T30:U30"/>
    <mergeCell ref="V30:W30"/>
    <mergeCell ref="X30:Z30"/>
    <mergeCell ref="A30:B30"/>
    <mergeCell ref="D30:E30"/>
    <mergeCell ref="F30:G30"/>
    <mergeCell ref="H30:I30"/>
    <mergeCell ref="J30:K30"/>
    <mergeCell ref="L30:M30"/>
    <mergeCell ref="N31:O31"/>
    <mergeCell ref="P31:Q31"/>
    <mergeCell ref="R31:S31"/>
    <mergeCell ref="T31:U31"/>
    <mergeCell ref="V31:W31"/>
    <mergeCell ref="X31:Z31"/>
    <mergeCell ref="A31:B31"/>
    <mergeCell ref="D31:E31"/>
    <mergeCell ref="F31:G31"/>
    <mergeCell ref="H31:I31"/>
    <mergeCell ref="J31:K31"/>
    <mergeCell ref="L31:M31"/>
    <mergeCell ref="N32:O32"/>
    <mergeCell ref="P32:Q32"/>
    <mergeCell ref="R32:S32"/>
    <mergeCell ref="T32:U32"/>
    <mergeCell ref="V32:W32"/>
    <mergeCell ref="X32:Z32"/>
    <mergeCell ref="A32:B32"/>
    <mergeCell ref="D32:E32"/>
    <mergeCell ref="F32:G32"/>
    <mergeCell ref="H32:I32"/>
    <mergeCell ref="J32:K32"/>
    <mergeCell ref="L32:M32"/>
    <mergeCell ref="N33:O33"/>
    <mergeCell ref="P33:Q33"/>
    <mergeCell ref="R33:S33"/>
    <mergeCell ref="T33:U33"/>
    <mergeCell ref="V33:W33"/>
    <mergeCell ref="X33:Z33"/>
    <mergeCell ref="A33:B33"/>
    <mergeCell ref="D33:E33"/>
    <mergeCell ref="F33:G33"/>
    <mergeCell ref="H33:I33"/>
    <mergeCell ref="J33:K33"/>
    <mergeCell ref="L33:M33"/>
    <mergeCell ref="N34:O34"/>
    <mergeCell ref="P34:Q34"/>
    <mergeCell ref="R34:S34"/>
    <mergeCell ref="T34:U34"/>
    <mergeCell ref="V34:W34"/>
    <mergeCell ref="X34:Z34"/>
    <mergeCell ref="A34:B34"/>
    <mergeCell ref="D34:E34"/>
    <mergeCell ref="F34:G34"/>
    <mergeCell ref="H34:I34"/>
    <mergeCell ref="J34:K34"/>
    <mergeCell ref="L34:M34"/>
    <mergeCell ref="N35:O35"/>
    <mergeCell ref="P35:Q35"/>
    <mergeCell ref="R35:S35"/>
    <mergeCell ref="T35:U35"/>
    <mergeCell ref="V35:W35"/>
    <mergeCell ref="X35:Z35"/>
    <mergeCell ref="A35:B35"/>
    <mergeCell ref="D35:E35"/>
    <mergeCell ref="F35:G35"/>
    <mergeCell ref="H35:I35"/>
    <mergeCell ref="J35:K35"/>
    <mergeCell ref="L35:M35"/>
    <mergeCell ref="N36:O36"/>
    <mergeCell ref="P36:Q36"/>
    <mergeCell ref="R36:S36"/>
    <mergeCell ref="T36:U36"/>
    <mergeCell ref="V36:W36"/>
    <mergeCell ref="X36:Z36"/>
    <mergeCell ref="A36:B36"/>
    <mergeCell ref="D36:E36"/>
    <mergeCell ref="F36:G36"/>
    <mergeCell ref="H36:I36"/>
    <mergeCell ref="J36:K36"/>
    <mergeCell ref="L36:M36"/>
    <mergeCell ref="N37:O37"/>
    <mergeCell ref="P37:Q37"/>
    <mergeCell ref="R37:S37"/>
    <mergeCell ref="T37:U37"/>
    <mergeCell ref="V37:W37"/>
    <mergeCell ref="X37:Z37"/>
    <mergeCell ref="A37:B37"/>
    <mergeCell ref="D37:E37"/>
    <mergeCell ref="F37:G37"/>
    <mergeCell ref="H37:I37"/>
    <mergeCell ref="J37:K37"/>
    <mergeCell ref="L37:M37"/>
    <mergeCell ref="N38:O38"/>
    <mergeCell ref="P38:Q38"/>
    <mergeCell ref="R38:S38"/>
    <mergeCell ref="T38:U38"/>
    <mergeCell ref="V38:W38"/>
    <mergeCell ref="X38:Z38"/>
    <mergeCell ref="A38:B38"/>
    <mergeCell ref="D38:E38"/>
    <mergeCell ref="F38:G38"/>
    <mergeCell ref="H38:I38"/>
    <mergeCell ref="J38:K38"/>
    <mergeCell ref="L38:M38"/>
    <mergeCell ref="N39:O39"/>
    <mergeCell ref="P39:Q39"/>
    <mergeCell ref="R39:S39"/>
    <mergeCell ref="T39:U39"/>
    <mergeCell ref="V39:W39"/>
    <mergeCell ref="X39:Z39"/>
    <mergeCell ref="A39:B39"/>
    <mergeCell ref="D39:E39"/>
    <mergeCell ref="F39:G39"/>
    <mergeCell ref="H39:I39"/>
    <mergeCell ref="J39:K39"/>
    <mergeCell ref="L39:M39"/>
    <mergeCell ref="N40:O40"/>
    <mergeCell ref="P40:Q40"/>
    <mergeCell ref="R40:S40"/>
    <mergeCell ref="T40:U40"/>
    <mergeCell ref="V40:W40"/>
    <mergeCell ref="X40:Z40"/>
    <mergeCell ref="A40:B40"/>
    <mergeCell ref="D40:E40"/>
    <mergeCell ref="F40:G40"/>
    <mergeCell ref="H40:I40"/>
    <mergeCell ref="J40:K40"/>
    <mergeCell ref="L40:M40"/>
    <mergeCell ref="N41:O41"/>
    <mergeCell ref="P41:Q41"/>
    <mergeCell ref="R41:S41"/>
    <mergeCell ref="T41:U41"/>
    <mergeCell ref="V41:W41"/>
    <mergeCell ref="X41:Z41"/>
    <mergeCell ref="A41:B41"/>
    <mergeCell ref="D41:E41"/>
    <mergeCell ref="F41:G41"/>
    <mergeCell ref="H41:I41"/>
    <mergeCell ref="J41:K41"/>
    <mergeCell ref="L41:M41"/>
    <mergeCell ref="N42:O42"/>
    <mergeCell ref="P42:Q42"/>
    <mergeCell ref="R42:S42"/>
    <mergeCell ref="T42:U42"/>
    <mergeCell ref="V42:W42"/>
    <mergeCell ref="X42:Z42"/>
    <mergeCell ref="A42:B42"/>
    <mergeCell ref="D42:E42"/>
    <mergeCell ref="F42:G42"/>
    <mergeCell ref="H42:I42"/>
    <mergeCell ref="J42:K42"/>
    <mergeCell ref="L42:M42"/>
    <mergeCell ref="N43:O43"/>
    <mergeCell ref="P43:Q43"/>
    <mergeCell ref="R43:S43"/>
    <mergeCell ref="T43:U43"/>
    <mergeCell ref="V43:W43"/>
    <mergeCell ref="X43:Z43"/>
    <mergeCell ref="A43:B43"/>
    <mergeCell ref="D43:E43"/>
    <mergeCell ref="F43:G43"/>
    <mergeCell ref="H43:I43"/>
    <mergeCell ref="J43:K43"/>
    <mergeCell ref="L43:M43"/>
    <mergeCell ref="N44:O44"/>
    <mergeCell ref="P44:Q44"/>
    <mergeCell ref="R44:S44"/>
    <mergeCell ref="T44:U44"/>
    <mergeCell ref="V44:W44"/>
    <mergeCell ref="X44:Z44"/>
    <mergeCell ref="A44:B44"/>
    <mergeCell ref="D44:E44"/>
    <mergeCell ref="F44:G44"/>
    <mergeCell ref="H44:I44"/>
    <mergeCell ref="J44:K44"/>
    <mergeCell ref="L44:M44"/>
    <mergeCell ref="N45:O45"/>
    <mergeCell ref="P45:Q45"/>
    <mergeCell ref="R45:S45"/>
    <mergeCell ref="T45:U45"/>
    <mergeCell ref="V45:W45"/>
    <mergeCell ref="X45:Z45"/>
    <mergeCell ref="A45:B45"/>
    <mergeCell ref="D45:E45"/>
    <mergeCell ref="F45:G45"/>
    <mergeCell ref="H45:I45"/>
    <mergeCell ref="J45:K45"/>
    <mergeCell ref="L45:M45"/>
    <mergeCell ref="N46:O46"/>
    <mergeCell ref="P46:Q46"/>
    <mergeCell ref="R46:S46"/>
    <mergeCell ref="T46:U46"/>
    <mergeCell ref="V46:W46"/>
    <mergeCell ref="X46:Z46"/>
    <mergeCell ref="A46:B46"/>
    <mergeCell ref="D46:E46"/>
    <mergeCell ref="F46:G46"/>
    <mergeCell ref="H46:I46"/>
    <mergeCell ref="J46:K46"/>
    <mergeCell ref="L46:M46"/>
    <mergeCell ref="N47:O47"/>
    <mergeCell ref="P47:Q47"/>
    <mergeCell ref="R47:S47"/>
    <mergeCell ref="T47:U47"/>
    <mergeCell ref="V47:W47"/>
    <mergeCell ref="X47:Z47"/>
    <mergeCell ref="A47:B47"/>
    <mergeCell ref="D47:E47"/>
    <mergeCell ref="F47:G47"/>
    <mergeCell ref="H47:I47"/>
    <mergeCell ref="J47:K47"/>
    <mergeCell ref="L47:M47"/>
    <mergeCell ref="N48:O48"/>
    <mergeCell ref="P48:Q48"/>
    <mergeCell ref="R48:S48"/>
    <mergeCell ref="T48:U48"/>
    <mergeCell ref="V48:W48"/>
    <mergeCell ref="X48:Z48"/>
    <mergeCell ref="A48:B48"/>
    <mergeCell ref="D48:E48"/>
    <mergeCell ref="F48:G48"/>
    <mergeCell ref="H48:I48"/>
    <mergeCell ref="J48:K48"/>
    <mergeCell ref="L48:M48"/>
    <mergeCell ref="Y52:Z52"/>
    <mergeCell ref="A52:E52"/>
    <mergeCell ref="F52:H52"/>
    <mergeCell ref="I52:J52"/>
    <mergeCell ref="V49:W49"/>
    <mergeCell ref="X49:Z49"/>
    <mergeCell ref="A50:K50"/>
    <mergeCell ref="L50:M50"/>
    <mergeCell ref="N50:O50"/>
    <mergeCell ref="P50:Q50"/>
    <mergeCell ref="R50:S50"/>
    <mergeCell ref="T50:U50"/>
    <mergeCell ref="V50:W50"/>
    <mergeCell ref="X50:Z50"/>
    <mergeCell ref="A49:K49"/>
    <mergeCell ref="L49:M49"/>
    <mergeCell ref="N49:O49"/>
    <mergeCell ref="P49:Q49"/>
    <mergeCell ref="R49:S49"/>
    <mergeCell ref="T49:U49"/>
    <mergeCell ref="K52:L52"/>
    <mergeCell ref="M52:N52"/>
    <mergeCell ref="O52:P52"/>
    <mergeCell ref="Q52:R52"/>
    <mergeCell ref="AE50:AF50"/>
    <mergeCell ref="A51:B51"/>
    <mergeCell ref="C51:D51"/>
    <mergeCell ref="E51:F51"/>
    <mergeCell ref="G51:H51"/>
    <mergeCell ref="I51:J51"/>
    <mergeCell ref="K51:L51"/>
    <mergeCell ref="M51:N51"/>
    <mergeCell ref="O51:P51"/>
    <mergeCell ref="Q51:R51"/>
    <mergeCell ref="S51:T51"/>
    <mergeCell ref="U51:V51"/>
    <mergeCell ref="W51:X51"/>
    <mergeCell ref="Y51:Z51"/>
    <mergeCell ref="Q56:T56"/>
    <mergeCell ref="Y53:Z53"/>
    <mergeCell ref="Y54:Z54"/>
    <mergeCell ref="A55:C55"/>
    <mergeCell ref="D55:E55"/>
    <mergeCell ref="G55:H55"/>
    <mergeCell ref="J55:L55"/>
    <mergeCell ref="N55:P55"/>
    <mergeCell ref="Q55:T55"/>
    <mergeCell ref="A54:C54"/>
    <mergeCell ref="D54:E54"/>
    <mergeCell ref="G54:H54"/>
    <mergeCell ref="J54:L54"/>
    <mergeCell ref="N54:P54"/>
    <mergeCell ref="Q54:T54"/>
    <mergeCell ref="A53:C53"/>
    <mergeCell ref="D53:E53"/>
    <mergeCell ref="G53:H53"/>
    <mergeCell ref="J53:L53"/>
    <mergeCell ref="S52:T52"/>
    <mergeCell ref="U52:V52"/>
    <mergeCell ref="W52:X52"/>
    <mergeCell ref="A58:C58"/>
    <mergeCell ref="D58:E58"/>
    <mergeCell ref="G58:H58"/>
    <mergeCell ref="J58:L58"/>
    <mergeCell ref="N58:Z58"/>
    <mergeCell ref="A59:C59"/>
    <mergeCell ref="D59:E59"/>
    <mergeCell ref="G59:H59"/>
    <mergeCell ref="J59:L59"/>
    <mergeCell ref="N59:Z59"/>
    <mergeCell ref="A57:C57"/>
    <mergeCell ref="D57:E57"/>
    <mergeCell ref="G57:H57"/>
    <mergeCell ref="J57:L57"/>
    <mergeCell ref="N57:O57"/>
    <mergeCell ref="P57:W57"/>
    <mergeCell ref="A56:C56"/>
    <mergeCell ref="D56:E56"/>
    <mergeCell ref="G56:H56"/>
    <mergeCell ref="J56:L56"/>
    <mergeCell ref="N56:P56"/>
    <mergeCell ref="D62:I62"/>
    <mergeCell ref="J62:L62"/>
    <mergeCell ref="N62:Z62"/>
    <mergeCell ref="D63:I63"/>
    <mergeCell ref="J63:L63"/>
    <mergeCell ref="N63:Z63"/>
    <mergeCell ref="A60:C60"/>
    <mergeCell ref="D60:I60"/>
    <mergeCell ref="J60:L60"/>
    <mergeCell ref="N60:Z60"/>
    <mergeCell ref="A61:A64"/>
    <mergeCell ref="B61:C61"/>
    <mergeCell ref="D61:I61"/>
    <mergeCell ref="J61:L61"/>
    <mergeCell ref="N61:Z61"/>
    <mergeCell ref="B62:C64"/>
    <mergeCell ref="A66:I66"/>
    <mergeCell ref="J66:L66"/>
    <mergeCell ref="N66:Z66"/>
    <mergeCell ref="A67:C67"/>
    <mergeCell ref="D67:I67"/>
    <mergeCell ref="J67:L67"/>
    <mergeCell ref="N67:Z67"/>
    <mergeCell ref="D64:I64"/>
    <mergeCell ref="J64:L64"/>
    <mergeCell ref="N64:Z64"/>
    <mergeCell ref="A65:I65"/>
    <mergeCell ref="J65:L65"/>
    <mergeCell ref="N65:Z65"/>
    <mergeCell ref="A70:I70"/>
    <mergeCell ref="J70:L70"/>
    <mergeCell ref="N70:Z70"/>
    <mergeCell ref="A68:C69"/>
    <mergeCell ref="D68:I68"/>
    <mergeCell ref="J68:L68"/>
    <mergeCell ref="N68:Z68"/>
    <mergeCell ref="D69:I69"/>
    <mergeCell ref="J69:L69"/>
    <mergeCell ref="N69:Z69"/>
  </mergeCells>
  <phoneticPr fontId="3"/>
  <conditionalFormatting sqref="A17:AA47">
    <cfRule type="expression" dxfId="1571" priority="314" stopIfTrue="1">
      <formula>$X17="所休"</formula>
    </cfRule>
    <cfRule type="expression" dxfId="1570" priority="313">
      <formula>$X17="法休"</formula>
    </cfRule>
  </conditionalFormatting>
  <conditionalFormatting sqref="J17:K17">
    <cfRule type="cellIs" dxfId="1569" priority="312" stopIfTrue="1" operator="equal">
      <formula>0</formula>
    </cfRule>
  </conditionalFormatting>
  <conditionalFormatting sqref="L17:M17">
    <cfRule type="cellIs" dxfId="1568" priority="311" stopIfTrue="1" operator="equal">
      <formula>0</formula>
    </cfRule>
  </conditionalFormatting>
  <conditionalFormatting sqref="N17:O17">
    <cfRule type="cellIs" dxfId="1567" priority="310" stopIfTrue="1" operator="equal">
      <formula>0</formula>
    </cfRule>
  </conditionalFormatting>
  <conditionalFormatting sqref="P17:Q17">
    <cfRule type="cellIs" dxfId="1566" priority="309" stopIfTrue="1" operator="equal">
      <formula>0</formula>
    </cfRule>
  </conditionalFormatting>
  <conditionalFormatting sqref="R17:S17">
    <cfRule type="cellIs" dxfId="1565" priority="308" stopIfTrue="1" operator="equal">
      <formula>0</formula>
    </cfRule>
  </conditionalFormatting>
  <conditionalFormatting sqref="T17:U17">
    <cfRule type="cellIs" dxfId="1564" priority="307" stopIfTrue="1" operator="equal">
      <formula>0</formula>
    </cfRule>
  </conditionalFormatting>
  <conditionalFormatting sqref="V17:W17">
    <cfRule type="cellIs" dxfId="1563" priority="306" stopIfTrue="1" operator="equal">
      <formula>0</formula>
    </cfRule>
  </conditionalFormatting>
  <conditionalFormatting sqref="J18:K18">
    <cfRule type="cellIs" dxfId="1562" priority="305" stopIfTrue="1" operator="equal">
      <formula>0</formula>
    </cfRule>
  </conditionalFormatting>
  <conditionalFormatting sqref="L18:M18">
    <cfRule type="cellIs" dxfId="1561" priority="304" stopIfTrue="1" operator="equal">
      <formula>0</formula>
    </cfRule>
  </conditionalFormatting>
  <conditionalFormatting sqref="N18:O18">
    <cfRule type="cellIs" dxfId="1560" priority="303" stopIfTrue="1" operator="equal">
      <formula>0</formula>
    </cfRule>
  </conditionalFormatting>
  <conditionalFormatting sqref="P18:Q18">
    <cfRule type="cellIs" dxfId="1559" priority="302" stopIfTrue="1" operator="equal">
      <formula>0</formula>
    </cfRule>
  </conditionalFormatting>
  <conditionalFormatting sqref="R18:S18">
    <cfRule type="cellIs" dxfId="1558" priority="301" stopIfTrue="1" operator="equal">
      <formula>0</formula>
    </cfRule>
  </conditionalFormatting>
  <conditionalFormatting sqref="T18:U18">
    <cfRule type="cellIs" dxfId="1557" priority="300" stopIfTrue="1" operator="equal">
      <formula>0</formula>
    </cfRule>
  </conditionalFormatting>
  <conditionalFormatting sqref="V18:W18">
    <cfRule type="cellIs" dxfId="1556" priority="299" stopIfTrue="1" operator="equal">
      <formula>0</formula>
    </cfRule>
  </conditionalFormatting>
  <conditionalFormatting sqref="J19:K19">
    <cfRule type="cellIs" dxfId="1555" priority="298" stopIfTrue="1" operator="equal">
      <formula>0</formula>
    </cfRule>
  </conditionalFormatting>
  <conditionalFormatting sqref="L19:M19">
    <cfRule type="cellIs" dxfId="1554" priority="297" stopIfTrue="1" operator="equal">
      <formula>0</formula>
    </cfRule>
  </conditionalFormatting>
  <conditionalFormatting sqref="N19:O19">
    <cfRule type="cellIs" dxfId="1553" priority="296" stopIfTrue="1" operator="equal">
      <formula>0</formula>
    </cfRule>
  </conditionalFormatting>
  <conditionalFormatting sqref="P19:Q19">
    <cfRule type="cellIs" dxfId="1552" priority="295" stopIfTrue="1" operator="equal">
      <formula>0</formula>
    </cfRule>
  </conditionalFormatting>
  <conditionalFormatting sqref="R19:S19">
    <cfRule type="cellIs" dxfId="1551" priority="294" stopIfTrue="1" operator="equal">
      <formula>0</formula>
    </cfRule>
  </conditionalFormatting>
  <conditionalFormatting sqref="T19:U19">
    <cfRule type="cellIs" dxfId="1550" priority="293" stopIfTrue="1" operator="equal">
      <formula>0</formula>
    </cfRule>
  </conditionalFormatting>
  <conditionalFormatting sqref="V19:W19">
    <cfRule type="cellIs" dxfId="1549" priority="292" stopIfTrue="1" operator="equal">
      <formula>0</formula>
    </cfRule>
  </conditionalFormatting>
  <conditionalFormatting sqref="J20:K20">
    <cfRule type="cellIs" dxfId="1548" priority="291" stopIfTrue="1" operator="equal">
      <formula>0</formula>
    </cfRule>
  </conditionalFormatting>
  <conditionalFormatting sqref="L20:M20">
    <cfRule type="cellIs" dxfId="1547" priority="290" stopIfTrue="1" operator="equal">
      <formula>0</formula>
    </cfRule>
  </conditionalFormatting>
  <conditionalFormatting sqref="N20:O20">
    <cfRule type="cellIs" dxfId="1546" priority="289" stopIfTrue="1" operator="equal">
      <formula>0</formula>
    </cfRule>
  </conditionalFormatting>
  <conditionalFormatting sqref="P20:Q20">
    <cfRule type="cellIs" dxfId="1545" priority="288" stopIfTrue="1" operator="equal">
      <formula>0</formula>
    </cfRule>
  </conditionalFormatting>
  <conditionalFormatting sqref="R20:S20">
    <cfRule type="cellIs" dxfId="1544" priority="287" stopIfTrue="1" operator="equal">
      <formula>0</formula>
    </cfRule>
  </conditionalFormatting>
  <conditionalFormatting sqref="T20:U20">
    <cfRule type="cellIs" dxfId="1543" priority="286" stopIfTrue="1" operator="equal">
      <formula>0</formula>
    </cfRule>
  </conditionalFormatting>
  <conditionalFormatting sqref="V20:W20">
    <cfRule type="cellIs" dxfId="1542" priority="285" stopIfTrue="1" operator="equal">
      <formula>0</formula>
    </cfRule>
  </conditionalFormatting>
  <conditionalFormatting sqref="J21:K21">
    <cfRule type="cellIs" dxfId="1541" priority="284" stopIfTrue="1" operator="equal">
      <formula>0</formula>
    </cfRule>
  </conditionalFormatting>
  <conditionalFormatting sqref="L21:M21">
    <cfRule type="cellIs" dxfId="1540" priority="283" stopIfTrue="1" operator="equal">
      <formula>0</formula>
    </cfRule>
  </conditionalFormatting>
  <conditionalFormatting sqref="N21:O21">
    <cfRule type="cellIs" dxfId="1539" priority="282" stopIfTrue="1" operator="equal">
      <formula>0</formula>
    </cfRule>
  </conditionalFormatting>
  <conditionalFormatting sqref="P21:Q21">
    <cfRule type="cellIs" dxfId="1538" priority="281" stopIfTrue="1" operator="equal">
      <formula>0</formula>
    </cfRule>
  </conditionalFormatting>
  <conditionalFormatting sqref="R21:S21">
    <cfRule type="cellIs" dxfId="1537" priority="280" stopIfTrue="1" operator="equal">
      <formula>0</formula>
    </cfRule>
  </conditionalFormatting>
  <conditionalFormatting sqref="T21:U21">
    <cfRule type="cellIs" dxfId="1536" priority="279" stopIfTrue="1" operator="equal">
      <formula>0</formula>
    </cfRule>
  </conditionalFormatting>
  <conditionalFormatting sqref="V21:W21">
    <cfRule type="cellIs" dxfId="1535" priority="278" stopIfTrue="1" operator="equal">
      <formula>0</formula>
    </cfRule>
  </conditionalFormatting>
  <conditionalFormatting sqref="J22:K22">
    <cfRule type="cellIs" dxfId="1534" priority="277" stopIfTrue="1" operator="equal">
      <formula>0</formula>
    </cfRule>
  </conditionalFormatting>
  <conditionalFormatting sqref="L22:M22">
    <cfRule type="cellIs" dxfId="1533" priority="276" stopIfTrue="1" operator="equal">
      <formula>0</formula>
    </cfRule>
  </conditionalFormatting>
  <conditionalFormatting sqref="N22:O22">
    <cfRule type="cellIs" dxfId="1532" priority="275" stopIfTrue="1" operator="equal">
      <formula>0</formula>
    </cfRule>
  </conditionalFormatting>
  <conditionalFormatting sqref="P22:Q22">
    <cfRule type="cellIs" dxfId="1531" priority="274" stopIfTrue="1" operator="equal">
      <formula>0</formula>
    </cfRule>
  </conditionalFormatting>
  <conditionalFormatting sqref="R22:S22">
    <cfRule type="cellIs" dxfId="1530" priority="273" stopIfTrue="1" operator="equal">
      <formula>0</formula>
    </cfRule>
  </conditionalFormatting>
  <conditionalFormatting sqref="T22:U22">
    <cfRule type="cellIs" dxfId="1529" priority="272" stopIfTrue="1" operator="equal">
      <formula>0</formula>
    </cfRule>
  </conditionalFormatting>
  <conditionalFormatting sqref="V22:W22">
    <cfRule type="cellIs" dxfId="1528" priority="271" stopIfTrue="1" operator="equal">
      <formula>0</formula>
    </cfRule>
  </conditionalFormatting>
  <conditionalFormatting sqref="J23:K23">
    <cfRule type="cellIs" dxfId="1527" priority="270" stopIfTrue="1" operator="equal">
      <formula>0</formula>
    </cfRule>
  </conditionalFormatting>
  <conditionalFormatting sqref="L23:M23">
    <cfRule type="cellIs" dxfId="1526" priority="269" stopIfTrue="1" operator="equal">
      <formula>0</formula>
    </cfRule>
  </conditionalFormatting>
  <conditionalFormatting sqref="N23:O23">
    <cfRule type="cellIs" dxfId="1525" priority="268" stopIfTrue="1" operator="equal">
      <formula>0</formula>
    </cfRule>
  </conditionalFormatting>
  <conditionalFormatting sqref="P23:Q23">
    <cfRule type="cellIs" dxfId="1524" priority="267" stopIfTrue="1" operator="equal">
      <formula>0</formula>
    </cfRule>
  </conditionalFormatting>
  <conditionalFormatting sqref="R23:S23">
    <cfRule type="cellIs" dxfId="1523" priority="266" stopIfTrue="1" operator="equal">
      <formula>0</formula>
    </cfRule>
  </conditionalFormatting>
  <conditionalFormatting sqref="T23:U23">
    <cfRule type="cellIs" dxfId="1522" priority="265" stopIfTrue="1" operator="equal">
      <formula>0</formula>
    </cfRule>
  </conditionalFormatting>
  <conditionalFormatting sqref="V23:W23">
    <cfRule type="cellIs" dxfId="1521" priority="264" stopIfTrue="1" operator="equal">
      <formula>0</formula>
    </cfRule>
  </conditionalFormatting>
  <conditionalFormatting sqref="J24:K24">
    <cfRule type="cellIs" dxfId="1520" priority="263" stopIfTrue="1" operator="equal">
      <formula>0</formula>
    </cfRule>
  </conditionalFormatting>
  <conditionalFormatting sqref="L24:M24">
    <cfRule type="cellIs" dxfId="1519" priority="262" stopIfTrue="1" operator="equal">
      <formula>0</formula>
    </cfRule>
  </conditionalFormatting>
  <conditionalFormatting sqref="N24:O24">
    <cfRule type="cellIs" dxfId="1518" priority="261" stopIfTrue="1" operator="equal">
      <formula>0</formula>
    </cfRule>
  </conditionalFormatting>
  <conditionalFormatting sqref="P24:Q24">
    <cfRule type="cellIs" dxfId="1517" priority="260" stopIfTrue="1" operator="equal">
      <formula>0</formula>
    </cfRule>
  </conditionalFormatting>
  <conditionalFormatting sqref="R24:S24">
    <cfRule type="cellIs" dxfId="1516" priority="259" stopIfTrue="1" operator="equal">
      <formula>0</formula>
    </cfRule>
  </conditionalFormatting>
  <conditionalFormatting sqref="T24:U24">
    <cfRule type="cellIs" dxfId="1515" priority="258" stopIfTrue="1" operator="equal">
      <formula>0</formula>
    </cfRule>
  </conditionalFormatting>
  <conditionalFormatting sqref="V24:W24">
    <cfRule type="cellIs" dxfId="1514" priority="257" stopIfTrue="1" operator="equal">
      <formula>0</formula>
    </cfRule>
  </conditionalFormatting>
  <conditionalFormatting sqref="J25:K25">
    <cfRule type="cellIs" dxfId="1513" priority="256" stopIfTrue="1" operator="equal">
      <formula>0</formula>
    </cfRule>
  </conditionalFormatting>
  <conditionalFormatting sqref="L25:M25">
    <cfRule type="cellIs" dxfId="1512" priority="255" stopIfTrue="1" operator="equal">
      <formula>0</formula>
    </cfRule>
  </conditionalFormatting>
  <conditionalFormatting sqref="N25:O25">
    <cfRule type="cellIs" dxfId="1511" priority="254" stopIfTrue="1" operator="equal">
      <formula>0</formula>
    </cfRule>
  </conditionalFormatting>
  <conditionalFormatting sqref="P25:Q25">
    <cfRule type="cellIs" dxfId="1510" priority="253" stopIfTrue="1" operator="equal">
      <formula>0</formula>
    </cfRule>
  </conditionalFormatting>
  <conditionalFormatting sqref="R25:S25">
    <cfRule type="cellIs" dxfId="1509" priority="252" stopIfTrue="1" operator="equal">
      <formula>0</formula>
    </cfRule>
  </conditionalFormatting>
  <conditionalFormatting sqref="T25:U25">
    <cfRule type="cellIs" dxfId="1508" priority="251" stopIfTrue="1" operator="equal">
      <formula>0</formula>
    </cfRule>
  </conditionalFormatting>
  <conditionalFormatting sqref="V25:W25">
    <cfRule type="cellIs" dxfId="1507" priority="250" stopIfTrue="1" operator="equal">
      <formula>0</formula>
    </cfRule>
  </conditionalFormatting>
  <conditionalFormatting sqref="J26:K26">
    <cfRule type="cellIs" dxfId="1506" priority="249" stopIfTrue="1" operator="equal">
      <formula>0</formula>
    </cfRule>
  </conditionalFormatting>
  <conditionalFormatting sqref="L26:M26">
    <cfRule type="cellIs" dxfId="1505" priority="248" stopIfTrue="1" operator="equal">
      <formula>0</formula>
    </cfRule>
  </conditionalFormatting>
  <conditionalFormatting sqref="N26:O26">
    <cfRule type="cellIs" dxfId="1504" priority="247" stopIfTrue="1" operator="equal">
      <formula>0</formula>
    </cfRule>
  </conditionalFormatting>
  <conditionalFormatting sqref="P26:Q26">
    <cfRule type="cellIs" dxfId="1503" priority="246" stopIfTrue="1" operator="equal">
      <formula>0</formula>
    </cfRule>
  </conditionalFormatting>
  <conditionalFormatting sqref="R26:S26">
    <cfRule type="cellIs" dxfId="1502" priority="245" stopIfTrue="1" operator="equal">
      <formula>0</formula>
    </cfRule>
  </conditionalFormatting>
  <conditionalFormatting sqref="T26:U26">
    <cfRule type="cellIs" dxfId="1501" priority="244" stopIfTrue="1" operator="equal">
      <formula>0</formula>
    </cfRule>
  </conditionalFormatting>
  <conditionalFormatting sqref="V26:W26">
    <cfRule type="cellIs" dxfId="1500" priority="243" stopIfTrue="1" operator="equal">
      <formula>0</formula>
    </cfRule>
  </conditionalFormatting>
  <conditionalFormatting sqref="J27:K27">
    <cfRule type="cellIs" dxfId="1499" priority="242" stopIfTrue="1" operator="equal">
      <formula>0</formula>
    </cfRule>
  </conditionalFormatting>
  <conditionalFormatting sqref="L27:M27">
    <cfRule type="cellIs" dxfId="1498" priority="241" stopIfTrue="1" operator="equal">
      <formula>0</formula>
    </cfRule>
  </conditionalFormatting>
  <conditionalFormatting sqref="N27:O27">
    <cfRule type="cellIs" dxfId="1497" priority="240" stopIfTrue="1" operator="equal">
      <formula>0</formula>
    </cfRule>
  </conditionalFormatting>
  <conditionalFormatting sqref="P27:Q27">
    <cfRule type="cellIs" dxfId="1496" priority="239" stopIfTrue="1" operator="equal">
      <formula>0</formula>
    </cfRule>
  </conditionalFormatting>
  <conditionalFormatting sqref="R27:S27">
    <cfRule type="cellIs" dxfId="1495" priority="238" stopIfTrue="1" operator="equal">
      <formula>0</formula>
    </cfRule>
  </conditionalFormatting>
  <conditionalFormatting sqref="T27:U27">
    <cfRule type="cellIs" dxfId="1494" priority="237" stopIfTrue="1" operator="equal">
      <formula>0</formula>
    </cfRule>
  </conditionalFormatting>
  <conditionalFormatting sqref="V27:W27">
    <cfRule type="cellIs" dxfId="1493" priority="236" stopIfTrue="1" operator="equal">
      <formula>0</formula>
    </cfRule>
  </conditionalFormatting>
  <conditionalFormatting sqref="J28:K28">
    <cfRule type="cellIs" dxfId="1492" priority="235" stopIfTrue="1" operator="equal">
      <formula>0</formula>
    </cfRule>
  </conditionalFormatting>
  <conditionalFormatting sqref="L28:M28">
    <cfRule type="cellIs" dxfId="1491" priority="234" stopIfTrue="1" operator="equal">
      <formula>0</formula>
    </cfRule>
  </conditionalFormatting>
  <conditionalFormatting sqref="N28:O28">
    <cfRule type="cellIs" dxfId="1490" priority="233" stopIfTrue="1" operator="equal">
      <formula>0</formula>
    </cfRule>
  </conditionalFormatting>
  <conditionalFormatting sqref="P28:Q28">
    <cfRule type="cellIs" dxfId="1489" priority="232" stopIfTrue="1" operator="equal">
      <formula>0</formula>
    </cfRule>
  </conditionalFormatting>
  <conditionalFormatting sqref="R28:S28">
    <cfRule type="cellIs" dxfId="1488" priority="231" stopIfTrue="1" operator="equal">
      <formula>0</formula>
    </cfRule>
  </conditionalFormatting>
  <conditionalFormatting sqref="T28:U28">
    <cfRule type="cellIs" dxfId="1487" priority="230" stopIfTrue="1" operator="equal">
      <formula>0</formula>
    </cfRule>
  </conditionalFormatting>
  <conditionalFormatting sqref="V28:W28">
    <cfRule type="cellIs" dxfId="1486" priority="229" stopIfTrue="1" operator="equal">
      <formula>0</formula>
    </cfRule>
  </conditionalFormatting>
  <conditionalFormatting sqref="J29:K29">
    <cfRule type="cellIs" dxfId="1485" priority="228" stopIfTrue="1" operator="equal">
      <formula>0</formula>
    </cfRule>
  </conditionalFormatting>
  <conditionalFormatting sqref="L29:M29">
    <cfRule type="cellIs" dxfId="1484" priority="227" stopIfTrue="1" operator="equal">
      <formula>0</formula>
    </cfRule>
  </conditionalFormatting>
  <conditionalFormatting sqref="N29:O29">
    <cfRule type="cellIs" dxfId="1483" priority="226" stopIfTrue="1" operator="equal">
      <formula>0</formula>
    </cfRule>
  </conditionalFormatting>
  <conditionalFormatting sqref="P29:Q29">
    <cfRule type="cellIs" dxfId="1482" priority="225" stopIfTrue="1" operator="equal">
      <formula>0</formula>
    </cfRule>
  </conditionalFormatting>
  <conditionalFormatting sqref="R29:S29">
    <cfRule type="cellIs" dxfId="1481" priority="224" stopIfTrue="1" operator="equal">
      <formula>0</formula>
    </cfRule>
  </conditionalFormatting>
  <conditionalFormatting sqref="T29:U29">
    <cfRule type="cellIs" dxfId="1480" priority="223" stopIfTrue="1" operator="equal">
      <formula>0</formula>
    </cfRule>
  </conditionalFormatting>
  <conditionalFormatting sqref="V29:W29">
    <cfRule type="cellIs" dxfId="1479" priority="222" stopIfTrue="1" operator="equal">
      <formula>0</formula>
    </cfRule>
  </conditionalFormatting>
  <conditionalFormatting sqref="J30:K30">
    <cfRule type="cellIs" dxfId="1478" priority="221" stopIfTrue="1" operator="equal">
      <formula>0</formula>
    </cfRule>
  </conditionalFormatting>
  <conditionalFormatting sqref="L30:M30">
    <cfRule type="cellIs" dxfId="1477" priority="220" stopIfTrue="1" operator="equal">
      <formula>0</formula>
    </cfRule>
  </conditionalFormatting>
  <conditionalFormatting sqref="N30:O30">
    <cfRule type="cellIs" dxfId="1476" priority="219" stopIfTrue="1" operator="equal">
      <formula>0</formula>
    </cfRule>
  </conditionalFormatting>
  <conditionalFormatting sqref="P30:Q30">
    <cfRule type="cellIs" dxfId="1475" priority="218" stopIfTrue="1" operator="equal">
      <formula>0</formula>
    </cfRule>
  </conditionalFormatting>
  <conditionalFormatting sqref="R30:S30">
    <cfRule type="cellIs" dxfId="1474" priority="217" stopIfTrue="1" operator="equal">
      <formula>0</formula>
    </cfRule>
  </conditionalFormatting>
  <conditionalFormatting sqref="T30:U30">
    <cfRule type="cellIs" dxfId="1473" priority="216" stopIfTrue="1" operator="equal">
      <formula>0</formula>
    </cfRule>
  </conditionalFormatting>
  <conditionalFormatting sqref="V30:W30">
    <cfRule type="cellIs" dxfId="1472" priority="215" stopIfTrue="1" operator="equal">
      <formula>0</formula>
    </cfRule>
  </conditionalFormatting>
  <conditionalFormatting sqref="J31:K31">
    <cfRule type="cellIs" dxfId="1471" priority="214" stopIfTrue="1" operator="equal">
      <formula>0</formula>
    </cfRule>
  </conditionalFormatting>
  <conditionalFormatting sqref="L31:M31">
    <cfRule type="cellIs" dxfId="1470" priority="213" stopIfTrue="1" operator="equal">
      <formula>0</formula>
    </cfRule>
  </conditionalFormatting>
  <conditionalFormatting sqref="N31:O31">
    <cfRule type="cellIs" dxfId="1469" priority="212" stopIfTrue="1" operator="equal">
      <formula>0</formula>
    </cfRule>
  </conditionalFormatting>
  <conditionalFormatting sqref="P31:Q31">
    <cfRule type="cellIs" dxfId="1468" priority="211" stopIfTrue="1" operator="equal">
      <formula>0</formula>
    </cfRule>
  </conditionalFormatting>
  <conditionalFormatting sqref="R31:S31">
    <cfRule type="cellIs" dxfId="1467" priority="210" stopIfTrue="1" operator="equal">
      <formula>0</formula>
    </cfRule>
  </conditionalFormatting>
  <conditionalFormatting sqref="T31:U31">
    <cfRule type="cellIs" dxfId="1466" priority="209" stopIfTrue="1" operator="equal">
      <formula>0</formula>
    </cfRule>
  </conditionalFormatting>
  <conditionalFormatting sqref="V31:W31">
    <cfRule type="cellIs" dxfId="1465" priority="208" stopIfTrue="1" operator="equal">
      <formula>0</formula>
    </cfRule>
  </conditionalFormatting>
  <conditionalFormatting sqref="J32:K32">
    <cfRule type="cellIs" dxfId="1464" priority="207" stopIfTrue="1" operator="equal">
      <formula>0</formula>
    </cfRule>
  </conditionalFormatting>
  <conditionalFormatting sqref="L32:M32">
    <cfRule type="cellIs" dxfId="1463" priority="206" stopIfTrue="1" operator="equal">
      <formula>0</formula>
    </cfRule>
  </conditionalFormatting>
  <conditionalFormatting sqref="N32:O32">
    <cfRule type="cellIs" dxfId="1462" priority="205" stopIfTrue="1" operator="equal">
      <formula>0</formula>
    </cfRule>
  </conditionalFormatting>
  <conditionalFormatting sqref="P32:Q32">
    <cfRule type="cellIs" dxfId="1461" priority="204" stopIfTrue="1" operator="equal">
      <formula>0</formula>
    </cfRule>
  </conditionalFormatting>
  <conditionalFormatting sqref="R32:S32">
    <cfRule type="cellIs" dxfId="1460" priority="203" stopIfTrue="1" operator="equal">
      <formula>0</formula>
    </cfRule>
  </conditionalFormatting>
  <conditionalFormatting sqref="T32:U32">
    <cfRule type="cellIs" dxfId="1459" priority="202" stopIfTrue="1" operator="equal">
      <formula>0</formula>
    </cfRule>
  </conditionalFormatting>
  <conditionalFormatting sqref="V32:W32">
    <cfRule type="cellIs" dxfId="1458" priority="201" stopIfTrue="1" operator="equal">
      <formula>0</formula>
    </cfRule>
  </conditionalFormatting>
  <conditionalFormatting sqref="J33:K33">
    <cfRule type="cellIs" dxfId="1457" priority="200" stopIfTrue="1" operator="equal">
      <formula>0</formula>
    </cfRule>
  </conditionalFormatting>
  <conditionalFormatting sqref="L33:M33">
    <cfRule type="cellIs" dxfId="1456" priority="199" stopIfTrue="1" operator="equal">
      <formula>0</formula>
    </cfRule>
  </conditionalFormatting>
  <conditionalFormatting sqref="N33:O33">
    <cfRule type="cellIs" dxfId="1455" priority="198" stopIfTrue="1" operator="equal">
      <formula>0</formula>
    </cfRule>
  </conditionalFormatting>
  <conditionalFormatting sqref="P33:Q33">
    <cfRule type="cellIs" dxfId="1454" priority="197" stopIfTrue="1" operator="equal">
      <formula>0</formula>
    </cfRule>
  </conditionalFormatting>
  <conditionalFormatting sqref="R33:S33">
    <cfRule type="cellIs" dxfId="1453" priority="196" stopIfTrue="1" operator="equal">
      <formula>0</formula>
    </cfRule>
  </conditionalFormatting>
  <conditionalFormatting sqref="T33:U33">
    <cfRule type="cellIs" dxfId="1452" priority="195" stopIfTrue="1" operator="equal">
      <formula>0</formula>
    </cfRule>
  </conditionalFormatting>
  <conditionalFormatting sqref="V33:W33">
    <cfRule type="cellIs" dxfId="1451" priority="194" stopIfTrue="1" operator="equal">
      <formula>0</formula>
    </cfRule>
  </conditionalFormatting>
  <conditionalFormatting sqref="J34:K34">
    <cfRule type="cellIs" dxfId="1450" priority="193" stopIfTrue="1" operator="equal">
      <formula>0</formula>
    </cfRule>
  </conditionalFormatting>
  <conditionalFormatting sqref="L34:M34">
    <cfRule type="cellIs" dxfId="1449" priority="192" stopIfTrue="1" operator="equal">
      <formula>0</formula>
    </cfRule>
  </conditionalFormatting>
  <conditionalFormatting sqref="N34:O34">
    <cfRule type="cellIs" dxfId="1448" priority="191" stopIfTrue="1" operator="equal">
      <formula>0</formula>
    </cfRule>
  </conditionalFormatting>
  <conditionalFormatting sqref="P34:Q34">
    <cfRule type="cellIs" dxfId="1447" priority="190" stopIfTrue="1" operator="equal">
      <formula>0</formula>
    </cfRule>
  </conditionalFormatting>
  <conditionalFormatting sqref="R34:S34">
    <cfRule type="cellIs" dxfId="1446" priority="189" stopIfTrue="1" operator="equal">
      <formula>0</formula>
    </cfRule>
  </conditionalFormatting>
  <conditionalFormatting sqref="T34:U34">
    <cfRule type="cellIs" dxfId="1445" priority="188" stopIfTrue="1" operator="equal">
      <formula>0</formula>
    </cfRule>
  </conditionalFormatting>
  <conditionalFormatting sqref="V34:W34">
    <cfRule type="cellIs" dxfId="1444" priority="187" stopIfTrue="1" operator="equal">
      <formula>0</formula>
    </cfRule>
  </conditionalFormatting>
  <conditionalFormatting sqref="J35:K35">
    <cfRule type="cellIs" dxfId="1443" priority="186" stopIfTrue="1" operator="equal">
      <formula>0</formula>
    </cfRule>
  </conditionalFormatting>
  <conditionalFormatting sqref="L35:M35">
    <cfRule type="cellIs" dxfId="1442" priority="185" stopIfTrue="1" operator="equal">
      <formula>0</formula>
    </cfRule>
  </conditionalFormatting>
  <conditionalFormatting sqref="N35:O35">
    <cfRule type="cellIs" dxfId="1441" priority="184" stopIfTrue="1" operator="equal">
      <formula>0</formula>
    </cfRule>
  </conditionalFormatting>
  <conditionalFormatting sqref="P35:Q35">
    <cfRule type="cellIs" dxfId="1440" priority="183" stopIfTrue="1" operator="equal">
      <formula>0</formula>
    </cfRule>
  </conditionalFormatting>
  <conditionalFormatting sqref="R35:S35">
    <cfRule type="cellIs" dxfId="1439" priority="182" stopIfTrue="1" operator="equal">
      <formula>0</formula>
    </cfRule>
  </conditionalFormatting>
  <conditionalFormatting sqref="T35:U35">
    <cfRule type="cellIs" dxfId="1438" priority="181" stopIfTrue="1" operator="equal">
      <formula>0</formula>
    </cfRule>
  </conditionalFormatting>
  <conditionalFormatting sqref="V35:W35">
    <cfRule type="cellIs" dxfId="1437" priority="180" stopIfTrue="1" operator="equal">
      <formula>0</formula>
    </cfRule>
  </conditionalFormatting>
  <conditionalFormatting sqref="J36:K36">
    <cfRule type="cellIs" dxfId="1436" priority="179" stopIfTrue="1" operator="equal">
      <formula>0</formula>
    </cfRule>
  </conditionalFormatting>
  <conditionalFormatting sqref="L36:M36">
    <cfRule type="cellIs" dxfId="1435" priority="178" stopIfTrue="1" operator="equal">
      <formula>0</formula>
    </cfRule>
  </conditionalFormatting>
  <conditionalFormatting sqref="N36:O36">
    <cfRule type="cellIs" dxfId="1434" priority="177" stopIfTrue="1" operator="equal">
      <formula>0</formula>
    </cfRule>
  </conditionalFormatting>
  <conditionalFormatting sqref="P36:Q36">
    <cfRule type="cellIs" dxfId="1433" priority="176" stopIfTrue="1" operator="equal">
      <formula>0</formula>
    </cfRule>
  </conditionalFormatting>
  <conditionalFormatting sqref="R36:S36">
    <cfRule type="cellIs" dxfId="1432" priority="175" stopIfTrue="1" operator="equal">
      <formula>0</formula>
    </cfRule>
  </conditionalFormatting>
  <conditionalFormatting sqref="T36:U36">
    <cfRule type="cellIs" dxfId="1431" priority="174" stopIfTrue="1" operator="equal">
      <formula>0</formula>
    </cfRule>
  </conditionalFormatting>
  <conditionalFormatting sqref="V36:W36">
    <cfRule type="cellIs" dxfId="1430" priority="173" stopIfTrue="1" operator="equal">
      <formula>0</formula>
    </cfRule>
  </conditionalFormatting>
  <conditionalFormatting sqref="J37:K37">
    <cfRule type="cellIs" dxfId="1429" priority="172" stopIfTrue="1" operator="equal">
      <formula>0</formula>
    </cfRule>
  </conditionalFormatting>
  <conditionalFormatting sqref="L37:M37">
    <cfRule type="cellIs" dxfId="1428" priority="171" stopIfTrue="1" operator="equal">
      <formula>0</formula>
    </cfRule>
  </conditionalFormatting>
  <conditionalFormatting sqref="N37:O37">
    <cfRule type="cellIs" dxfId="1427" priority="170" stopIfTrue="1" operator="equal">
      <formula>0</formula>
    </cfRule>
  </conditionalFormatting>
  <conditionalFormatting sqref="P37:Q37">
    <cfRule type="cellIs" dxfId="1426" priority="169" stopIfTrue="1" operator="equal">
      <formula>0</formula>
    </cfRule>
  </conditionalFormatting>
  <conditionalFormatting sqref="R37:S37">
    <cfRule type="cellIs" dxfId="1425" priority="168" stopIfTrue="1" operator="equal">
      <formula>0</formula>
    </cfRule>
  </conditionalFormatting>
  <conditionalFormatting sqref="T37:U37">
    <cfRule type="cellIs" dxfId="1424" priority="167" stopIfTrue="1" operator="equal">
      <formula>0</formula>
    </cfRule>
  </conditionalFormatting>
  <conditionalFormatting sqref="V37:W37">
    <cfRule type="cellIs" dxfId="1423" priority="166" stopIfTrue="1" operator="equal">
      <formula>0</formula>
    </cfRule>
  </conditionalFormatting>
  <conditionalFormatting sqref="J38:K38">
    <cfRule type="cellIs" dxfId="1422" priority="165" stopIfTrue="1" operator="equal">
      <formula>0</formula>
    </cfRule>
  </conditionalFormatting>
  <conditionalFormatting sqref="L38:M38">
    <cfRule type="cellIs" dxfId="1421" priority="164" stopIfTrue="1" operator="equal">
      <formula>0</formula>
    </cfRule>
  </conditionalFormatting>
  <conditionalFormatting sqref="N38:O38">
    <cfRule type="cellIs" dxfId="1420" priority="163" stopIfTrue="1" operator="equal">
      <formula>0</formula>
    </cfRule>
  </conditionalFormatting>
  <conditionalFormatting sqref="P38:Q38">
    <cfRule type="cellIs" dxfId="1419" priority="162" stopIfTrue="1" operator="equal">
      <formula>0</formula>
    </cfRule>
  </conditionalFormatting>
  <conditionalFormatting sqref="R38:S38">
    <cfRule type="cellIs" dxfId="1418" priority="161" stopIfTrue="1" operator="equal">
      <formula>0</formula>
    </cfRule>
  </conditionalFormatting>
  <conditionalFormatting sqref="T38:U38">
    <cfRule type="cellIs" dxfId="1417" priority="160" stopIfTrue="1" operator="equal">
      <formula>0</formula>
    </cfRule>
  </conditionalFormatting>
  <conditionalFormatting sqref="V38:W38">
    <cfRule type="cellIs" dxfId="1416" priority="159" stopIfTrue="1" operator="equal">
      <formula>0</formula>
    </cfRule>
  </conditionalFormatting>
  <conditionalFormatting sqref="J39:K39">
    <cfRule type="cellIs" dxfId="1415" priority="158" stopIfTrue="1" operator="equal">
      <formula>0</formula>
    </cfRule>
  </conditionalFormatting>
  <conditionalFormatting sqref="L39:M39">
    <cfRule type="cellIs" dxfId="1414" priority="157" stopIfTrue="1" operator="equal">
      <formula>0</formula>
    </cfRule>
  </conditionalFormatting>
  <conditionalFormatting sqref="N39:O39">
    <cfRule type="cellIs" dxfId="1413" priority="156" stopIfTrue="1" operator="equal">
      <formula>0</formula>
    </cfRule>
  </conditionalFormatting>
  <conditionalFormatting sqref="P39:Q39">
    <cfRule type="cellIs" dxfId="1412" priority="155" stopIfTrue="1" operator="equal">
      <formula>0</formula>
    </cfRule>
  </conditionalFormatting>
  <conditionalFormatting sqref="R39:S39">
    <cfRule type="cellIs" dxfId="1411" priority="154" stopIfTrue="1" operator="equal">
      <formula>0</formula>
    </cfRule>
  </conditionalFormatting>
  <conditionalFormatting sqref="T39:U39">
    <cfRule type="cellIs" dxfId="1410" priority="153" stopIfTrue="1" operator="equal">
      <formula>0</formula>
    </cfRule>
  </conditionalFormatting>
  <conditionalFormatting sqref="V39:W39">
    <cfRule type="cellIs" dxfId="1409" priority="152" stopIfTrue="1" operator="equal">
      <formula>0</formula>
    </cfRule>
  </conditionalFormatting>
  <conditionalFormatting sqref="J40:K40">
    <cfRule type="cellIs" dxfId="1408" priority="151" stopIfTrue="1" operator="equal">
      <formula>0</formula>
    </cfRule>
  </conditionalFormatting>
  <conditionalFormatting sqref="L40:M40">
    <cfRule type="cellIs" dxfId="1407" priority="150" stopIfTrue="1" operator="equal">
      <formula>0</formula>
    </cfRule>
  </conditionalFormatting>
  <conditionalFormatting sqref="N40:O40">
    <cfRule type="cellIs" dxfId="1406" priority="149" stopIfTrue="1" operator="equal">
      <formula>0</formula>
    </cfRule>
  </conditionalFormatting>
  <conditionalFormatting sqref="P40:Q40">
    <cfRule type="cellIs" dxfId="1405" priority="148" stopIfTrue="1" operator="equal">
      <formula>0</formula>
    </cfRule>
  </conditionalFormatting>
  <conditionalFormatting sqref="R40:S40">
    <cfRule type="cellIs" dxfId="1404" priority="147" stopIfTrue="1" operator="equal">
      <formula>0</formula>
    </cfRule>
  </conditionalFormatting>
  <conditionalFormatting sqref="T40:U40">
    <cfRule type="cellIs" dxfId="1403" priority="146" stopIfTrue="1" operator="equal">
      <formula>0</formula>
    </cfRule>
  </conditionalFormatting>
  <conditionalFormatting sqref="V40:W40">
    <cfRule type="cellIs" dxfId="1402" priority="145" stopIfTrue="1" operator="equal">
      <formula>0</formula>
    </cfRule>
  </conditionalFormatting>
  <conditionalFormatting sqref="J41:K41">
    <cfRule type="cellIs" dxfId="1401" priority="144" stopIfTrue="1" operator="equal">
      <formula>0</formula>
    </cfRule>
  </conditionalFormatting>
  <conditionalFormatting sqref="L41:M41">
    <cfRule type="cellIs" dxfId="1400" priority="143" stopIfTrue="1" operator="equal">
      <formula>0</formula>
    </cfRule>
  </conditionalFormatting>
  <conditionalFormatting sqref="N41:O41">
    <cfRule type="cellIs" dxfId="1399" priority="142" stopIfTrue="1" operator="equal">
      <formula>0</formula>
    </cfRule>
  </conditionalFormatting>
  <conditionalFormatting sqref="P41:Q41">
    <cfRule type="cellIs" dxfId="1398" priority="141" stopIfTrue="1" operator="equal">
      <formula>0</formula>
    </cfRule>
  </conditionalFormatting>
  <conditionalFormatting sqref="R41:S41">
    <cfRule type="cellIs" dxfId="1397" priority="140" stopIfTrue="1" operator="equal">
      <formula>0</formula>
    </cfRule>
  </conditionalFormatting>
  <conditionalFormatting sqref="T41:U41">
    <cfRule type="cellIs" dxfId="1396" priority="139" stopIfTrue="1" operator="equal">
      <formula>0</formula>
    </cfRule>
  </conditionalFormatting>
  <conditionalFormatting sqref="V41:W41">
    <cfRule type="cellIs" dxfId="1395" priority="138" stopIfTrue="1" operator="equal">
      <formula>0</formula>
    </cfRule>
  </conditionalFormatting>
  <conditionalFormatting sqref="J42:K42">
    <cfRule type="cellIs" dxfId="1394" priority="137" stopIfTrue="1" operator="equal">
      <formula>0</formula>
    </cfRule>
  </conditionalFormatting>
  <conditionalFormatting sqref="L42:M42">
    <cfRule type="cellIs" dxfId="1393" priority="136" stopIfTrue="1" operator="equal">
      <formula>0</formula>
    </cfRule>
  </conditionalFormatting>
  <conditionalFormatting sqref="N42:O42">
    <cfRule type="cellIs" dxfId="1392" priority="135" stopIfTrue="1" operator="equal">
      <formula>0</formula>
    </cfRule>
  </conditionalFormatting>
  <conditionalFormatting sqref="P42:Q42">
    <cfRule type="cellIs" dxfId="1391" priority="134" stopIfTrue="1" operator="equal">
      <formula>0</formula>
    </cfRule>
  </conditionalFormatting>
  <conditionalFormatting sqref="R42:S42">
    <cfRule type="cellIs" dxfId="1390" priority="133" stopIfTrue="1" operator="equal">
      <formula>0</formula>
    </cfRule>
  </conditionalFormatting>
  <conditionalFormatting sqref="T42:U42">
    <cfRule type="cellIs" dxfId="1389" priority="132" stopIfTrue="1" operator="equal">
      <formula>0</formula>
    </cfRule>
  </conditionalFormatting>
  <conditionalFormatting sqref="V42:W42">
    <cfRule type="cellIs" dxfId="1388" priority="131" stopIfTrue="1" operator="equal">
      <formula>0</formula>
    </cfRule>
  </conditionalFormatting>
  <conditionalFormatting sqref="J43:K43">
    <cfRule type="cellIs" dxfId="1387" priority="130" stopIfTrue="1" operator="equal">
      <formula>0</formula>
    </cfRule>
  </conditionalFormatting>
  <conditionalFormatting sqref="L43:M43">
    <cfRule type="cellIs" dxfId="1386" priority="129" stopIfTrue="1" operator="equal">
      <formula>0</formula>
    </cfRule>
  </conditionalFormatting>
  <conditionalFormatting sqref="N43:O43">
    <cfRule type="cellIs" dxfId="1385" priority="128" stopIfTrue="1" operator="equal">
      <formula>0</formula>
    </cfRule>
  </conditionalFormatting>
  <conditionalFormatting sqref="P43:Q43">
    <cfRule type="cellIs" dxfId="1384" priority="127" stopIfTrue="1" operator="equal">
      <formula>0</formula>
    </cfRule>
  </conditionalFormatting>
  <conditionalFormatting sqref="R43:S43">
    <cfRule type="cellIs" dxfId="1383" priority="126" stopIfTrue="1" operator="equal">
      <formula>0</formula>
    </cfRule>
  </conditionalFormatting>
  <conditionalFormatting sqref="T43:U43">
    <cfRule type="cellIs" dxfId="1382" priority="125" stopIfTrue="1" operator="equal">
      <formula>0</formula>
    </cfRule>
  </conditionalFormatting>
  <conditionalFormatting sqref="V43:W43">
    <cfRule type="cellIs" dxfId="1381" priority="124" stopIfTrue="1" operator="equal">
      <formula>0</formula>
    </cfRule>
  </conditionalFormatting>
  <conditionalFormatting sqref="J44:K44">
    <cfRule type="cellIs" dxfId="1380" priority="123" stopIfTrue="1" operator="equal">
      <formula>0</formula>
    </cfRule>
  </conditionalFormatting>
  <conditionalFormatting sqref="L44:M44">
    <cfRule type="cellIs" dxfId="1379" priority="122" stopIfTrue="1" operator="equal">
      <formula>0</formula>
    </cfRule>
  </conditionalFormatting>
  <conditionalFormatting sqref="N44:O44">
    <cfRule type="cellIs" dxfId="1378" priority="121" stopIfTrue="1" operator="equal">
      <formula>0</formula>
    </cfRule>
  </conditionalFormatting>
  <conditionalFormatting sqref="P44:Q44">
    <cfRule type="cellIs" dxfId="1377" priority="120" stopIfTrue="1" operator="equal">
      <formula>0</formula>
    </cfRule>
  </conditionalFormatting>
  <conditionalFormatting sqref="R44:S44">
    <cfRule type="cellIs" dxfId="1376" priority="119" stopIfTrue="1" operator="equal">
      <formula>0</formula>
    </cfRule>
  </conditionalFormatting>
  <conditionalFormatting sqref="T44:U44">
    <cfRule type="cellIs" dxfId="1375" priority="118" stopIfTrue="1" operator="equal">
      <formula>0</formula>
    </cfRule>
  </conditionalFormatting>
  <conditionalFormatting sqref="V44:W44">
    <cfRule type="cellIs" dxfId="1374" priority="117" stopIfTrue="1" operator="equal">
      <formula>0</formula>
    </cfRule>
  </conditionalFormatting>
  <conditionalFormatting sqref="J45:K45">
    <cfRule type="cellIs" dxfId="1373" priority="116" stopIfTrue="1" operator="equal">
      <formula>0</formula>
    </cfRule>
  </conditionalFormatting>
  <conditionalFormatting sqref="L45:M45">
    <cfRule type="cellIs" dxfId="1372" priority="115" stopIfTrue="1" operator="equal">
      <formula>0</formula>
    </cfRule>
  </conditionalFormatting>
  <conditionalFormatting sqref="N45:O45">
    <cfRule type="cellIs" dxfId="1371" priority="114" stopIfTrue="1" operator="equal">
      <formula>0</formula>
    </cfRule>
  </conditionalFormatting>
  <conditionalFormatting sqref="P45:Q45">
    <cfRule type="cellIs" dxfId="1370" priority="113" stopIfTrue="1" operator="equal">
      <formula>0</formula>
    </cfRule>
  </conditionalFormatting>
  <conditionalFormatting sqref="R45:S45">
    <cfRule type="cellIs" dxfId="1369" priority="112" stopIfTrue="1" operator="equal">
      <formula>0</formula>
    </cfRule>
  </conditionalFormatting>
  <conditionalFormatting sqref="T45:U45">
    <cfRule type="cellIs" dxfId="1368" priority="111" stopIfTrue="1" operator="equal">
      <formula>0</formula>
    </cfRule>
  </conditionalFormatting>
  <conditionalFormatting sqref="V45:W45">
    <cfRule type="cellIs" dxfId="1367" priority="110" stopIfTrue="1" operator="equal">
      <formula>0</formula>
    </cfRule>
  </conditionalFormatting>
  <conditionalFormatting sqref="J46:K46">
    <cfRule type="cellIs" dxfId="1366" priority="109" stopIfTrue="1" operator="equal">
      <formula>0</formula>
    </cfRule>
  </conditionalFormatting>
  <conditionalFormatting sqref="L46:M46">
    <cfRule type="cellIs" dxfId="1365" priority="108" stopIfTrue="1" operator="equal">
      <formula>0</formula>
    </cfRule>
  </conditionalFormatting>
  <conditionalFormatting sqref="N46:O46">
    <cfRule type="cellIs" dxfId="1364" priority="107" stopIfTrue="1" operator="equal">
      <formula>0</formula>
    </cfRule>
  </conditionalFormatting>
  <conditionalFormatting sqref="P46:Q46">
    <cfRule type="cellIs" dxfId="1363" priority="106" stopIfTrue="1" operator="equal">
      <formula>0</formula>
    </cfRule>
  </conditionalFormatting>
  <conditionalFormatting sqref="R46:S46">
    <cfRule type="cellIs" dxfId="1362" priority="105" stopIfTrue="1" operator="equal">
      <formula>0</formula>
    </cfRule>
  </conditionalFormatting>
  <conditionalFormatting sqref="T46:U46">
    <cfRule type="cellIs" dxfId="1361" priority="104" stopIfTrue="1" operator="equal">
      <formula>0</formula>
    </cfRule>
  </conditionalFormatting>
  <conditionalFormatting sqref="V46:W46">
    <cfRule type="cellIs" dxfId="1360" priority="103" stopIfTrue="1" operator="equal">
      <formula>0</formula>
    </cfRule>
  </conditionalFormatting>
  <conditionalFormatting sqref="J47:K47">
    <cfRule type="cellIs" dxfId="1359" priority="102" stopIfTrue="1" operator="equal">
      <formula>0</formula>
    </cfRule>
  </conditionalFormatting>
  <conditionalFormatting sqref="L47:M47">
    <cfRule type="cellIs" dxfId="1358" priority="101" stopIfTrue="1" operator="equal">
      <formula>0</formula>
    </cfRule>
  </conditionalFormatting>
  <conditionalFormatting sqref="N47:O47">
    <cfRule type="cellIs" dxfId="1357" priority="100" stopIfTrue="1" operator="equal">
      <formula>0</formula>
    </cfRule>
  </conditionalFormatting>
  <conditionalFormatting sqref="P47:Q47">
    <cfRule type="cellIs" dxfId="1356" priority="99" stopIfTrue="1" operator="equal">
      <formula>0</formula>
    </cfRule>
  </conditionalFormatting>
  <conditionalFormatting sqref="R47:S47">
    <cfRule type="cellIs" dxfId="1355" priority="98" stopIfTrue="1" operator="equal">
      <formula>0</formula>
    </cfRule>
  </conditionalFormatting>
  <conditionalFormatting sqref="T47:U47">
    <cfRule type="cellIs" dxfId="1354" priority="97" stopIfTrue="1" operator="equal">
      <formula>0</formula>
    </cfRule>
  </conditionalFormatting>
  <conditionalFormatting sqref="V47:W47">
    <cfRule type="cellIs" dxfId="1353" priority="96" stopIfTrue="1" operator="equal">
      <formula>0</formula>
    </cfRule>
  </conditionalFormatting>
  <conditionalFormatting sqref="D54:L59">
    <cfRule type="expression" dxfId="1352" priority="95">
      <formula>$AB$8=0</formula>
    </cfRule>
  </conditionalFormatting>
  <conditionalFormatting sqref="D54:I56">
    <cfRule type="expression" dxfId="1351" priority="94">
      <formula>$AB$8=1</formula>
    </cfRule>
  </conditionalFormatting>
  <printOptions horizontalCentered="1"/>
  <pageMargins left="0.7" right="0.7" top="0.39370078740157477" bottom="0.39370078740157477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utton 1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utton 2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6" name="Button 3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7" name="Button 4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8" name="Button 5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9" name="Button 6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10" name="Button 7">
              <controlPr defaultSize="0" print="0" autoFill="0" autoPict="0" macro="[0]!休日初期化">
                <anchor moveWithCells="1" sizeWithCells="1">
                  <from>
                    <xdr:col>27</xdr:col>
                    <xdr:colOff>488950</xdr:colOff>
                    <xdr:row>25</xdr:row>
                    <xdr:rowOff>69850</xdr:rowOff>
                  </from>
                  <to>
                    <xdr:col>28</xdr:col>
                    <xdr:colOff>266700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1" name="Button 8">
              <controlPr defaultSize="0" print="0" autoFill="0" autoPict="0" macro="[0]!初期状態">
                <anchor moveWithCells="1" sizeWithCells="1">
                  <from>
                    <xdr:col>27</xdr:col>
                    <xdr:colOff>533400</xdr:colOff>
                    <xdr:row>32</xdr:row>
                    <xdr:rowOff>31750</xdr:rowOff>
                  </from>
                  <to>
                    <xdr:col>28</xdr:col>
                    <xdr:colOff>419100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2" name="Button 9">
              <controlPr defaultSize="0" print="0" autoFill="0" autoPict="0" macro="[0]!ws_add">
                <anchor moveWithCells="1" sizeWithCells="1">
                  <from>
                    <xdr:col>27</xdr:col>
                    <xdr:colOff>488950</xdr:colOff>
                    <xdr:row>35</xdr:row>
                    <xdr:rowOff>69850</xdr:rowOff>
                  </from>
                  <to>
                    <xdr:col>29</xdr:col>
                    <xdr:colOff>603250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3" name="Button 10">
              <controlPr defaultSize="0" print="0" autoFill="0" autoPict="0" macro="[0]!統合">
                <anchor moveWithCells="1" sizeWithCells="1">
                  <from>
                    <xdr:col>26</xdr:col>
                    <xdr:colOff>63500</xdr:colOff>
                    <xdr:row>59</xdr:row>
                    <xdr:rowOff>19050</xdr:rowOff>
                  </from>
                  <to>
                    <xdr:col>26</xdr:col>
                    <xdr:colOff>673100</xdr:colOff>
                    <xdr:row>60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4" name="Button 11">
              <controlPr defaultSize="0" print="0" autoFill="0" autoPict="0" macro="[0]!休暇処理">
                <anchor moveWithCells="1" sizeWithCells="1">
                  <from>
                    <xdr:col>26</xdr:col>
                    <xdr:colOff>63500</xdr:colOff>
                    <xdr:row>61</xdr:row>
                    <xdr:rowOff>19050</xdr:rowOff>
                  </from>
                  <to>
                    <xdr:col>26</xdr:col>
                    <xdr:colOff>673100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5" name="Button 12">
              <controlPr defaultSize="0" print="0" autoFill="0" autoPict="0" macro="[0]!化粧直し">
                <anchor moveWithCells="1" sizeWithCells="1">
                  <from>
                    <xdr:col>26</xdr:col>
                    <xdr:colOff>69850</xdr:colOff>
                    <xdr:row>63</xdr:row>
                    <xdr:rowOff>31750</xdr:rowOff>
                  </from>
                  <to>
                    <xdr:col>26</xdr:col>
                    <xdr:colOff>679450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6" name="Button 13">
              <controlPr defaultSize="0" print="0" autoFill="0" autoPict="0" macro="[0]!休日初期化">
                <anchor moveWithCells="1" sizeWithCells="1">
                  <from>
                    <xdr:col>26</xdr:col>
                    <xdr:colOff>146050</xdr:colOff>
                    <xdr:row>65</xdr:row>
                    <xdr:rowOff>69850</xdr:rowOff>
                  </from>
                  <to>
                    <xdr:col>26</xdr:col>
                    <xdr:colOff>641350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7" name="Button 14">
              <controlPr defaultSize="0" print="0" autoFill="0" autoPict="0" macro="[0]!初期状態">
                <anchor moveWithCells="1" sizeWithCells="1">
                  <from>
                    <xdr:col>26</xdr:col>
                    <xdr:colOff>57150</xdr:colOff>
                    <xdr:row>67</xdr:row>
                    <xdr:rowOff>88900</xdr:rowOff>
                  </from>
                  <to>
                    <xdr:col>26</xdr:col>
                    <xdr:colOff>666750</xdr:colOff>
                    <xdr:row>69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stopIfTrue="1" id="{F3A02F5C-991E-402A-B2B8-80E898E9A841}">
            <xm:f xml:space="preserve"> OR($X$17=+テーブル!A2,$X$17=+テーブル!A3,$X$17=+テーブル!A9,$X$17=+テーブル!A10,$X$17=+テーブル!A12,$X$17=+テーブル!A13,$X$17=+テーブル!A16)</xm:f>
            <x14:dxf>
              <font>
                <color rgb="FFFF0000"/>
              </font>
            </x14:dxf>
          </x14:cfRule>
          <xm:sqref>D17:E17</xm:sqref>
        </x14:conditionalFormatting>
        <x14:conditionalFormatting xmlns:xm="http://schemas.microsoft.com/office/excel/2006/main">
          <x14:cfRule type="expression" priority="92" stopIfTrue="1" id="{91209513-BB10-4F71-B5B1-27BDE36DAA5F}">
            <xm:f xml:space="preserve"> OR($X$17=+テーブル!A2,$X$17=+テーブル!A4,$X$17=+テーブル!A9,$X$17=+テーブル!A11,$X$17=+テーブル!A12,$X$17=+テーブル!A14,$X$17=+テーブル!A16)</xm:f>
            <x14:dxf>
              <font>
                <color rgb="FFFF0000"/>
              </font>
            </x14:dxf>
          </x14:cfRule>
          <xm:sqref>F17:G17</xm:sqref>
        </x14:conditionalFormatting>
        <x14:conditionalFormatting xmlns:xm="http://schemas.microsoft.com/office/excel/2006/main">
          <x14:cfRule type="expression" priority="91" stopIfTrue="1" id="{C9C62DA0-2642-4E92-94B0-F434907DA316}">
            <xm:f xml:space="preserve"> OR($X$17=+テーブル!A2,$X$17=+テーブル!A3,$X$17=+テーブル!A4,$X$17=+テーブル!A9,$X$17=+テーブル!A10,$X$17=+テーブル!A11,$X$17=+テーブル!A12,$X$17=+テーブル!A13,$X$17=+テーブル!A14,$X$17=+テーブル!A16)</xm:f>
            <x14:dxf>
              <font>
                <color rgb="FFFF0000"/>
              </font>
            </x14:dxf>
          </x14:cfRule>
          <xm:sqref>H17:I17</xm:sqref>
        </x14:conditionalFormatting>
        <x14:conditionalFormatting xmlns:xm="http://schemas.microsoft.com/office/excel/2006/main">
          <x14:cfRule type="expression" priority="90" stopIfTrue="1" id="{24DA56CC-A25C-4B34-AEC5-C46F16DB6745}">
            <xm:f xml:space="preserve"> OR($X$18=+テーブル!A2,$X$18=+テーブル!A3,$X$18=+テーブル!A9,$X$18=+テーブル!A10,$X$18=+テーブル!A12,$X$18=+テーブル!A13,$X$18=+テーブル!A16)</xm:f>
            <x14:dxf>
              <font>
                <color rgb="FFFF0000"/>
              </font>
            </x14:dxf>
          </x14:cfRule>
          <xm:sqref>D18:E18</xm:sqref>
        </x14:conditionalFormatting>
        <x14:conditionalFormatting xmlns:xm="http://schemas.microsoft.com/office/excel/2006/main">
          <x14:cfRule type="expression" priority="89" stopIfTrue="1" id="{A9A0351C-B0D1-4EE1-A5D2-65759E6CC8F2}">
            <xm:f xml:space="preserve"> OR($X$18=+テーブル!A2,$X$18=+テーブル!A4,$X$18=+テーブル!A9,$X$18=+テーブル!A11,$X$18=+テーブル!A12,$X$18=+テーブル!A14,$X$18=+テーブル!A16)</xm:f>
            <x14:dxf>
              <font>
                <color rgb="FFFF0000"/>
              </font>
            </x14:dxf>
          </x14:cfRule>
          <xm:sqref>F18:G18</xm:sqref>
        </x14:conditionalFormatting>
        <x14:conditionalFormatting xmlns:xm="http://schemas.microsoft.com/office/excel/2006/main">
          <x14:cfRule type="expression" priority="88" stopIfTrue="1" id="{8F07CF13-C5BE-43CB-8539-67685DF40538}">
            <xm:f xml:space="preserve"> OR($X$18=+テーブル!A2,$X$18=+テーブル!A3,$X$18=+テーブル!A4,$X$18=+テーブル!A9,$X$18=+テーブル!A10,$X$18=+テーブル!A11,$X$18=+テーブル!A12,$X$18=+テーブル!A13,$X$18=+テーブル!A14,$X$18=+テーブル!A16)</xm:f>
            <x14:dxf>
              <font>
                <color rgb="FFFF0000"/>
              </font>
            </x14:dxf>
          </x14:cfRule>
          <xm:sqref>H18:I18</xm:sqref>
        </x14:conditionalFormatting>
        <x14:conditionalFormatting xmlns:xm="http://schemas.microsoft.com/office/excel/2006/main">
          <x14:cfRule type="expression" priority="87" stopIfTrue="1" id="{7DF48D26-85DB-4DFD-BBE5-8C38F8F71C12}">
            <xm:f xml:space="preserve"> OR($X$19=+テーブル!A2,$X$19=+テーブル!A3,$X$19=+テーブル!A9,$X$19=+テーブル!A10,$X$19=+テーブル!A12,$X$19=+テーブル!A13,$X$19=+テーブル!A16)</xm:f>
            <x14:dxf>
              <font>
                <color rgb="FFFF0000"/>
              </font>
            </x14:dxf>
          </x14:cfRule>
          <xm:sqref>D19:E19</xm:sqref>
        </x14:conditionalFormatting>
        <x14:conditionalFormatting xmlns:xm="http://schemas.microsoft.com/office/excel/2006/main">
          <x14:cfRule type="expression" priority="86" stopIfTrue="1" id="{6D2A7295-27E0-4EB3-B84E-ACE767D8AB3A}">
            <xm:f xml:space="preserve"> OR($X$19=+テーブル!A2,$X$19=+テーブル!A4,$X$19=+テーブル!A9,$X$19=+テーブル!A11,$X$19=+テーブル!A12,$X$19=+テーブル!A14,$X$19=+テーブル!A16)</xm:f>
            <x14:dxf>
              <font>
                <color rgb="FFFF0000"/>
              </font>
            </x14:dxf>
          </x14:cfRule>
          <xm:sqref>F19:G19</xm:sqref>
        </x14:conditionalFormatting>
        <x14:conditionalFormatting xmlns:xm="http://schemas.microsoft.com/office/excel/2006/main">
          <x14:cfRule type="expression" priority="85" stopIfTrue="1" id="{46F390D5-5DD2-4947-9CC5-8AF2AE6548D3}">
            <xm:f xml:space="preserve"> OR($X$19=+テーブル!A2,$X$19=+テーブル!A3,$X$19=+テーブル!A4,$X$19=+テーブル!A9,$X$19=+テーブル!A10,$X$19=+テーブル!A11,$X$19=+テーブル!A12,$X$19=+テーブル!A13,$X$19=+テーブル!A14,$X$19=+テーブル!A16)</xm:f>
            <x14:dxf>
              <font>
                <color rgb="FFFF0000"/>
              </font>
            </x14:dxf>
          </x14:cfRule>
          <xm:sqref>H19:I19</xm:sqref>
        </x14:conditionalFormatting>
        <x14:conditionalFormatting xmlns:xm="http://schemas.microsoft.com/office/excel/2006/main">
          <x14:cfRule type="expression" priority="84" stopIfTrue="1" id="{09C246C2-307B-44EB-BA8D-58651DF2C526}">
            <xm:f xml:space="preserve"> OR($X$20=+テーブル!A2,$X$20=+テーブル!A3,$X$20=+テーブル!A9,$X$20=+テーブル!A10,$X$20=+テーブル!A12,$X$20=+テーブル!A13,$X$20=+テーブル!A16)</xm:f>
            <x14:dxf>
              <font>
                <color rgb="FFFF000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83" stopIfTrue="1" id="{3039186C-0BA8-4BF1-9087-15EF60615BA4}">
            <xm:f xml:space="preserve"> OR($X$20=+テーブル!A2,$X$20=+テーブル!A4,$X$20=+テーブル!A9,$X$20=+テーブル!A11,$X$20=+テーブル!A12,$X$20=+テーブル!A14,$X$20=+テーブル!A16)</xm:f>
            <x14:dxf>
              <font>
                <color rgb="FFFF0000"/>
              </font>
            </x14:dxf>
          </x14:cfRule>
          <xm:sqref>F20:G20</xm:sqref>
        </x14:conditionalFormatting>
        <x14:conditionalFormatting xmlns:xm="http://schemas.microsoft.com/office/excel/2006/main">
          <x14:cfRule type="expression" priority="82" stopIfTrue="1" id="{DE40C0BA-B6D6-48BD-BADB-F2FF9BF49EEB}">
            <xm:f xml:space="preserve"> OR($X$20=+テーブル!A2,$X$20=+テーブル!A3,$X$20=+テーブル!A4,$X$20=+テーブル!A9,$X$20=+テーブル!A10,$X$20=+テーブル!A11,$X$20=+テーブル!A12,$X$20=+テーブル!A13,$X$20=+テーブル!A14,$X$20=+テーブル!A16)</xm:f>
            <x14:dxf>
              <font>
                <color rgb="FFFF0000"/>
              </font>
            </x14:dxf>
          </x14:cfRule>
          <xm:sqref>H20:I20</xm:sqref>
        </x14:conditionalFormatting>
        <x14:conditionalFormatting xmlns:xm="http://schemas.microsoft.com/office/excel/2006/main">
          <x14:cfRule type="expression" priority="81" stopIfTrue="1" id="{24042BA0-9BBE-4505-8D87-6855159087B7}">
            <xm:f xml:space="preserve"> OR($X$21=+テーブル!A2,$X$21=+テーブル!A3,$X$21=+テーブル!A9,$X$21=+テーブル!A10,$X$21=+テーブル!A12,$X$21=+テーブル!A13,$X$21=+テーブル!A16)</xm:f>
            <x14:dxf>
              <font>
                <color rgb="FFFF0000"/>
              </font>
            </x14:dxf>
          </x14:cfRule>
          <xm:sqref>D21:E21</xm:sqref>
        </x14:conditionalFormatting>
        <x14:conditionalFormatting xmlns:xm="http://schemas.microsoft.com/office/excel/2006/main">
          <x14:cfRule type="expression" priority="80" stopIfTrue="1" id="{7CE4F306-6D90-4309-B950-5386CD301FC1}">
            <xm:f xml:space="preserve"> OR($X$21=+テーブル!A2,$X$21=+テーブル!A4,$X$21=+テーブル!A9,$X$21=+テーブル!A11,$X$21=+テーブル!A12,$X$21=+テーブル!A14,$X$21=+テーブル!A16)</xm:f>
            <x14:dxf>
              <font>
                <color rgb="FFFF0000"/>
              </font>
            </x14:dxf>
          </x14:cfRule>
          <xm:sqref>F21:G21</xm:sqref>
        </x14:conditionalFormatting>
        <x14:conditionalFormatting xmlns:xm="http://schemas.microsoft.com/office/excel/2006/main">
          <x14:cfRule type="expression" priority="79" stopIfTrue="1" id="{9B253C24-4FB9-491B-8F32-061E6CF3DC5A}">
            <xm:f xml:space="preserve"> OR($X$21=+テーブル!A2,$X$21=+テーブル!A3,$X$21=+テーブル!A4,$X$21=+テーブル!A9,$X$21=+テーブル!A10,$X$21=+テーブル!A11,$X$21=+テーブル!A12,$X$21=+テーブル!A13,$X$21=+テーブル!A14,$X$21=+テーブル!A16)</xm:f>
            <x14:dxf>
              <font>
                <color rgb="FFFF0000"/>
              </font>
            </x14:dxf>
          </x14:cfRule>
          <xm:sqref>H21:I21</xm:sqref>
        </x14:conditionalFormatting>
        <x14:conditionalFormatting xmlns:xm="http://schemas.microsoft.com/office/excel/2006/main">
          <x14:cfRule type="expression" priority="78" stopIfTrue="1" id="{7118FB08-D58D-4489-850A-DF17FEF4F27E}">
            <xm:f xml:space="preserve"> OR($X$22=+テーブル!A2,$X$22=+テーブル!A3,$X$22=+テーブル!A9,$X$22=+テーブル!A10,$X$22=+テーブル!A12,$X$22=+テーブル!A13,$X$22=+テーブル!A16)</xm:f>
            <x14:dxf>
              <font>
                <color rgb="FFFF0000"/>
              </font>
            </x14:dxf>
          </x14:cfRule>
          <xm:sqref>D22:E22</xm:sqref>
        </x14:conditionalFormatting>
        <x14:conditionalFormatting xmlns:xm="http://schemas.microsoft.com/office/excel/2006/main">
          <x14:cfRule type="expression" priority="77" stopIfTrue="1" id="{E80B304E-81BE-4F3F-AE6B-51C08AE431E7}">
            <xm:f xml:space="preserve"> OR($X$22=+テーブル!A2,$X$22=+テーブル!A4,$X$22=+テーブル!A9,$X$22=+テーブル!A11,$X$22=+テーブル!A12,$X$22=+テーブル!A14,$X$22=+テーブル!A16)</xm:f>
            <x14:dxf>
              <font>
                <color rgb="FFFF0000"/>
              </font>
            </x14:dxf>
          </x14:cfRule>
          <xm:sqref>F22:G22</xm:sqref>
        </x14:conditionalFormatting>
        <x14:conditionalFormatting xmlns:xm="http://schemas.microsoft.com/office/excel/2006/main">
          <x14:cfRule type="expression" priority="76" stopIfTrue="1" id="{43689C8C-F982-4E2B-9E6F-E9037C18CAB6}">
            <xm:f xml:space="preserve"> OR($X$22=+テーブル!A2,$X$22=+テーブル!A3,$X$22=+テーブル!A4,$X$22=+テーブル!A9,$X$22=+テーブル!A10,$X$22=+テーブル!A11,$X$22=+テーブル!A12,$X$22=+テーブル!A13,$X$22=+テーブル!A14,$X$22=+テーブル!A16)</xm:f>
            <x14:dxf>
              <font>
                <color rgb="FFFF0000"/>
              </font>
            </x14:dxf>
          </x14:cfRule>
          <xm:sqref>H22:I22</xm:sqref>
        </x14:conditionalFormatting>
        <x14:conditionalFormatting xmlns:xm="http://schemas.microsoft.com/office/excel/2006/main">
          <x14:cfRule type="expression" priority="75" stopIfTrue="1" id="{3685B087-D086-4FD1-8E66-79BE442AF3BF}">
            <xm:f xml:space="preserve"> OR($X$23=+テーブル!A2,$X$23=+テーブル!A3,$X$23=+テーブル!A9,$X$23=+テーブル!A10,$X$23=+テーブル!A12,$X$23=+テーブル!A13,$X$23=+テーブル!A16)</xm:f>
            <x14:dxf>
              <font>
                <color rgb="FFFF0000"/>
              </font>
            </x14:dxf>
          </x14:cfRule>
          <xm:sqref>D23:E23</xm:sqref>
        </x14:conditionalFormatting>
        <x14:conditionalFormatting xmlns:xm="http://schemas.microsoft.com/office/excel/2006/main">
          <x14:cfRule type="expression" priority="74" stopIfTrue="1" id="{FCED7DC3-B8F3-48C0-9D55-AEC515CE5B22}">
            <xm:f xml:space="preserve"> OR($X$23=+テーブル!A2,$X$23=+テーブル!A4,$X$23=+テーブル!A9,$X$23=+テーブル!A11,$X$23=+テーブル!A12,$X$23=+テーブル!A14,$X$23=+テーブル!A16)</xm:f>
            <x14:dxf>
              <font>
                <color rgb="FFFF0000"/>
              </font>
            </x14:dxf>
          </x14:cfRule>
          <xm:sqref>F23:G23</xm:sqref>
        </x14:conditionalFormatting>
        <x14:conditionalFormatting xmlns:xm="http://schemas.microsoft.com/office/excel/2006/main">
          <x14:cfRule type="expression" priority="73" stopIfTrue="1" id="{8444D2C8-16CA-45F6-A00D-1154F8B84D59}">
            <xm:f xml:space="preserve"> OR($X$23=+テーブル!A2,$X$23=+テーブル!A3,$X$23=+テーブル!A4,$X$23=+テーブル!A9,$X$23=+テーブル!A10,$X$23=+テーブル!A11,$X$23=+テーブル!A12,$X$23=+テーブル!A13,$X$23=+テーブル!A14,$X$23=+テーブル!A16)</xm:f>
            <x14:dxf>
              <font>
                <color rgb="FFFF0000"/>
              </font>
            </x14:dxf>
          </x14:cfRule>
          <xm:sqref>H23:I23</xm:sqref>
        </x14:conditionalFormatting>
        <x14:conditionalFormatting xmlns:xm="http://schemas.microsoft.com/office/excel/2006/main">
          <x14:cfRule type="expression" priority="72" stopIfTrue="1" id="{6B007903-67BC-4E85-A579-E6FBA98E670B}">
            <xm:f xml:space="preserve"> OR($X$24=+テーブル!A2,$X$24=+テーブル!A3,$X$24=+テーブル!A9,$X$24=+テーブル!A10,$X$24=+テーブル!A12,$X$24=+テーブル!A13,$X$24=+テーブル!A16)</xm:f>
            <x14:dxf>
              <font>
                <color rgb="FFFF0000"/>
              </font>
            </x14:dxf>
          </x14:cfRule>
          <xm:sqref>D24:E24</xm:sqref>
        </x14:conditionalFormatting>
        <x14:conditionalFormatting xmlns:xm="http://schemas.microsoft.com/office/excel/2006/main">
          <x14:cfRule type="expression" priority="71" stopIfTrue="1" id="{56F448F2-4B8B-46FC-B741-7CF32EA4D4A0}">
            <xm:f xml:space="preserve"> OR($X$24=+テーブル!A2,$X$24=+テーブル!A4,$X$24=+テーブル!A9,$X$24=+テーブル!A11,$X$24=+テーブル!A12,$X$24=+テーブル!A14,$X$24=+テーブル!A16)</xm:f>
            <x14:dxf>
              <font>
                <color rgb="FFFF0000"/>
              </font>
            </x14:dxf>
          </x14:cfRule>
          <xm:sqref>F24:G24</xm:sqref>
        </x14:conditionalFormatting>
        <x14:conditionalFormatting xmlns:xm="http://schemas.microsoft.com/office/excel/2006/main">
          <x14:cfRule type="expression" priority="70" stopIfTrue="1" id="{1DCC9CC2-4C9F-4A1C-B1B8-111686165ED7}">
            <xm:f xml:space="preserve"> OR($X$24=+テーブル!A2,$X$24=+テーブル!A3,$X$24=+テーブル!A4,$X$24=+テーブル!A9,$X$24=+テーブル!A10,$X$24=+テーブル!A11,$X$24=+テーブル!A12,$X$24=+テーブル!A13,$X$24=+テーブル!A14,$X$24=+テーブル!A16)</xm:f>
            <x14:dxf>
              <font>
                <color rgb="FFFF0000"/>
              </font>
            </x14:dxf>
          </x14:cfRule>
          <xm:sqref>H24:I24</xm:sqref>
        </x14:conditionalFormatting>
        <x14:conditionalFormatting xmlns:xm="http://schemas.microsoft.com/office/excel/2006/main">
          <x14:cfRule type="expression" priority="69" stopIfTrue="1" id="{FC0EE14E-B3A0-456E-8213-C3FCD115838E}">
            <xm:f xml:space="preserve"> OR($X$25=+テーブル!A2,$X$25=+テーブル!A3,$X$25=+テーブル!A9,$X$25=+テーブル!A10,$X$25=+テーブル!A12,$X$25=+テーブル!A13,$X$25=+テーブル!A16)</xm:f>
            <x14:dxf>
              <font>
                <color rgb="FFFF0000"/>
              </font>
            </x14:dxf>
          </x14:cfRule>
          <xm:sqref>D25:E25</xm:sqref>
        </x14:conditionalFormatting>
        <x14:conditionalFormatting xmlns:xm="http://schemas.microsoft.com/office/excel/2006/main">
          <x14:cfRule type="expression" priority="68" stopIfTrue="1" id="{53830573-D25F-469A-A754-34C59CF2C6FA}">
            <xm:f xml:space="preserve"> OR($X$25=+テーブル!A2,$X$25=+テーブル!A4,$X$25=+テーブル!A9,$X$25=+テーブル!A11,$X$25=+テーブル!A12,$X$25=+テーブル!A14,$X$25=+テーブル!A16)</xm:f>
            <x14:dxf>
              <font>
                <color rgb="FFFF0000"/>
              </font>
            </x14:dxf>
          </x14:cfRule>
          <xm:sqref>F25:G25</xm:sqref>
        </x14:conditionalFormatting>
        <x14:conditionalFormatting xmlns:xm="http://schemas.microsoft.com/office/excel/2006/main">
          <x14:cfRule type="expression" priority="67" stopIfTrue="1" id="{82693EFF-F2D6-454A-8029-BE0095E79056}">
            <xm:f xml:space="preserve"> OR($X$25=+テーブル!A2,$X$25=+テーブル!A3,$X$25=+テーブル!A4,$X$25=+テーブル!A9,$X$25=+テーブル!A10,$X$25=+テーブル!A11,$X$25=+テーブル!A12,$X$25=+テーブル!A13,$X$25=+テーブル!A14,$X$25=+テーブル!A16)</xm:f>
            <x14:dxf>
              <font>
                <color rgb="FFFF0000"/>
              </font>
            </x14:dxf>
          </x14:cfRule>
          <xm:sqref>H25:I25</xm:sqref>
        </x14:conditionalFormatting>
        <x14:conditionalFormatting xmlns:xm="http://schemas.microsoft.com/office/excel/2006/main">
          <x14:cfRule type="expression" priority="66" stopIfTrue="1" id="{22AE86B4-CE91-43C1-A809-073B87CBEB05}">
            <xm:f xml:space="preserve"> OR($X$26=+テーブル!A2,$X$26=+テーブル!A3,$X$26=+テーブル!A9,$X$26=+テーブル!A10,$X$26=+テーブル!A12,$X$26=+テーブル!A13,$X$26=+テーブル!A16)</xm:f>
            <x14:dxf>
              <font>
                <color rgb="FFFF0000"/>
              </font>
            </x14:dxf>
          </x14:cfRule>
          <xm:sqref>D26:E26</xm:sqref>
        </x14:conditionalFormatting>
        <x14:conditionalFormatting xmlns:xm="http://schemas.microsoft.com/office/excel/2006/main">
          <x14:cfRule type="expression" priority="65" stopIfTrue="1" id="{763EC729-8BB3-4B13-8C8E-3B6B13037C93}">
            <xm:f xml:space="preserve"> OR($X$26=+テーブル!A2,$X$26=+テーブル!A4,$X$26=+テーブル!A9,$X$26=+テーブル!A11,$X$26=+テーブル!A12,$X$26=+テーブル!A14,$X$26=+テーブル!A16)</xm:f>
            <x14:dxf>
              <font>
                <color rgb="FFFF0000"/>
              </font>
            </x14:dxf>
          </x14:cfRule>
          <xm:sqref>F26:G26</xm:sqref>
        </x14:conditionalFormatting>
        <x14:conditionalFormatting xmlns:xm="http://schemas.microsoft.com/office/excel/2006/main">
          <x14:cfRule type="expression" priority="64" stopIfTrue="1" id="{7CBC1E69-3A3E-4DBA-8F40-04F00844F0E5}">
            <xm:f xml:space="preserve"> OR($X$26=+テーブル!A2,$X$26=+テーブル!A3,$X$26=+テーブル!A4,$X$26=+テーブル!A9,$X$26=+テーブル!A10,$X$26=+テーブル!A11,$X$26=+テーブル!A12,$X$26=+テーブル!A13,$X$26=+テーブル!A14,$X$26=+テーブル!A16)</xm:f>
            <x14:dxf>
              <font>
                <color rgb="FFFF0000"/>
              </font>
            </x14:dxf>
          </x14:cfRule>
          <xm:sqref>H26:I26</xm:sqref>
        </x14:conditionalFormatting>
        <x14:conditionalFormatting xmlns:xm="http://schemas.microsoft.com/office/excel/2006/main">
          <x14:cfRule type="expression" priority="63" stopIfTrue="1" id="{4938C68F-28DC-4334-853F-B62B84833A7E}">
            <xm:f xml:space="preserve"> OR($X$27=+テーブル!A2,$X$27=+テーブル!A3,$X$27=+テーブル!A9,$X$27=+テーブル!A10,$X$27=+テーブル!A12,$X$27=+テーブル!A13,$X$27=+テーブル!A16)</xm:f>
            <x14:dxf>
              <font>
                <color rgb="FFFF0000"/>
              </font>
            </x14:dxf>
          </x14:cfRule>
          <xm:sqref>D27:E27</xm:sqref>
        </x14:conditionalFormatting>
        <x14:conditionalFormatting xmlns:xm="http://schemas.microsoft.com/office/excel/2006/main">
          <x14:cfRule type="expression" priority="62" stopIfTrue="1" id="{8182144E-9980-4953-B0D5-D309614536BB}">
            <xm:f xml:space="preserve"> OR($X$27=+テーブル!A2,$X$27=+テーブル!A4,$X$27=+テーブル!A9,$X$27=+テーブル!A11,$X$27=+テーブル!A12,$X$27=+テーブル!A14,$X$27=+テーブル!A16)</xm:f>
            <x14:dxf>
              <font>
                <color rgb="FFFF0000"/>
              </font>
            </x14:dxf>
          </x14:cfRule>
          <xm:sqref>F27:G27</xm:sqref>
        </x14:conditionalFormatting>
        <x14:conditionalFormatting xmlns:xm="http://schemas.microsoft.com/office/excel/2006/main">
          <x14:cfRule type="expression" priority="61" stopIfTrue="1" id="{A09F5F55-10E8-40E3-A6B3-21D08A92D084}">
            <xm:f xml:space="preserve"> OR($X$27=+テーブル!A2,$X$27=+テーブル!A3,$X$27=+テーブル!A4,$X$27=+テーブル!A9,$X$27=+テーブル!A10,$X$27=+テーブル!A11,$X$27=+テーブル!A12,$X$27=+テーブル!A13,$X$27=+テーブル!A14,$X$27=+テーブル!A16)</xm:f>
            <x14:dxf>
              <font>
                <color rgb="FFFF0000"/>
              </font>
            </x14:dxf>
          </x14:cfRule>
          <xm:sqref>H27:I27</xm:sqref>
        </x14:conditionalFormatting>
        <x14:conditionalFormatting xmlns:xm="http://schemas.microsoft.com/office/excel/2006/main">
          <x14:cfRule type="expression" priority="60" stopIfTrue="1" id="{74C83EBF-30A3-429A-947E-8DC0D8441C27}">
            <xm:f xml:space="preserve"> OR($X$28=+テーブル!A2,$X$28=+テーブル!A3,$X$28=+テーブル!A9,$X$28=+テーブル!A10,$X$28=+テーブル!A12,$X$28=+テーブル!A13,$X$28=+テーブル!A16)</xm:f>
            <x14:dxf>
              <font>
                <color rgb="FFFF0000"/>
              </font>
            </x14:dxf>
          </x14:cfRule>
          <xm:sqref>D28:E28</xm:sqref>
        </x14:conditionalFormatting>
        <x14:conditionalFormatting xmlns:xm="http://schemas.microsoft.com/office/excel/2006/main">
          <x14:cfRule type="expression" priority="59" stopIfTrue="1" id="{8AF811C3-4154-49ED-806D-EDBE22106A97}">
            <xm:f xml:space="preserve"> OR($X$28=+テーブル!A2,$X$28=+テーブル!A4,$X$28=+テーブル!A9,$X$28=+テーブル!A11,$X$28=+テーブル!A12,$X$28=+テーブル!A14,$X$28=+テーブル!A16)</xm:f>
            <x14:dxf>
              <font>
                <color rgb="FFFF0000"/>
              </font>
            </x14:dxf>
          </x14:cfRule>
          <xm:sqref>F28:G28</xm:sqref>
        </x14:conditionalFormatting>
        <x14:conditionalFormatting xmlns:xm="http://schemas.microsoft.com/office/excel/2006/main">
          <x14:cfRule type="expression" priority="58" stopIfTrue="1" id="{6263A2CB-C6AE-41B0-8440-5DD8D69D4395}">
            <xm:f xml:space="preserve"> OR($X$28=+テーブル!A2,$X$28=+テーブル!A3,$X$28=+テーブル!A4,$X$28=+テーブル!A9,$X$28=+テーブル!A10,$X$28=+テーブル!A11,$X$28=+テーブル!A12,$X$28=+テーブル!A13,$X$28=+テーブル!A14,$X$28=+テーブル!A16)</xm:f>
            <x14:dxf>
              <font>
                <color rgb="FFFF0000"/>
              </font>
            </x14:dxf>
          </x14:cfRule>
          <xm:sqref>H28:I28</xm:sqref>
        </x14:conditionalFormatting>
        <x14:conditionalFormatting xmlns:xm="http://schemas.microsoft.com/office/excel/2006/main">
          <x14:cfRule type="expression" priority="57" stopIfTrue="1" id="{CF298EF7-B09F-41A0-B119-079B70ECC8A9}">
            <xm:f xml:space="preserve"> OR($X$29=+テーブル!A2,$X$29=+テーブル!A3,$X$29=+テーブル!A9,$X$29=+テーブル!A10,$X$29=+テーブル!A12,$X$29=+テーブル!A13,$X$29=+テーブル!A16)</xm:f>
            <x14:dxf>
              <font>
                <color rgb="FFFF0000"/>
              </font>
            </x14:dxf>
          </x14:cfRule>
          <xm:sqref>D29:E29</xm:sqref>
        </x14:conditionalFormatting>
        <x14:conditionalFormatting xmlns:xm="http://schemas.microsoft.com/office/excel/2006/main">
          <x14:cfRule type="expression" priority="56" stopIfTrue="1" id="{2C9F3531-4F6D-4DE7-A78B-DF771B0BDF8F}">
            <xm:f xml:space="preserve"> OR($X$29=+テーブル!A2,$X$29=+テーブル!A4,$X$29=+テーブル!A9,$X$29=+テーブル!A11,$X$29=+テーブル!A12,$X$29=+テーブル!A14,$X$29=+テーブル!A16)</xm:f>
            <x14:dxf>
              <font>
                <color rgb="FFFF0000"/>
              </font>
            </x14:dxf>
          </x14:cfRule>
          <xm:sqref>F29:G29</xm:sqref>
        </x14:conditionalFormatting>
        <x14:conditionalFormatting xmlns:xm="http://schemas.microsoft.com/office/excel/2006/main">
          <x14:cfRule type="expression" priority="55" stopIfTrue="1" id="{2100B80B-1135-4B44-9956-AF761AF4D5C7}">
            <xm:f xml:space="preserve"> OR($X$29=+テーブル!A2,$X$29=+テーブル!A3,$X$29=+テーブル!A4,$X$29=+テーブル!A9,$X$29=+テーブル!A10,$X$29=+テーブル!A11,$X$29=+テーブル!A12,$X$29=+テーブル!A13,$X$29=+テーブル!A14,$X$29=+テーブル!A16)</xm:f>
            <x14:dxf>
              <font>
                <color rgb="FFFF0000"/>
              </font>
            </x14:dxf>
          </x14:cfRule>
          <xm:sqref>H29:I29</xm:sqref>
        </x14:conditionalFormatting>
        <x14:conditionalFormatting xmlns:xm="http://schemas.microsoft.com/office/excel/2006/main">
          <x14:cfRule type="expression" priority="54" stopIfTrue="1" id="{3177AE6B-5191-4FDC-BCF8-FC855B981998}">
            <xm:f xml:space="preserve"> OR($X$30=+テーブル!A2,$X$30=+テーブル!A3,$X$30=+テーブル!A9,$X$30=+テーブル!A10,$X$30=+テーブル!A12,$X$30=+テーブル!A13,$X$30=+テーブル!A16)</xm:f>
            <x14:dxf>
              <font>
                <color rgb="FFFF0000"/>
              </font>
            </x14:dxf>
          </x14:cfRule>
          <xm:sqref>D30:E30</xm:sqref>
        </x14:conditionalFormatting>
        <x14:conditionalFormatting xmlns:xm="http://schemas.microsoft.com/office/excel/2006/main">
          <x14:cfRule type="expression" priority="53" stopIfTrue="1" id="{53C81086-2861-4780-8E48-D512858E1DBC}">
            <xm:f xml:space="preserve"> OR($X$30=+テーブル!A2,$X$30=+テーブル!A4,$X$30=+テーブル!A9,$X$30=+テーブル!A11,$X$30=+テーブル!A12,$X$30=+テーブル!A14,$X$30=+テーブル!A16)</xm:f>
            <x14:dxf>
              <font>
                <color rgb="FFFF0000"/>
              </font>
            </x14:dxf>
          </x14:cfRule>
          <xm:sqref>F30:G30</xm:sqref>
        </x14:conditionalFormatting>
        <x14:conditionalFormatting xmlns:xm="http://schemas.microsoft.com/office/excel/2006/main">
          <x14:cfRule type="expression" priority="52" stopIfTrue="1" id="{EB7CF798-8581-4181-BB0E-347B528E8C43}">
            <xm:f xml:space="preserve"> OR($X$30=+テーブル!A2,$X$30=+テーブル!A3,$X$30=+テーブル!A4,$X$30=+テーブル!A9,$X$30=+テーブル!A10,$X$30=+テーブル!A11,$X$30=+テーブル!A12,$X$30=+テーブル!A13,$X$30=+テーブル!A14,$X$30=+テーブル!A16)</xm:f>
            <x14:dxf>
              <font>
                <color rgb="FFFF0000"/>
              </font>
            </x14:dxf>
          </x14:cfRule>
          <xm:sqref>H30:I30</xm:sqref>
        </x14:conditionalFormatting>
        <x14:conditionalFormatting xmlns:xm="http://schemas.microsoft.com/office/excel/2006/main">
          <x14:cfRule type="expression" priority="51" stopIfTrue="1" id="{D2D59FB4-C944-490F-B095-FA7B8A8EC326}">
            <xm:f xml:space="preserve"> OR($X$31=+テーブル!A2,$X$31=+テーブル!A3,$X$31=+テーブル!A9,$X$31=+テーブル!A10,$X$31=+テーブル!A12,$X$31=+テーブル!A13,$X$31=+テーブル!A16)</xm:f>
            <x14:dxf>
              <font>
                <color rgb="FFFF0000"/>
              </font>
            </x14:dxf>
          </x14:cfRule>
          <xm:sqref>D31:E31</xm:sqref>
        </x14:conditionalFormatting>
        <x14:conditionalFormatting xmlns:xm="http://schemas.microsoft.com/office/excel/2006/main">
          <x14:cfRule type="expression" priority="50" stopIfTrue="1" id="{0B1A323C-64E5-4410-A74E-EBBBD9915512}">
            <xm:f xml:space="preserve"> OR($X$31=+テーブル!A2,$X$31=+テーブル!A4,$X$31=+テーブル!A9,$X$31=+テーブル!A11,$X$31=+テーブル!A12,$X$31=+テーブル!A14,$X$31=+テーブル!A16)</xm:f>
            <x14:dxf>
              <font>
                <color rgb="FFFF0000"/>
              </font>
            </x14:dxf>
          </x14:cfRule>
          <xm:sqref>F31:G31</xm:sqref>
        </x14:conditionalFormatting>
        <x14:conditionalFormatting xmlns:xm="http://schemas.microsoft.com/office/excel/2006/main">
          <x14:cfRule type="expression" priority="49" stopIfTrue="1" id="{6542E2FB-483F-4F3F-8D6F-5EA1D7BDC819}">
            <xm:f xml:space="preserve"> OR($X$31=+テーブル!A2,$X$31=+テーブル!A3,$X$31=+テーブル!A4,$X$31=+テーブル!A9,$X$31=+テーブル!A10,$X$31=+テーブル!A11,$X$31=+テーブル!A12,$X$31=+テーブル!A13,$X$31=+テーブル!A14,$X$31=+テーブル!A16)</xm:f>
            <x14:dxf>
              <font>
                <color rgb="FFFF0000"/>
              </font>
            </x14:dxf>
          </x14:cfRule>
          <xm:sqref>H31:I31</xm:sqref>
        </x14:conditionalFormatting>
        <x14:conditionalFormatting xmlns:xm="http://schemas.microsoft.com/office/excel/2006/main">
          <x14:cfRule type="expression" priority="48" stopIfTrue="1" id="{323E8E22-08C1-4497-8543-33A05269F2A2}">
            <xm:f xml:space="preserve"> OR($X$32=+テーブル!A2,$X$32=+テーブル!A3,$X$32=+テーブル!A9,$X$32=+テーブル!A10,$X$32=+テーブル!A12,$X$32=+テーブル!A13,$X$32=+テーブル!A16)</xm:f>
            <x14:dxf>
              <font>
                <color rgb="FFFF0000"/>
              </font>
            </x14:dxf>
          </x14:cfRule>
          <xm:sqref>D32:E32</xm:sqref>
        </x14:conditionalFormatting>
        <x14:conditionalFormatting xmlns:xm="http://schemas.microsoft.com/office/excel/2006/main">
          <x14:cfRule type="expression" priority="47" stopIfTrue="1" id="{8707980D-6D3D-42F7-B6EE-D22786BA4900}">
            <xm:f xml:space="preserve"> OR($X$32=+テーブル!A2,$X$32=+テーブル!A4,$X$32=+テーブル!A9,$X$32=+テーブル!A11,$X$32=+テーブル!A12,$X$32=+テーブル!A14,$X$32=+テーブル!A16)</xm:f>
            <x14:dxf>
              <font>
                <color rgb="FFFF0000"/>
              </font>
            </x14:dxf>
          </x14:cfRule>
          <xm:sqref>F32:G32</xm:sqref>
        </x14:conditionalFormatting>
        <x14:conditionalFormatting xmlns:xm="http://schemas.microsoft.com/office/excel/2006/main">
          <x14:cfRule type="expression" priority="46" stopIfTrue="1" id="{41E05C51-2CD5-4CE2-834E-FBE0EA83AB03}">
            <xm:f xml:space="preserve"> OR($X$32=+テーブル!A2,$X$32=+テーブル!A3,$X$32=+テーブル!A4,$X$32=+テーブル!A9,$X$32=+テーブル!A10,$X$32=+テーブル!A11,$X$32=+テーブル!A12,$X$32=+テーブル!A13,$X$32=+テーブル!A14,$X$32=+テーブル!A16)</xm:f>
            <x14:dxf>
              <font>
                <color rgb="FFFF0000"/>
              </font>
            </x14:dxf>
          </x14:cfRule>
          <xm:sqref>H32:I32</xm:sqref>
        </x14:conditionalFormatting>
        <x14:conditionalFormatting xmlns:xm="http://schemas.microsoft.com/office/excel/2006/main">
          <x14:cfRule type="expression" priority="45" stopIfTrue="1" id="{B7597CC3-AEF6-419C-AEAF-FBEA9E95D45C}">
            <xm:f xml:space="preserve"> OR($X$33=+テーブル!A2,$X$33=+テーブル!A3,$X$33=+テーブル!A9,$X$33=+テーブル!A10,$X$33=+テーブル!A12,$X$33=+テーブル!A13,$X$33=+テーブル!A16)</xm:f>
            <x14:dxf>
              <font>
                <color rgb="FFFF0000"/>
              </font>
            </x14:dxf>
          </x14:cfRule>
          <xm:sqref>D33:E33</xm:sqref>
        </x14:conditionalFormatting>
        <x14:conditionalFormatting xmlns:xm="http://schemas.microsoft.com/office/excel/2006/main">
          <x14:cfRule type="expression" priority="44" stopIfTrue="1" id="{9F2D0147-3DA4-425C-B81E-BFCFCD244219}">
            <xm:f xml:space="preserve"> OR($X$33=+テーブル!A2,$X$33=+テーブル!A4,$X$33=+テーブル!A9,$X$33=+テーブル!A11,$X$33=+テーブル!A12,$X$33=+テーブル!A14,$X$33=+テーブル!A16)</xm:f>
            <x14:dxf>
              <font>
                <color rgb="FFFF0000"/>
              </font>
            </x14:dxf>
          </x14:cfRule>
          <xm:sqref>F33:G33</xm:sqref>
        </x14:conditionalFormatting>
        <x14:conditionalFormatting xmlns:xm="http://schemas.microsoft.com/office/excel/2006/main">
          <x14:cfRule type="expression" priority="43" stopIfTrue="1" id="{9F8E4639-8049-4EAA-B99A-5FBF4AD6429F}">
            <xm:f xml:space="preserve"> OR($X$33=+テーブル!A2,$X$33=+テーブル!A3,$X$33=+テーブル!A4,$X$33=+テーブル!A9,$X$33=+テーブル!A10,$X$33=+テーブル!A11,$X$33=+テーブル!A12,$X$33=+テーブル!A13,$X$33=+テーブル!A14,$X$33=+テーブル!A16)</xm:f>
            <x14:dxf>
              <font>
                <color rgb="FFFF0000"/>
              </font>
            </x14:dxf>
          </x14:cfRule>
          <xm:sqref>H33:I33</xm:sqref>
        </x14:conditionalFormatting>
        <x14:conditionalFormatting xmlns:xm="http://schemas.microsoft.com/office/excel/2006/main">
          <x14:cfRule type="expression" priority="42" stopIfTrue="1" id="{33E12ED3-A568-4731-8183-DC51B61710D2}">
            <xm:f xml:space="preserve"> OR($X$34=+テーブル!A2,$X$34=+テーブル!A3,$X$34=+テーブル!A9,$X$34=+テーブル!A10,$X$34=+テーブル!A12,$X$34=+テーブル!A13,$X$34=+テーブル!A16)</xm:f>
            <x14:dxf>
              <font>
                <color rgb="FFFF0000"/>
              </font>
            </x14:dxf>
          </x14:cfRule>
          <xm:sqref>D34:E34</xm:sqref>
        </x14:conditionalFormatting>
        <x14:conditionalFormatting xmlns:xm="http://schemas.microsoft.com/office/excel/2006/main">
          <x14:cfRule type="expression" priority="41" stopIfTrue="1" id="{039E5BE5-59D9-4210-9F84-42C35E11AC10}">
            <xm:f xml:space="preserve"> OR($X$34=+テーブル!A2,$X$34=+テーブル!A4,$X$34=+テーブル!A9,$X$34=+テーブル!A11,$X$34=+テーブル!A12,$X$34=+テーブル!A14,$X$34=+テーブル!A16)</xm:f>
            <x14:dxf>
              <font>
                <color rgb="FFFF0000"/>
              </font>
            </x14:dxf>
          </x14:cfRule>
          <xm:sqref>F34:G34</xm:sqref>
        </x14:conditionalFormatting>
        <x14:conditionalFormatting xmlns:xm="http://schemas.microsoft.com/office/excel/2006/main">
          <x14:cfRule type="expression" priority="40" stopIfTrue="1" id="{E4942175-0509-4DFA-AE07-0CCD7039FDDF}">
            <xm:f xml:space="preserve"> OR($X$34=+テーブル!A2,$X$34=+テーブル!A3,$X$34=+テーブル!A4,$X$34=+テーブル!A9,$X$34=+テーブル!A10,$X$34=+テーブル!A11,$X$34=+テーブル!A12,$X$34=+テーブル!A13,$X$34=+テーブル!A14,$X$34=+テーブル!A16)</xm:f>
            <x14:dxf>
              <font>
                <color rgb="FFFF0000"/>
              </font>
            </x14:dxf>
          </x14:cfRule>
          <xm:sqref>H34:I34</xm:sqref>
        </x14:conditionalFormatting>
        <x14:conditionalFormatting xmlns:xm="http://schemas.microsoft.com/office/excel/2006/main">
          <x14:cfRule type="expression" priority="39" stopIfTrue="1" id="{5DBB40A2-C095-4949-850A-306EE3610C1B}">
            <xm:f xml:space="preserve"> OR($X$35=+テーブル!A2,$X$35=+テーブル!A3,$X$35=+テーブル!A9,$X$35=+テーブル!A10,$X$35=+テーブル!A12,$X$35=+テーブル!A13,$X$35=+テーブル!A16)</xm:f>
            <x14:dxf>
              <font>
                <color rgb="FFFF0000"/>
              </font>
            </x14:dxf>
          </x14:cfRule>
          <xm:sqref>D35:E35</xm:sqref>
        </x14:conditionalFormatting>
        <x14:conditionalFormatting xmlns:xm="http://schemas.microsoft.com/office/excel/2006/main">
          <x14:cfRule type="expression" priority="38" stopIfTrue="1" id="{64A21517-3962-455D-AB14-272304D36B29}">
            <xm:f xml:space="preserve"> OR($X$35=+テーブル!A2,$X$35=+テーブル!A4,$X$35=+テーブル!A9,$X$35=+テーブル!A11,$X$35=+テーブル!A12,$X$35=+テーブル!A14,$X$35=+テーブル!A16)</xm:f>
            <x14:dxf>
              <font>
                <color rgb="FFFF0000"/>
              </font>
            </x14:dxf>
          </x14:cfRule>
          <xm:sqref>F35:G35</xm:sqref>
        </x14:conditionalFormatting>
        <x14:conditionalFormatting xmlns:xm="http://schemas.microsoft.com/office/excel/2006/main">
          <x14:cfRule type="expression" priority="37" stopIfTrue="1" id="{428DE404-E846-4C0C-9654-5DD378C167E5}">
            <xm:f xml:space="preserve"> OR($X$35=+テーブル!A2,$X$35=+テーブル!A3,$X$35=+テーブル!A4,$X$35=+テーブル!A9,$X$35=+テーブル!A10,$X$35=+テーブル!A11,$X$35=+テーブル!A12,$X$35=+テーブル!A13,$X$35=+テーブル!A14,$X$35=+テーブル!A16)</xm:f>
            <x14:dxf>
              <font>
                <color rgb="FFFF0000"/>
              </font>
            </x14:dxf>
          </x14:cfRule>
          <xm:sqref>H35:I35</xm:sqref>
        </x14:conditionalFormatting>
        <x14:conditionalFormatting xmlns:xm="http://schemas.microsoft.com/office/excel/2006/main">
          <x14:cfRule type="expression" priority="36" stopIfTrue="1" id="{DDC37E9B-13A3-474B-9328-752B2D642222}">
            <xm:f xml:space="preserve"> OR($X$36=+テーブル!A2,$X$36=+テーブル!A3,$X$36=+テーブル!A9,$X$36=+テーブル!A10,$X$36=+テーブル!A12,$X$36=+テーブル!A13,$X$36=+テーブル!A16)</xm:f>
            <x14:dxf>
              <font>
                <color rgb="FFFF0000"/>
              </font>
            </x14:dxf>
          </x14:cfRule>
          <xm:sqref>D36:E36</xm:sqref>
        </x14:conditionalFormatting>
        <x14:conditionalFormatting xmlns:xm="http://schemas.microsoft.com/office/excel/2006/main">
          <x14:cfRule type="expression" priority="35" stopIfTrue="1" id="{2E671992-DFC9-4AFF-9700-D250D05AC590}">
            <xm:f xml:space="preserve"> OR($X$36=+テーブル!A2,$X$36=+テーブル!A4,$X$36=+テーブル!A9,$X$36=+テーブル!A11,$X$36=+テーブル!A12,$X$36=+テーブル!A14,$X$36=+テーブル!A16)</xm:f>
            <x14:dxf>
              <font>
                <color rgb="FFFF0000"/>
              </font>
            </x14:dxf>
          </x14:cfRule>
          <xm:sqref>F36:G36</xm:sqref>
        </x14:conditionalFormatting>
        <x14:conditionalFormatting xmlns:xm="http://schemas.microsoft.com/office/excel/2006/main">
          <x14:cfRule type="expression" priority="34" stopIfTrue="1" id="{00E45CA2-6F19-4D3A-B0D4-889024525AE7}">
            <xm:f xml:space="preserve"> OR($X$36=+テーブル!A2,$X$36=+テーブル!A3,$X$36=+テーブル!A4,$X$36=+テーブル!A9,$X$36=+テーブル!A10,$X$36=+テーブル!A11,$X$36=+テーブル!A12,$X$36=+テーブル!A13,$X$36=+テーブル!A14,$X$36=+テーブル!A16)</xm:f>
            <x14:dxf>
              <font>
                <color rgb="FFFF0000"/>
              </font>
            </x14:dxf>
          </x14:cfRule>
          <xm:sqref>H36:I36</xm:sqref>
        </x14:conditionalFormatting>
        <x14:conditionalFormatting xmlns:xm="http://schemas.microsoft.com/office/excel/2006/main">
          <x14:cfRule type="expression" priority="33" stopIfTrue="1" id="{BC1FB8A0-54B0-4885-876E-D184ED203112}">
            <xm:f xml:space="preserve"> OR($X$37=+テーブル!A2,$X$37=+テーブル!A3,$X$37=+テーブル!A9,$X$37=+テーブル!A10,$X$37=+テーブル!A12,$X$37=+テーブル!A13,$X$37=+テーブル!A16)</xm:f>
            <x14:dxf>
              <font>
                <color rgb="FFFF0000"/>
              </font>
            </x14:dxf>
          </x14:cfRule>
          <xm:sqref>D37:E37</xm:sqref>
        </x14:conditionalFormatting>
        <x14:conditionalFormatting xmlns:xm="http://schemas.microsoft.com/office/excel/2006/main">
          <x14:cfRule type="expression" priority="32" stopIfTrue="1" id="{E6628029-90A5-46B2-93B8-201EB75C1CA5}">
            <xm:f xml:space="preserve"> OR($X$37=+テーブル!A2,$X$37=+テーブル!A4,$X$37=+テーブル!A9,$X$37=+テーブル!A11,$X$37=+テーブル!A12,$X$37=+テーブル!A14,$X$37=+テーブル!A16)</xm:f>
            <x14:dxf>
              <font>
                <color rgb="FFFF0000"/>
              </font>
            </x14:dxf>
          </x14:cfRule>
          <xm:sqref>F37:G37</xm:sqref>
        </x14:conditionalFormatting>
        <x14:conditionalFormatting xmlns:xm="http://schemas.microsoft.com/office/excel/2006/main">
          <x14:cfRule type="expression" priority="31" stopIfTrue="1" id="{3E6C27DC-7A62-4004-9C51-954BB7D761C6}">
            <xm:f xml:space="preserve"> OR($X$37=+テーブル!A2,$X$37=+テーブル!A3,$X$37=+テーブル!A4,$X$37=+テーブル!A9,$X$37=+テーブル!A10,$X$37=+テーブル!A11,$X$37=+テーブル!A12,$X$37=+テーブル!A13,$X$37=+テーブル!A14,$X$37=+テーブル!A16)</xm:f>
            <x14:dxf>
              <font>
                <color rgb="FFFF0000"/>
              </font>
            </x14:dxf>
          </x14:cfRule>
          <xm:sqref>H37:I37</xm:sqref>
        </x14:conditionalFormatting>
        <x14:conditionalFormatting xmlns:xm="http://schemas.microsoft.com/office/excel/2006/main">
          <x14:cfRule type="expression" priority="30" stopIfTrue="1" id="{ACC73EB4-3645-43E0-8A70-15CA015E78E4}">
            <xm:f xml:space="preserve"> OR($X$38=+テーブル!A2,$X$38=+テーブル!A3,$X$38=+テーブル!A9,$X$38=+テーブル!A10,$X$38=+テーブル!A12,$X$38=+テーブル!A13,$X$38=+テーブル!A16)</xm:f>
            <x14:dxf>
              <font>
                <color rgb="FFFF0000"/>
              </font>
            </x14:dxf>
          </x14:cfRule>
          <xm:sqref>D38:E38</xm:sqref>
        </x14:conditionalFormatting>
        <x14:conditionalFormatting xmlns:xm="http://schemas.microsoft.com/office/excel/2006/main">
          <x14:cfRule type="expression" priority="29" stopIfTrue="1" id="{28F6923B-FC8A-46B9-978F-CB8B1322EE4E}">
            <xm:f xml:space="preserve"> OR($X$38=+テーブル!A2,$X$38=+テーブル!A4,$X$38=+テーブル!A9,$X$38=+テーブル!A11,$X$38=+テーブル!A12,$X$38=+テーブル!A14,$X$38=+テーブル!A16)</xm:f>
            <x14:dxf>
              <font>
                <color rgb="FFFF0000"/>
              </font>
            </x14:dxf>
          </x14:cfRule>
          <xm:sqref>F38:G38</xm:sqref>
        </x14:conditionalFormatting>
        <x14:conditionalFormatting xmlns:xm="http://schemas.microsoft.com/office/excel/2006/main">
          <x14:cfRule type="expression" priority="28" stopIfTrue="1" id="{52B1297E-8765-43D2-84E3-1979F523BAAF}">
            <xm:f xml:space="preserve"> OR($X$38=+テーブル!A2,$X$38=+テーブル!A3,$X$38=+テーブル!A4,$X$38=+テーブル!A9,$X$38=+テーブル!A10,$X$38=+テーブル!A11,$X$38=+テーブル!A12,$X$38=+テーブル!A13,$X$38=+テーブル!A14,$X$38=+テーブル!A16)</xm:f>
            <x14:dxf>
              <font>
                <color rgb="FFFF0000"/>
              </font>
            </x14:dxf>
          </x14:cfRule>
          <xm:sqref>H38:I38</xm:sqref>
        </x14:conditionalFormatting>
        <x14:conditionalFormatting xmlns:xm="http://schemas.microsoft.com/office/excel/2006/main">
          <x14:cfRule type="expression" priority="27" stopIfTrue="1" id="{8C5685B9-EE15-4D3C-A826-F76D2C1465C0}">
            <xm:f xml:space="preserve"> OR($X$39=+テーブル!A2,$X$39=+テーブル!A3,$X$39=+テーブル!A9,$X$39=+テーブル!A10,$X$39=+テーブル!A12,$X$39=+テーブル!A13,$X$39=+テーブル!A16)</xm:f>
            <x14:dxf>
              <font>
                <color rgb="FFFF0000"/>
              </font>
            </x14:dxf>
          </x14:cfRule>
          <xm:sqref>D39:E39</xm:sqref>
        </x14:conditionalFormatting>
        <x14:conditionalFormatting xmlns:xm="http://schemas.microsoft.com/office/excel/2006/main">
          <x14:cfRule type="expression" priority="26" stopIfTrue="1" id="{3EC26BF9-E694-4264-83AC-8543BE165A7C}">
            <xm:f xml:space="preserve"> OR($X$39=+テーブル!A2,$X$39=+テーブル!A4,$X$39=+テーブル!A9,$X$39=+テーブル!A11,$X$39=+テーブル!A12,$X$39=+テーブル!A14,$X$39=+テーブル!A16)</xm:f>
            <x14:dxf>
              <font>
                <color rgb="FFFF0000"/>
              </font>
            </x14:dxf>
          </x14:cfRule>
          <xm:sqref>F39:G39</xm:sqref>
        </x14:conditionalFormatting>
        <x14:conditionalFormatting xmlns:xm="http://schemas.microsoft.com/office/excel/2006/main">
          <x14:cfRule type="expression" priority="25" stopIfTrue="1" id="{B3BE45EA-D0A2-4CC8-A3C9-2A9F793EC64C}">
            <xm:f xml:space="preserve"> OR($X$39=+テーブル!A2,$X$39=+テーブル!A3,$X$39=+テーブル!A4,$X$39=+テーブル!A9,$X$39=+テーブル!A10,$X$39=+テーブル!A11,$X$39=+テーブル!A12,$X$39=+テーブル!A13,$X$39=+テーブル!A14,$X$39=+テーブル!A16)</xm:f>
            <x14:dxf>
              <font>
                <color rgb="FFFF0000"/>
              </font>
            </x14:dxf>
          </x14:cfRule>
          <xm:sqref>H39:I39</xm:sqref>
        </x14:conditionalFormatting>
        <x14:conditionalFormatting xmlns:xm="http://schemas.microsoft.com/office/excel/2006/main">
          <x14:cfRule type="expression" priority="24" stopIfTrue="1" id="{3C30E3DE-79E1-4D54-83AD-1838969F9464}">
            <xm:f xml:space="preserve"> OR($X$40=+テーブル!A2,$X$40=+テーブル!A3,$X$40=+テーブル!A9,$X$40=+テーブル!A10,$X$40=+テーブル!A12,$X$40=+テーブル!A13,$X$40=+テーブル!A16)</xm:f>
            <x14:dxf>
              <font>
                <color rgb="FFFF0000"/>
              </font>
            </x14:dxf>
          </x14:cfRule>
          <xm:sqref>D40:E40</xm:sqref>
        </x14:conditionalFormatting>
        <x14:conditionalFormatting xmlns:xm="http://schemas.microsoft.com/office/excel/2006/main">
          <x14:cfRule type="expression" priority="23" stopIfTrue="1" id="{976EE295-BAAD-468B-A761-AAEA7C3EC5CD}">
            <xm:f xml:space="preserve"> OR($X$40=+テーブル!A2,$X$40=+テーブル!A4,$X$40=+テーブル!A9,$X$40=+テーブル!A11,$X$40=+テーブル!A12,$X$40=+テーブル!A14,$X$40=+テーブル!A16)</xm:f>
            <x14:dxf>
              <font>
                <color rgb="FFFF0000"/>
              </font>
            </x14:dxf>
          </x14:cfRule>
          <xm:sqref>F40:G40</xm:sqref>
        </x14:conditionalFormatting>
        <x14:conditionalFormatting xmlns:xm="http://schemas.microsoft.com/office/excel/2006/main">
          <x14:cfRule type="expression" priority="22" stopIfTrue="1" id="{751F909D-7C10-4385-8359-ED2CEC93A58F}">
            <xm:f xml:space="preserve"> OR($X$40=+テーブル!A2,$X$40=+テーブル!A3,$X$40=+テーブル!A4,$X$40=+テーブル!A9,$X$40=+テーブル!A10,$X$40=+テーブル!A11,$X$40=+テーブル!A12,$X$40=+テーブル!A13,$X$40=+テーブル!A14,$X$40=+テーブル!A16)</xm:f>
            <x14:dxf>
              <font>
                <color rgb="FFFF0000"/>
              </font>
            </x14:dxf>
          </x14:cfRule>
          <xm:sqref>H40:I40</xm:sqref>
        </x14:conditionalFormatting>
        <x14:conditionalFormatting xmlns:xm="http://schemas.microsoft.com/office/excel/2006/main">
          <x14:cfRule type="expression" priority="21" stopIfTrue="1" id="{3D4E98FE-923C-4685-9537-948A0BE5BD92}">
            <xm:f xml:space="preserve"> OR($X$41=+テーブル!A2,$X$41=+テーブル!A3,$X$41=+テーブル!A9,$X$41=+テーブル!A10,$X$41=+テーブル!A12,$X$41=+テーブル!A13,$X$41=+テーブル!A16)</xm:f>
            <x14:dxf>
              <font>
                <color rgb="FFFF0000"/>
              </font>
            </x14:dxf>
          </x14:cfRule>
          <xm:sqref>D41:E41</xm:sqref>
        </x14:conditionalFormatting>
        <x14:conditionalFormatting xmlns:xm="http://schemas.microsoft.com/office/excel/2006/main">
          <x14:cfRule type="expression" priority="20" stopIfTrue="1" id="{B0A84818-BC62-43CC-86EE-6D821BC71E27}">
            <xm:f xml:space="preserve"> OR($X$41=+テーブル!A2,$X$41=+テーブル!A4,$X$41=+テーブル!A9,$X$41=+テーブル!A11,$X$41=+テーブル!A12,$X$41=+テーブル!A14,$X$41=+テーブル!A16)</xm:f>
            <x14:dxf>
              <font>
                <color rgb="FFFF0000"/>
              </font>
            </x14:dxf>
          </x14:cfRule>
          <xm:sqref>F41:G41</xm:sqref>
        </x14:conditionalFormatting>
        <x14:conditionalFormatting xmlns:xm="http://schemas.microsoft.com/office/excel/2006/main">
          <x14:cfRule type="expression" priority="19" stopIfTrue="1" id="{D4148363-AB22-4565-8583-0756EC4365AA}">
            <xm:f xml:space="preserve"> OR($X$41=+テーブル!A2,$X$41=+テーブル!A3,$X$41=+テーブル!A4,$X$41=+テーブル!A9,$X$41=+テーブル!A10,$X$41=+テーブル!A11,$X$41=+テーブル!A12,$X$41=+テーブル!A13,$X$41=+テーブル!A14,$X$41=+テーブル!A16)</xm:f>
            <x14:dxf>
              <font>
                <color rgb="FFFF0000"/>
              </font>
            </x14:dxf>
          </x14:cfRule>
          <xm:sqref>H41:I41</xm:sqref>
        </x14:conditionalFormatting>
        <x14:conditionalFormatting xmlns:xm="http://schemas.microsoft.com/office/excel/2006/main">
          <x14:cfRule type="expression" priority="18" stopIfTrue="1" id="{90EAC53A-D1C1-4BF5-96E8-378CA2517CFA}">
            <xm:f xml:space="preserve"> OR($X$42=+テーブル!A2,$X$42=+テーブル!A3,$X$42=+テーブル!A9,$X$42=+テーブル!A10,$X$42=+テーブル!A12,$X$42=+テーブル!A13,$X$42=+テーブル!A16)</xm:f>
            <x14:dxf>
              <font>
                <color rgb="FFFF0000"/>
              </font>
            </x14:dxf>
          </x14:cfRule>
          <xm:sqref>D42:E42</xm:sqref>
        </x14:conditionalFormatting>
        <x14:conditionalFormatting xmlns:xm="http://schemas.microsoft.com/office/excel/2006/main">
          <x14:cfRule type="expression" priority="17" stopIfTrue="1" id="{59796C64-192E-4CD2-8C95-76A2B33845E6}">
            <xm:f xml:space="preserve"> OR($X$42=+テーブル!A2,$X$42=+テーブル!A4,$X$42=+テーブル!A9,$X$42=+テーブル!A11,$X$42=+テーブル!A12,$X$42=+テーブル!A14,$X$42=+テーブル!A16)</xm:f>
            <x14:dxf>
              <font>
                <color rgb="FFFF0000"/>
              </font>
            </x14:dxf>
          </x14:cfRule>
          <xm:sqref>F42:G42</xm:sqref>
        </x14:conditionalFormatting>
        <x14:conditionalFormatting xmlns:xm="http://schemas.microsoft.com/office/excel/2006/main">
          <x14:cfRule type="expression" priority="16" stopIfTrue="1" id="{7CBA4257-1CA3-488F-92DF-49553A91A071}">
            <xm:f xml:space="preserve"> OR($X$42=+テーブル!A2,$X$42=+テーブル!A3,$X$42=+テーブル!A4,$X$42=+テーブル!A9,$X$42=+テーブル!A10,$X$42=+テーブル!A11,$X$42=+テーブル!A12,$X$42=+テーブル!A13,$X$42=+テーブル!A14,$X$42=+テーブル!A16)</xm:f>
            <x14:dxf>
              <font>
                <color rgb="FFFF0000"/>
              </font>
            </x14:dxf>
          </x14:cfRule>
          <xm:sqref>H42:I42</xm:sqref>
        </x14:conditionalFormatting>
        <x14:conditionalFormatting xmlns:xm="http://schemas.microsoft.com/office/excel/2006/main">
          <x14:cfRule type="expression" priority="15" stopIfTrue="1" id="{78AB1BBC-AF4A-451F-9555-45034825F3A6}">
            <xm:f xml:space="preserve"> OR($X$43=+テーブル!A2,$X$43=+テーブル!A3,$X$43=+テーブル!A9,$X$43=+テーブル!A10,$X$43=+テーブル!A12,$X$43=+テーブル!A13,$X$43=+テーブル!A16)</xm:f>
            <x14:dxf>
              <font>
                <color rgb="FFFF0000"/>
              </font>
            </x14:dxf>
          </x14:cfRule>
          <xm:sqref>D43:E43</xm:sqref>
        </x14:conditionalFormatting>
        <x14:conditionalFormatting xmlns:xm="http://schemas.microsoft.com/office/excel/2006/main">
          <x14:cfRule type="expression" priority="14" stopIfTrue="1" id="{8F29A57D-8532-4ADD-B963-CC5437A5B905}">
            <xm:f xml:space="preserve"> OR($X$43=+テーブル!A2,$X$43=+テーブル!A4,$X$43=+テーブル!A9,$X$43=+テーブル!A11,$X$43=+テーブル!A12,$X$43=+テーブル!A14,$X$43=+テーブル!A16)</xm:f>
            <x14:dxf>
              <font>
                <color rgb="FFFF0000"/>
              </font>
            </x14:dxf>
          </x14:cfRule>
          <xm:sqref>F43:G43</xm:sqref>
        </x14:conditionalFormatting>
        <x14:conditionalFormatting xmlns:xm="http://schemas.microsoft.com/office/excel/2006/main">
          <x14:cfRule type="expression" priority="13" stopIfTrue="1" id="{57222763-1710-44A0-8F2E-C0462D34A1EF}">
            <xm:f xml:space="preserve"> OR($X$43=+テーブル!A2,$X$43=+テーブル!A3,$X$43=+テーブル!A4,$X$43=+テーブル!A9,$X$43=+テーブル!A10,$X$43=+テーブル!A11,$X$43=+テーブル!A12,$X$43=+テーブル!A13,$X$43=+テーブル!A14,$X$43=+テーブル!A16)</xm:f>
            <x14:dxf>
              <font>
                <color rgb="FFFF0000"/>
              </font>
            </x14:dxf>
          </x14:cfRule>
          <xm:sqref>H43:I43</xm:sqref>
        </x14:conditionalFormatting>
        <x14:conditionalFormatting xmlns:xm="http://schemas.microsoft.com/office/excel/2006/main">
          <x14:cfRule type="expression" priority="12" stopIfTrue="1" id="{B4DE04F1-B65C-4DF5-82F5-DF8D788A43AB}">
            <xm:f xml:space="preserve"> OR($X$44=+テーブル!A2,$X$44=+テーブル!A3,$X$44=+テーブル!A9,$X$44=+テーブル!A10,$X$44=+テーブル!A12,$X$44=+テーブル!A13,$X$44=+テーブル!A16)</xm:f>
            <x14:dxf>
              <font>
                <color rgb="FFFF0000"/>
              </font>
            </x14:dxf>
          </x14:cfRule>
          <xm:sqref>D44:E44</xm:sqref>
        </x14:conditionalFormatting>
        <x14:conditionalFormatting xmlns:xm="http://schemas.microsoft.com/office/excel/2006/main">
          <x14:cfRule type="expression" priority="11" stopIfTrue="1" id="{1556008A-7004-468F-8BE7-0DF95246C06A}">
            <xm:f xml:space="preserve"> OR($X$44=+テーブル!A2,$X$44=+テーブル!A4,$X$44=+テーブル!A9,$X$44=+テーブル!A11,$X$44=+テーブル!A12,$X$44=+テーブル!A14,$X$44=+テーブル!A16)</xm:f>
            <x14:dxf>
              <font>
                <color rgb="FFFF0000"/>
              </font>
            </x14:dxf>
          </x14:cfRule>
          <xm:sqref>F44:G44</xm:sqref>
        </x14:conditionalFormatting>
        <x14:conditionalFormatting xmlns:xm="http://schemas.microsoft.com/office/excel/2006/main">
          <x14:cfRule type="expression" priority="10" stopIfTrue="1" id="{087F43B7-E702-453A-875E-ECE031347CCC}">
            <xm:f xml:space="preserve"> OR($X$44=+テーブル!A2,$X$44=+テーブル!A3,$X$44=+テーブル!A4,$X$44=+テーブル!A9,$X$44=+テーブル!A10,$X$44=+テーブル!A11,$X$44=+テーブル!A12,$X$44=+テーブル!A13,$X$44=+テーブル!A14,$X$44=+テーブル!A16)</xm:f>
            <x14:dxf>
              <font>
                <color rgb="FFFF0000"/>
              </font>
            </x14:dxf>
          </x14:cfRule>
          <xm:sqref>H44:I44</xm:sqref>
        </x14:conditionalFormatting>
        <x14:conditionalFormatting xmlns:xm="http://schemas.microsoft.com/office/excel/2006/main">
          <x14:cfRule type="expression" priority="9" stopIfTrue="1" id="{B2252E45-CEF6-43AD-ABF3-6B999A0FDE63}">
            <xm:f xml:space="preserve"> OR($X$45=+テーブル!A2,$X$45=+テーブル!A3,$X$45=+テーブル!A9,$X$45=+テーブル!A10,$X$45=+テーブル!A12,$X$45=+テーブル!A13,$X$45=+テーブル!A16)</xm:f>
            <x14:dxf>
              <font>
                <color rgb="FFFF0000"/>
              </font>
            </x14:dxf>
          </x14:cfRule>
          <xm:sqref>D45:E45</xm:sqref>
        </x14:conditionalFormatting>
        <x14:conditionalFormatting xmlns:xm="http://schemas.microsoft.com/office/excel/2006/main">
          <x14:cfRule type="expression" priority="8" stopIfTrue="1" id="{099B2CA5-5BBC-4199-9014-A171A19F26B1}">
            <xm:f xml:space="preserve"> OR($X$45=+テーブル!A2,$X$45=+テーブル!A4,$X$45=+テーブル!A9,$X$45=+テーブル!A11,$X$45=+テーブル!A12,$X$45=+テーブル!A14,$X$45=+テーブル!A16)</xm:f>
            <x14:dxf>
              <font>
                <color rgb="FFFF0000"/>
              </font>
            </x14:dxf>
          </x14:cfRule>
          <xm:sqref>F45:G45</xm:sqref>
        </x14:conditionalFormatting>
        <x14:conditionalFormatting xmlns:xm="http://schemas.microsoft.com/office/excel/2006/main">
          <x14:cfRule type="expression" priority="7" stopIfTrue="1" id="{F2942AD2-BFFF-45F6-A1F8-D5834724E866}">
            <xm:f xml:space="preserve"> OR($X$45=+テーブル!A2,$X$45=+テーブル!A3,$X$45=+テーブル!A4,$X$45=+テーブル!A9,$X$45=+テーブル!A10,$X$45=+テーブル!A11,$X$45=+テーブル!A12,$X$45=+テーブル!A13,$X$45=+テーブル!A14,$X$45=+テーブル!A16)</xm:f>
            <x14:dxf>
              <font>
                <color rgb="FFFF0000"/>
              </font>
            </x14:dxf>
          </x14:cfRule>
          <xm:sqref>H45:I45</xm:sqref>
        </x14:conditionalFormatting>
        <x14:conditionalFormatting xmlns:xm="http://schemas.microsoft.com/office/excel/2006/main">
          <x14:cfRule type="expression" priority="6" stopIfTrue="1" id="{C6B366C8-6499-4180-BCAF-88347DCE052F}">
            <xm:f xml:space="preserve"> OR($X$46=+テーブル!A2,$X$46=+テーブル!A3,$X$46=+テーブル!A9,$X$46=+テーブル!A10,$X$46=+テーブル!A12,$X$46=+テーブル!A13,$X$46=+テーブル!A16)</xm:f>
            <x14:dxf>
              <font>
                <color rgb="FFFF0000"/>
              </font>
            </x14:dxf>
          </x14:cfRule>
          <xm:sqref>D46:E46</xm:sqref>
        </x14:conditionalFormatting>
        <x14:conditionalFormatting xmlns:xm="http://schemas.microsoft.com/office/excel/2006/main">
          <x14:cfRule type="expression" priority="5" stopIfTrue="1" id="{DB8D0246-7262-4A9C-B500-82D0C43FFE93}">
            <xm:f xml:space="preserve"> OR($X$46=+テーブル!A2,$X$46=+テーブル!A4,$X$46=+テーブル!A9,$X$46=+テーブル!A11,$X$46=+テーブル!A12,$X$46=+テーブル!A14,$X$46=+テーブル!A16)</xm:f>
            <x14:dxf>
              <font>
                <color rgb="FFFF0000"/>
              </font>
            </x14:dxf>
          </x14:cfRule>
          <xm:sqref>F46:G46</xm:sqref>
        </x14:conditionalFormatting>
        <x14:conditionalFormatting xmlns:xm="http://schemas.microsoft.com/office/excel/2006/main">
          <x14:cfRule type="expression" priority="4" stopIfTrue="1" id="{5762C966-C462-4953-9EDB-36FBE62E24AD}">
            <xm:f xml:space="preserve"> OR($X$46=+テーブル!A2,$X$46=+テーブル!A3,$X$46=+テーブル!A4,$X$46=+テーブル!A9,$X$46=+テーブル!A10,$X$46=+テーブル!A11,$X$46=+テーブル!A12,$X$46=+テーブル!A13,$X$46=+テーブル!A14,$X$46=+テーブル!A16)</xm:f>
            <x14:dxf>
              <font>
                <color rgb="FFFF0000"/>
              </font>
            </x14:dxf>
          </x14:cfRule>
          <xm:sqref>H46:I46</xm:sqref>
        </x14:conditionalFormatting>
        <x14:conditionalFormatting xmlns:xm="http://schemas.microsoft.com/office/excel/2006/main">
          <x14:cfRule type="expression" priority="3" stopIfTrue="1" id="{40BE0906-AB51-4192-BA5B-092E913D43C0}">
            <xm:f xml:space="preserve"> OR($X$47=+テーブル!A2,$X$47=+テーブル!A3,$X$47=+テーブル!A9,$X$47=+テーブル!A10,$X$47=+テーブル!A12,$X$47=+テーブル!A13,$X$47=+テーブル!A16)</xm:f>
            <x14:dxf>
              <font>
                <color rgb="FFFF0000"/>
              </font>
            </x14:dxf>
          </x14:cfRule>
          <xm:sqref>D47:E47</xm:sqref>
        </x14:conditionalFormatting>
        <x14:conditionalFormatting xmlns:xm="http://schemas.microsoft.com/office/excel/2006/main">
          <x14:cfRule type="expression" priority="2" stopIfTrue="1" id="{AABC7B84-230B-48F5-AA03-77AA8C9B1603}">
            <xm:f xml:space="preserve"> OR($X$47=+テーブル!A2,$X$47=+テーブル!A4,$X$47=+テーブル!A9,$X$47=+テーブル!A11,$X$47=+テーブル!A12,$X$47=+テーブル!A14,$X$47=+テーブル!A16)</xm:f>
            <x14:dxf>
              <font>
                <color rgb="FFFF0000"/>
              </font>
            </x14:dxf>
          </x14:cfRule>
          <xm:sqref>F47:G47</xm:sqref>
        </x14:conditionalFormatting>
        <x14:conditionalFormatting xmlns:xm="http://schemas.microsoft.com/office/excel/2006/main">
          <x14:cfRule type="expression" priority="1" stopIfTrue="1" id="{CD480192-829A-480B-859F-706786052747}">
            <xm:f xml:space="preserve"> OR($X$47=+テーブル!A2,$X$47=+テーブル!A3,$X$47=+テーブル!A4,$X$47=+テーブル!A9,$X$47=+テーブル!A10,$X$47=+テーブル!A11,$X$47=+テーブル!A12,$X$47=+テーブル!A13,$X$47=+テーブル!A14,$X$47=+テーブル!A16)</xm:f>
            <x14:dxf>
              <font>
                <color rgb="FFFF0000"/>
              </font>
            </x14:dxf>
          </x14:cfRule>
          <xm:sqref>H47:I47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9EDF622-42D1-40DE-8F1E-5022C2512EFC}">
          <x14:formula1>
            <xm:f>テーブル!$Q:$Q</xm:f>
          </x14:formula1>
          <xm:sqref>D62:I64</xm:sqref>
        </x14:dataValidation>
        <x14:dataValidation type="list" allowBlank="1" showInputMessage="1" showErrorMessage="1" xr:uid="{FF80F58F-57D1-49D7-8712-C76311D0D273}">
          <x14:formula1>
            <xm:f>テーブル!$P:$P</xm:f>
          </x14:formula1>
          <xm:sqref>D61:I61</xm:sqref>
        </x14:dataValidation>
        <x14:dataValidation type="list" allowBlank="1" showInputMessage="1" showErrorMessage="1" xr:uid="{90F4C164-DC8C-400A-9F78-0F7E884E4009}">
          <x14:formula1>
            <xm:f>テーブル!$B:$B</xm:f>
          </x14:formula1>
          <xm:sqref>P57:W57</xm:sqref>
        </x14:dataValidation>
        <x14:dataValidation type="list" allowBlank="1" showInputMessage="1" showErrorMessage="1" xr:uid="{434EADC7-5E6F-4815-B6BF-CDD94BCC45C0}">
          <x14:formula1>
            <xm:f>テーブル!$A:$A</xm:f>
          </x14:formula1>
          <xm:sqref>X17:Z47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E0529-687D-4F4D-A945-1BDECC2B720C}">
  <sheetPr codeName="Sheet30">
    <pageSetUpPr fitToPage="1"/>
  </sheetPr>
  <dimension ref="A1:AH83"/>
  <sheetViews>
    <sheetView view="pageBreakPreview" zoomScaleNormal="130" zoomScaleSheetLayoutView="100" workbookViewId="0">
      <pane ySplit="16" topLeftCell="A17" activePane="bottomLeft" state="frozen"/>
      <selection activeCell="AC46" sqref="AC46"/>
      <selection pane="bottomLeft" activeCell="AC46" sqref="AC46"/>
    </sheetView>
  </sheetViews>
  <sheetFormatPr defaultRowHeight="13" x14ac:dyDescent="0.2"/>
  <cols>
    <col min="1" max="1" width="5.36328125" customWidth="1"/>
    <col min="2" max="7" width="3.6328125" customWidth="1"/>
    <col min="8" max="8" width="4.36328125" customWidth="1"/>
    <col min="9" max="12" width="3.6328125" customWidth="1"/>
    <col min="13" max="15" width="3.90625" customWidth="1"/>
    <col min="16" max="26" width="3.6328125" customWidth="1"/>
    <col min="27" max="28" width="10.453125" bestFit="1" customWidth="1"/>
    <col min="257" max="282" width="3.6328125" customWidth="1"/>
    <col min="513" max="538" width="3.6328125" customWidth="1"/>
    <col min="769" max="794" width="3.6328125" customWidth="1"/>
    <col min="1025" max="1050" width="3.6328125" customWidth="1"/>
    <col min="1281" max="1306" width="3.6328125" customWidth="1"/>
    <col min="1537" max="1562" width="3.6328125" customWidth="1"/>
    <col min="1793" max="1818" width="3.6328125" customWidth="1"/>
    <col min="2049" max="2074" width="3.6328125" customWidth="1"/>
    <col min="2305" max="2330" width="3.6328125" customWidth="1"/>
    <col min="2561" max="2586" width="3.6328125" customWidth="1"/>
    <col min="2817" max="2842" width="3.6328125" customWidth="1"/>
    <col min="3073" max="3098" width="3.6328125" customWidth="1"/>
    <col min="3329" max="3354" width="3.6328125" customWidth="1"/>
    <col min="3585" max="3610" width="3.6328125" customWidth="1"/>
    <col min="3841" max="3866" width="3.6328125" customWidth="1"/>
    <col min="4097" max="4122" width="3.6328125" customWidth="1"/>
    <col min="4353" max="4378" width="3.6328125" customWidth="1"/>
    <col min="4609" max="4634" width="3.6328125" customWidth="1"/>
    <col min="4865" max="4890" width="3.6328125" customWidth="1"/>
    <col min="5121" max="5146" width="3.6328125" customWidth="1"/>
    <col min="5377" max="5402" width="3.6328125" customWidth="1"/>
    <col min="5633" max="5658" width="3.6328125" customWidth="1"/>
    <col min="5889" max="5914" width="3.6328125" customWidth="1"/>
    <col min="6145" max="6170" width="3.6328125" customWidth="1"/>
    <col min="6401" max="6426" width="3.6328125" customWidth="1"/>
    <col min="6657" max="6682" width="3.6328125" customWidth="1"/>
    <col min="6913" max="6938" width="3.6328125" customWidth="1"/>
    <col min="7169" max="7194" width="3.6328125" customWidth="1"/>
    <col min="7425" max="7450" width="3.6328125" customWidth="1"/>
    <col min="7681" max="7706" width="3.6328125" customWidth="1"/>
    <col min="7937" max="7962" width="3.6328125" customWidth="1"/>
    <col min="8193" max="8218" width="3.6328125" customWidth="1"/>
    <col min="8449" max="8474" width="3.6328125" customWidth="1"/>
    <col min="8705" max="8730" width="3.6328125" customWidth="1"/>
    <col min="8961" max="8986" width="3.6328125" customWidth="1"/>
    <col min="9217" max="9242" width="3.6328125" customWidth="1"/>
    <col min="9473" max="9498" width="3.6328125" customWidth="1"/>
    <col min="9729" max="9754" width="3.6328125" customWidth="1"/>
    <col min="9985" max="10010" width="3.6328125" customWidth="1"/>
    <col min="10241" max="10266" width="3.6328125" customWidth="1"/>
    <col min="10497" max="10522" width="3.6328125" customWidth="1"/>
    <col min="10753" max="10778" width="3.6328125" customWidth="1"/>
    <col min="11009" max="11034" width="3.6328125" customWidth="1"/>
    <col min="11265" max="11290" width="3.6328125" customWidth="1"/>
    <col min="11521" max="11546" width="3.6328125" customWidth="1"/>
    <col min="11777" max="11802" width="3.6328125" customWidth="1"/>
    <col min="12033" max="12058" width="3.6328125" customWidth="1"/>
    <col min="12289" max="12314" width="3.6328125" customWidth="1"/>
    <col min="12545" max="12570" width="3.6328125" customWidth="1"/>
    <col min="12801" max="12826" width="3.6328125" customWidth="1"/>
    <col min="13057" max="13082" width="3.6328125" customWidth="1"/>
    <col min="13313" max="13338" width="3.6328125" customWidth="1"/>
    <col min="13569" max="13594" width="3.6328125" customWidth="1"/>
    <col min="13825" max="13850" width="3.6328125" customWidth="1"/>
    <col min="14081" max="14106" width="3.6328125" customWidth="1"/>
    <col min="14337" max="14362" width="3.6328125" customWidth="1"/>
    <col min="14593" max="14618" width="3.6328125" customWidth="1"/>
    <col min="14849" max="14874" width="3.6328125" customWidth="1"/>
    <col min="15105" max="15130" width="3.6328125" customWidth="1"/>
    <col min="15361" max="15386" width="3.6328125" customWidth="1"/>
    <col min="15617" max="15642" width="3.6328125" customWidth="1"/>
    <col min="15873" max="15898" width="3.6328125" customWidth="1"/>
    <col min="16129" max="16154" width="3.6328125" customWidth="1"/>
  </cols>
  <sheetData>
    <row r="1" spans="1:32" ht="8" customHeight="1" x14ac:dyDescent="0.2">
      <c r="A1" s="55">
        <v>45413</v>
      </c>
      <c r="B1" s="85">
        <v>45413</v>
      </c>
      <c r="AB1" s="55"/>
      <c r="AC1" s="57"/>
    </row>
    <row r="2" spans="1:32" ht="8" customHeight="1" x14ac:dyDescent="0.2">
      <c r="A2" s="3"/>
      <c r="B2" s="3"/>
      <c r="C2" s="3"/>
      <c r="D2" s="3"/>
      <c r="E2" s="3"/>
      <c r="F2" s="3"/>
      <c r="G2" s="3"/>
      <c r="H2" s="3"/>
      <c r="I2" s="3"/>
      <c r="J2" s="4"/>
      <c r="K2" s="4"/>
      <c r="L2" s="5"/>
      <c r="M2" s="6"/>
      <c r="N2" s="6"/>
      <c r="O2" s="6"/>
      <c r="P2" s="4"/>
      <c r="X2" t="s">
        <v>66</v>
      </c>
      <c r="Y2" s="361">
        <f>LOOKUP(10^10,Ver管理!C3:C33)</f>
        <v>6</v>
      </c>
      <c r="Z2" s="361"/>
    </row>
    <row r="3" spans="1:32" ht="10" customHeight="1" thickBot="1" x14ac:dyDescent="0.25">
      <c r="A3" s="362">
        <f ca="1">+VLOOKUP(AB5,テーブル!L:M,2,0)</f>
        <v>46204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2"/>
      <c r="R3" s="362"/>
      <c r="S3" s="362"/>
      <c r="T3" s="362"/>
      <c r="U3" s="362"/>
      <c r="V3" s="362"/>
      <c r="W3" s="362"/>
      <c r="X3" s="362"/>
      <c r="Y3" s="362"/>
      <c r="Z3" s="362"/>
    </row>
    <row r="4" spans="1:32" ht="10" customHeight="1" x14ac:dyDescent="0.2">
      <c r="A4" s="362"/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B4" s="68"/>
      <c r="AC4" s="69"/>
      <c r="AD4" s="70"/>
    </row>
    <row r="5" spans="1:32" ht="14.15" customHeight="1" x14ac:dyDescent="0.2">
      <c r="A5" s="363" t="s">
        <v>202</v>
      </c>
      <c r="B5" s="363"/>
      <c r="C5" s="363"/>
      <c r="D5" s="363"/>
      <c r="E5" s="364" t="str">
        <f>+'6月'!$E$5</f>
        <v>NMHT　社員</v>
      </c>
      <c r="F5" s="364"/>
      <c r="G5" s="364"/>
      <c r="H5" s="364"/>
      <c r="I5" s="364"/>
      <c r="J5" s="7"/>
      <c r="K5" s="7"/>
      <c r="L5" s="7"/>
      <c r="M5" s="7"/>
      <c r="N5" s="7"/>
      <c r="O5" s="7"/>
      <c r="P5" s="7" t="str">
        <f ca="1">IF(_xlfn.XLOOKUP(当月,テーブル!U:U,テーブル!V:V,0,FALSE)+_xlfn.XLOOKUP(当月,テーブル!U:U,テーブル!W:W,0,FALSE)&lt;&gt;_xlfn.XLOOKUP(AB6,テーブル!U:U,テーブル!V:V,0,FALSE)+_xlfn.XLOOKUP(AB6,テーブル!U:U,テーブル!W:W,0,FALSE),"基給+手当1に前月と差異があります。","")</f>
        <v/>
      </c>
      <c r="Q5" s="7"/>
      <c r="R5" s="8"/>
      <c r="S5" s="8"/>
      <c r="T5" s="8"/>
      <c r="U5" s="8"/>
      <c r="AB5" s="71" t="str" cm="1">
        <f t="array" aca="1" ref="AB5" ca="1">RIGHT(CELL("filename",A1),LEN(CELL("filename",A1))-FIND("]",CELL("filename",A1)))</f>
        <v>7月</v>
      </c>
      <c r="AC5" t="s">
        <v>158</v>
      </c>
      <c r="AD5" s="72"/>
    </row>
    <row r="6" spans="1:32" ht="14.15" customHeight="1" x14ac:dyDescent="0.25">
      <c r="A6" s="366">
        <f>+'6月'!$A$6</f>
        <v>2000002</v>
      </c>
      <c r="B6" s="366"/>
      <c r="C6" s="366"/>
      <c r="D6" s="366"/>
      <c r="E6" s="365"/>
      <c r="F6" s="365"/>
      <c r="G6" s="365"/>
      <c r="H6" s="365"/>
      <c r="I6" s="365"/>
      <c r="J6" s="9" t="s">
        <v>98</v>
      </c>
      <c r="K6" s="108" t="str">
        <f ca="1">HYPERLINK(LEFT(TEXT(CELL("filename",B2),0),SEARCH("\[",TEXT(CELL("filename",B2),0),1)-1)&amp;"\")</f>
        <v>Z:\マクロ保管場所谷津用\2月控除分\</v>
      </c>
      <c r="L6" s="5"/>
      <c r="M6" s="6"/>
      <c r="N6" s="6"/>
      <c r="O6" s="6"/>
      <c r="P6" s="4"/>
      <c r="AB6" s="71" t="str">
        <f ca="1">+IF(SUBSTITUTE(当月,"月","")-1=0,12,SUBSTITUTE(当月,"月","")-1) &amp; "月"</f>
        <v>6月</v>
      </c>
      <c r="AC6" s="74" t="s">
        <v>170</v>
      </c>
      <c r="AD6" s="72"/>
    </row>
    <row r="7" spans="1:32" ht="14.15" customHeight="1" x14ac:dyDescent="0.2">
      <c r="I7" s="3"/>
      <c r="K7" s="11"/>
      <c r="N7" s="368"/>
      <c r="O7" s="368"/>
      <c r="P7" s="367" t="s">
        <v>272</v>
      </c>
      <c r="Q7" s="358"/>
      <c r="R7" s="358"/>
      <c r="S7" s="358"/>
      <c r="T7" s="358"/>
      <c r="U7" s="358"/>
      <c r="V7" s="358"/>
      <c r="W7" s="358"/>
      <c r="X7" s="358"/>
      <c r="Y7" s="358"/>
      <c r="Z7" s="358"/>
      <c r="AB7" s="73"/>
      <c r="AC7" s="56">
        <v>0.91666666666666663</v>
      </c>
      <c r="AD7" s="72"/>
    </row>
    <row r="8" spans="1:32" ht="14.15" hidden="1" customHeight="1" thickBot="1" x14ac:dyDescent="0.25">
      <c r="A8" s="163" t="s">
        <v>99</v>
      </c>
      <c r="B8" s="120"/>
      <c r="C8" s="350" t="str">
        <f>+'6月'!C8</f>
        <v>株式会社エヌエム・ヒューマテック</v>
      </c>
      <c r="D8" s="351"/>
      <c r="E8" s="351"/>
      <c r="F8" s="351"/>
      <c r="G8" s="351"/>
      <c r="H8" s="351"/>
      <c r="I8" s="352"/>
      <c r="J8" s="353"/>
      <c r="K8" s="11"/>
      <c r="L8" s="1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B8" s="75">
        <f ca="1">+IF(給与体系="管理監督者",0,IF(給与体系="月給制",1,2))</f>
        <v>2</v>
      </c>
      <c r="AC8" s="76">
        <v>0.20833333333333334</v>
      </c>
      <c r="AD8" s="77"/>
    </row>
    <row r="9" spans="1:32" ht="14.15" hidden="1" customHeight="1" x14ac:dyDescent="0.2">
      <c r="A9" s="166"/>
      <c r="B9" s="123"/>
      <c r="C9" s="354"/>
      <c r="D9" s="355"/>
      <c r="E9" s="355"/>
      <c r="F9" s="355"/>
      <c r="G9" s="355"/>
      <c r="H9" s="355"/>
      <c r="I9" s="356"/>
      <c r="J9" s="357"/>
      <c r="K9" s="13"/>
      <c r="P9" s="53"/>
      <c r="Q9" s="54" t="s">
        <v>269</v>
      </c>
      <c r="R9" s="52"/>
      <c r="S9" s="52"/>
      <c r="T9" s="358" t="s">
        <v>270</v>
      </c>
      <c r="U9" s="358"/>
      <c r="V9" s="358"/>
      <c r="W9" s="358"/>
      <c r="X9" s="358"/>
      <c r="Y9" s="358"/>
      <c r="Z9" s="358"/>
    </row>
    <row r="10" spans="1:32" ht="14.15" hidden="1" customHeight="1" x14ac:dyDescent="0.2">
      <c r="A10" s="163" t="s">
        <v>100</v>
      </c>
      <c r="B10" s="120"/>
      <c r="C10" s="359" t="str">
        <f>+'6月'!C10</f>
        <v>管理部</v>
      </c>
      <c r="D10" s="332"/>
      <c r="E10" s="332"/>
      <c r="F10" s="332"/>
      <c r="G10" s="332"/>
      <c r="H10" s="332"/>
      <c r="I10" s="333"/>
      <c r="J10" s="334"/>
      <c r="K10" s="13"/>
      <c r="P10" s="53"/>
      <c r="Q10" s="52"/>
      <c r="R10" s="52"/>
      <c r="S10" s="52"/>
      <c r="T10" s="360" t="s">
        <v>271</v>
      </c>
      <c r="U10" s="360"/>
      <c r="V10" s="360"/>
      <c r="W10" s="360"/>
      <c r="X10" s="360"/>
      <c r="Y10" s="360"/>
      <c r="Z10" s="360"/>
    </row>
    <row r="11" spans="1:32" ht="14.15" hidden="1" customHeight="1" x14ac:dyDescent="0.2">
      <c r="A11" s="166"/>
      <c r="B11" s="123"/>
      <c r="C11" s="335"/>
      <c r="D11" s="336"/>
      <c r="E11" s="336"/>
      <c r="F11" s="336"/>
      <c r="G11" s="336"/>
      <c r="H11" s="336"/>
      <c r="I11" s="337"/>
      <c r="J11" s="338"/>
      <c r="K11" s="4"/>
      <c r="L11" s="4"/>
      <c r="P11" s="52"/>
      <c r="Q11" s="54" t="s">
        <v>96</v>
      </c>
      <c r="R11" s="54"/>
      <c r="S11" s="53"/>
      <c r="T11" s="54"/>
      <c r="U11" s="53"/>
      <c r="V11" s="54" t="s">
        <v>97</v>
      </c>
      <c r="W11" s="54"/>
      <c r="X11" s="52"/>
      <c r="Y11" s="52"/>
      <c r="Z11" s="52"/>
      <c r="AE11" t="s">
        <v>178</v>
      </c>
    </row>
    <row r="12" spans="1:32" ht="14.15" hidden="1" customHeight="1" x14ac:dyDescent="0.2">
      <c r="A12" s="163" t="s">
        <v>101</v>
      </c>
      <c r="B12" s="120"/>
      <c r="C12" s="331"/>
      <c r="D12" s="332"/>
      <c r="E12" s="332"/>
      <c r="F12" s="332"/>
      <c r="G12" s="332"/>
      <c r="H12" s="332"/>
      <c r="I12" s="333"/>
      <c r="J12" s="334"/>
      <c r="K12" s="13"/>
      <c r="M12" s="15"/>
      <c r="N12" s="15"/>
      <c r="O12" s="14"/>
      <c r="P12" s="14"/>
      <c r="Q12" s="14"/>
      <c r="R12" s="14"/>
      <c r="S12" s="14"/>
      <c r="T12" s="14"/>
      <c r="U12" s="14"/>
      <c r="V12" s="8"/>
      <c r="W12" s="8"/>
      <c r="AF12">
        <f ca="1">+IFERROR(((MAX(0,超過勤務時間計+深夜残業時間計-60)*1.5+MIN(60,超過勤務時間計+深夜残業時間計)*1.25))/(超過勤務時間計),0)</f>
        <v>0</v>
      </c>
    </row>
    <row r="13" spans="1:32" ht="14.15" hidden="1" customHeight="1" x14ac:dyDescent="0.2">
      <c r="A13" s="166"/>
      <c r="B13" s="123"/>
      <c r="C13" s="335"/>
      <c r="D13" s="336"/>
      <c r="E13" s="336"/>
      <c r="F13" s="336"/>
      <c r="G13" s="336"/>
      <c r="H13" s="336"/>
      <c r="I13" s="337"/>
      <c r="J13" s="338"/>
      <c r="K13" s="13"/>
      <c r="M13" s="16"/>
      <c r="N13" s="15"/>
      <c r="O13" s="14"/>
      <c r="P13" s="14"/>
      <c r="Q13" s="14"/>
      <c r="R13" s="14"/>
      <c r="S13" s="14">
        <f>+'6月'!S13</f>
        <v>0</v>
      </c>
    </row>
    <row r="14" spans="1:32" ht="14.15" hidden="1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4"/>
      <c r="K14" s="4"/>
      <c r="L14" s="4"/>
      <c r="M14" s="4"/>
      <c r="N14" s="17"/>
      <c r="O14" s="4"/>
      <c r="P14" s="4"/>
      <c r="U14" s="18"/>
    </row>
    <row r="15" spans="1:32" ht="14.15" customHeight="1" x14ac:dyDescent="0.2">
      <c r="A15" s="339" t="s">
        <v>5</v>
      </c>
      <c r="B15" s="340"/>
      <c r="C15" s="339" t="s">
        <v>6</v>
      </c>
      <c r="D15" s="312" t="s">
        <v>36</v>
      </c>
      <c r="E15" s="343"/>
      <c r="F15" s="343"/>
      <c r="G15" s="313"/>
      <c r="H15" s="344" t="s">
        <v>37</v>
      </c>
      <c r="I15" s="345"/>
      <c r="J15" s="345" t="s">
        <v>7</v>
      </c>
      <c r="K15" s="348"/>
      <c r="L15" s="314" t="s">
        <v>8</v>
      </c>
      <c r="M15" s="325"/>
      <c r="N15" s="328" t="s">
        <v>9</v>
      </c>
      <c r="O15" s="315"/>
      <c r="P15" s="314" t="s">
        <v>10</v>
      </c>
      <c r="Q15" s="315"/>
      <c r="R15" s="314" t="s">
        <v>11</v>
      </c>
      <c r="S15" s="315"/>
      <c r="T15" s="314" t="s">
        <v>12</v>
      </c>
      <c r="U15" s="315"/>
      <c r="V15" s="314" t="s">
        <v>43</v>
      </c>
      <c r="W15" s="315"/>
      <c r="X15" s="304" t="s">
        <v>122</v>
      </c>
      <c r="Y15" s="305"/>
      <c r="Z15" s="306"/>
      <c r="AA15" s="310" t="s">
        <v>107</v>
      </c>
      <c r="AB15" t="s">
        <v>32</v>
      </c>
    </row>
    <row r="16" spans="1:32" ht="14.15" customHeight="1" x14ac:dyDescent="0.2">
      <c r="A16" s="341"/>
      <c r="B16" s="342"/>
      <c r="C16" s="341"/>
      <c r="D16" s="312" t="s">
        <v>14</v>
      </c>
      <c r="E16" s="313"/>
      <c r="F16" s="312" t="s">
        <v>15</v>
      </c>
      <c r="G16" s="313"/>
      <c r="H16" s="346"/>
      <c r="I16" s="347"/>
      <c r="J16" s="347"/>
      <c r="K16" s="349"/>
      <c r="L16" s="326"/>
      <c r="M16" s="327"/>
      <c r="N16" s="329"/>
      <c r="O16" s="317"/>
      <c r="P16" s="316"/>
      <c r="Q16" s="317"/>
      <c r="R16" s="316"/>
      <c r="S16" s="317"/>
      <c r="T16" s="316"/>
      <c r="U16" s="317"/>
      <c r="V16" s="316"/>
      <c r="W16" s="317"/>
      <c r="X16" s="307"/>
      <c r="Y16" s="308"/>
      <c r="Z16" s="309"/>
      <c r="AA16" s="311"/>
      <c r="AB16" t="s">
        <v>210</v>
      </c>
      <c r="AC16" s="59"/>
    </row>
    <row r="17" spans="1:30" s="59" customFormat="1" ht="14.15" customHeight="1" x14ac:dyDescent="0.2">
      <c r="A17" s="318">
        <f ca="1">A3</f>
        <v>46204</v>
      </c>
      <c r="B17" s="319"/>
      <c r="C17" s="78">
        <f ca="1">IF(A17="","",IF(WEEKDAY(A17,1)=1,1,IF(COUNTIF(祝日管理!B:B,A17)=1,"祝",WEEKDAY(A17,1))))</f>
        <v>4</v>
      </c>
      <c r="D17" s="320"/>
      <c r="E17" s="320"/>
      <c r="F17" s="320"/>
      <c r="G17" s="320"/>
      <c r="H17" s="320"/>
      <c r="I17" s="321"/>
      <c r="J17" s="322">
        <f>IF(OR(D17="",F17="",H17=""),0,IF(F17&gt;D17,F17,F17+24)-D17-H17)</f>
        <v>0</v>
      </c>
      <c r="K17" s="323"/>
      <c r="L17" s="299">
        <f>IF(J17="",0,(HOUR(J17))+(ROUNDDOWN(MINUTE(J17)/60,2)*1))</f>
        <v>0</v>
      </c>
      <c r="M17" s="324"/>
      <c r="N17" s="330">
        <f ca="1">+IF(ISERROR(IF(A17="",0,IF(OR(X17="法休",X17="所休")=1,0,IF(L17=0,0,MIN(8,L17-R17))))),"",IF(A17="","",IF(OR(X17="法休",X17="所休"),0,IF(L17=0,0,MIN(8,L17-R17)))))</f>
        <v>0</v>
      </c>
      <c r="O17" s="300"/>
      <c r="P17" s="299">
        <f ca="1">+IF(ISERROR(IF(A17="","",IF(X17="法休",0,MAX(0,L17-N17-R17)))),0,IF(A17="","",IF(X17="法休",0,MAX(0,L17-N17-R17))))</f>
        <v>0</v>
      </c>
      <c r="Q17" s="300"/>
      <c r="R17" s="299">
        <f ca="1">+IF(A17="",0,IF(X17="法休",0,NOT(OR(D17="",F17=""))*MIN(7,(MAX(0,MIN(F17,$AC$8)-D17)+MAX(0,F17-$AC$7+(D17&gt;F17)))*24)))</f>
        <v>0</v>
      </c>
      <c r="S17" s="300"/>
      <c r="T17" s="299">
        <f t="shared" ref="T17" ca="1" si="0">+IF(A17="",0,IF(X17="法休",L17-V17,0))</f>
        <v>0</v>
      </c>
      <c r="U17" s="300"/>
      <c r="V17" s="299">
        <f t="shared" ref="V17" ca="1" si="1">+IF(A17="",0,IF(X17&lt;&gt;"法休",0,NOT(OR(D17="",F17=""))*MIN(7,(MAX(0,MIN(F17,$AC$8)-D17)+MAX(0,F17-$AC$7+(D17&gt;F17)))*24)))</f>
        <v>0</v>
      </c>
      <c r="W17" s="300"/>
      <c r="X17" s="301"/>
      <c r="Y17" s="302"/>
      <c r="Z17" s="303"/>
      <c r="AA17" s="79"/>
      <c r="AB17" s="93">
        <f t="shared" ref="AB17:AB46" ca="1" si="2">IF(ISERROR((X17="")*(7.5-N17)),0,(X17="")*(7.5-N17))</f>
        <v>7.5</v>
      </c>
      <c r="AD17" s="67"/>
    </row>
    <row r="18" spans="1:30" ht="14.15" customHeight="1" x14ac:dyDescent="0.2">
      <c r="A18" s="290">
        <f t="shared" ref="A18:A44" ca="1" si="3">A17+1</f>
        <v>46205</v>
      </c>
      <c r="B18" s="291"/>
      <c r="C18" s="80">
        <f ca="1">IF(A18="","",IF(WEEKDAY(A18,1)=1,1,IF(COUNTIF(祝日管理!B:B,A18)=1,"祝",WEEKDAY(A18,1))))</f>
        <v>5</v>
      </c>
      <c r="D18" s="292"/>
      <c r="E18" s="292"/>
      <c r="F18" s="292"/>
      <c r="G18" s="292"/>
      <c r="H18" s="292"/>
      <c r="I18" s="293"/>
      <c r="J18" s="298">
        <f t="shared" ref="J18:J47" si="4">IF(OR(D18="",F18="",H18=""),0,IF(F18&gt;D18,F18,F18+24)-D18-H18)</f>
        <v>0</v>
      </c>
      <c r="K18" s="294"/>
      <c r="L18" s="285">
        <f t="shared" ref="L18:L47" si="5">IF(J18="",0,(HOUR(J18))+(ROUNDDOWN(MINUTE(J18)/60,2)*1))</f>
        <v>0</v>
      </c>
      <c r="M18" s="296"/>
      <c r="N18" s="297">
        <f t="shared" ref="N18:N47" ca="1" si="6">+IF(ISERROR(IF(A18="",0,IF(OR(X18="法休",X18="所休")=1,0,IF(L18=0,0,MIN(8,L18-R18))))),"",IF(A18="","",IF(OR(X18="法休",X18="所休"),0,IF(L18=0,0,MIN(8,L18-R18)))))</f>
        <v>0</v>
      </c>
      <c r="O18" s="286"/>
      <c r="P18" s="285">
        <f t="shared" ref="P18:P47" ca="1" si="7">+IF(ISERROR(IF(A18="","",IF(X18="法休",0,MAX(0,L18-N18-R18)))),0,IF(A18="","",IF(X18="法休",0,MAX(0,L18-N18-R18))))</f>
        <v>0</v>
      </c>
      <c r="Q18" s="286"/>
      <c r="R18" s="285">
        <f t="shared" ref="R18:R47" ca="1" si="8">+IF(A18="",0,IF(X18="法休",0,NOT(OR(D18="",F18=""))*MIN(7,(MAX(0,MIN(F18,$AC$8)-D18)+MAX(0,F18-$AC$7+(D18&gt;F18)))*24)))</f>
        <v>0</v>
      </c>
      <c r="S18" s="286"/>
      <c r="T18" s="285">
        <f t="shared" ref="T18:T47" ca="1" si="9">+IF(A18="",0,IF(X18="法休",L18-V18,0))</f>
        <v>0</v>
      </c>
      <c r="U18" s="286"/>
      <c r="V18" s="285">
        <f t="shared" ref="V18:V47" ca="1" si="10">+IF(A18="",0,IF(X18&lt;&gt;"法休",0,NOT(OR(D18="",F18=""))*MIN(7,(MAX(0,MIN(F18,$AC$8)-D18)+MAX(0,F18-$AC$7+(D18&gt;F18)))*24)))</f>
        <v>0</v>
      </c>
      <c r="W18" s="286"/>
      <c r="X18" s="287"/>
      <c r="Y18" s="288"/>
      <c r="Z18" s="289"/>
      <c r="AA18" s="81"/>
      <c r="AB18" s="93">
        <f t="shared" ca="1" si="2"/>
        <v>7.5</v>
      </c>
      <c r="AC18" s="59"/>
      <c r="AD18" t="s">
        <v>175</v>
      </c>
    </row>
    <row r="19" spans="1:30" ht="14.15" customHeight="1" x14ac:dyDescent="0.2">
      <c r="A19" s="290">
        <f t="shared" ca="1" si="3"/>
        <v>46206</v>
      </c>
      <c r="B19" s="291"/>
      <c r="C19" s="80">
        <f ca="1">IF(A19="","",IF(WEEKDAY(A19,1)=1,1,IF(COUNTIF(祝日管理!B:B,A19)=1,"祝",WEEKDAY(A19,1))))</f>
        <v>6</v>
      </c>
      <c r="D19" s="292"/>
      <c r="E19" s="292"/>
      <c r="F19" s="292"/>
      <c r="G19" s="292"/>
      <c r="H19" s="292"/>
      <c r="I19" s="293"/>
      <c r="J19" s="298">
        <f t="shared" si="4"/>
        <v>0</v>
      </c>
      <c r="K19" s="294"/>
      <c r="L19" s="285">
        <f t="shared" si="5"/>
        <v>0</v>
      </c>
      <c r="M19" s="296"/>
      <c r="N19" s="297">
        <f t="shared" ca="1" si="6"/>
        <v>0</v>
      </c>
      <c r="O19" s="286"/>
      <c r="P19" s="285">
        <f t="shared" ca="1" si="7"/>
        <v>0</v>
      </c>
      <c r="Q19" s="286"/>
      <c r="R19" s="285">
        <f t="shared" ca="1" si="8"/>
        <v>0</v>
      </c>
      <c r="S19" s="286"/>
      <c r="T19" s="285">
        <f t="shared" ca="1" si="9"/>
        <v>0</v>
      </c>
      <c r="U19" s="286"/>
      <c r="V19" s="285">
        <f t="shared" ca="1" si="10"/>
        <v>0</v>
      </c>
      <c r="W19" s="286"/>
      <c r="X19" s="287"/>
      <c r="Y19" s="288"/>
      <c r="Z19" s="289"/>
      <c r="AA19" s="81"/>
      <c r="AB19" s="93">
        <f t="shared" ca="1" si="2"/>
        <v>7.5</v>
      </c>
      <c r="AC19" s="59"/>
    </row>
    <row r="20" spans="1:30" ht="14.15" customHeight="1" x14ac:dyDescent="0.2">
      <c r="A20" s="290">
        <f t="shared" ca="1" si="3"/>
        <v>46207</v>
      </c>
      <c r="B20" s="291"/>
      <c r="C20" s="80">
        <f ca="1">IF(A20="","",IF(WEEKDAY(A20,1)=1,1,IF(COUNTIF(祝日管理!B:B,A20)=1,"祝",WEEKDAY(A20,1))))</f>
        <v>7</v>
      </c>
      <c r="D20" s="292"/>
      <c r="E20" s="292"/>
      <c r="F20" s="292"/>
      <c r="G20" s="292"/>
      <c r="H20" s="292"/>
      <c r="I20" s="293"/>
      <c r="J20" s="298">
        <f t="shared" si="4"/>
        <v>0</v>
      </c>
      <c r="K20" s="294"/>
      <c r="L20" s="285">
        <f t="shared" si="5"/>
        <v>0</v>
      </c>
      <c r="M20" s="296"/>
      <c r="N20" s="297">
        <f t="shared" ca="1" si="6"/>
        <v>0</v>
      </c>
      <c r="O20" s="286"/>
      <c r="P20" s="285">
        <f t="shared" ca="1" si="7"/>
        <v>0</v>
      </c>
      <c r="Q20" s="286"/>
      <c r="R20" s="285">
        <f t="shared" ca="1" si="8"/>
        <v>0</v>
      </c>
      <c r="S20" s="286"/>
      <c r="T20" s="285">
        <f t="shared" ca="1" si="9"/>
        <v>0</v>
      </c>
      <c r="U20" s="286"/>
      <c r="V20" s="285">
        <f t="shared" ca="1" si="10"/>
        <v>0</v>
      </c>
      <c r="W20" s="286"/>
      <c r="X20" s="287"/>
      <c r="Y20" s="288"/>
      <c r="Z20" s="289"/>
      <c r="AA20" s="81"/>
      <c r="AB20" s="93">
        <f t="shared" ca="1" si="2"/>
        <v>7.5</v>
      </c>
      <c r="AC20" s="59"/>
    </row>
    <row r="21" spans="1:30" ht="14.15" customHeight="1" x14ac:dyDescent="0.2">
      <c r="A21" s="290">
        <f t="shared" ca="1" si="3"/>
        <v>46208</v>
      </c>
      <c r="B21" s="291"/>
      <c r="C21" s="80">
        <f ca="1">IF(A21="","",IF(WEEKDAY(A21,1)=1,1,IF(COUNTIF(祝日管理!B:B,A21)=1,"祝",WEEKDAY(A21,1))))</f>
        <v>1</v>
      </c>
      <c r="D21" s="292"/>
      <c r="E21" s="292"/>
      <c r="F21" s="292"/>
      <c r="G21" s="292"/>
      <c r="H21" s="292"/>
      <c r="I21" s="293"/>
      <c r="J21" s="298">
        <f t="shared" si="4"/>
        <v>0</v>
      </c>
      <c r="K21" s="294"/>
      <c r="L21" s="285">
        <f t="shared" si="5"/>
        <v>0</v>
      </c>
      <c r="M21" s="296"/>
      <c r="N21" s="297">
        <f t="shared" ca="1" si="6"/>
        <v>0</v>
      </c>
      <c r="O21" s="286"/>
      <c r="P21" s="285">
        <f t="shared" ca="1" si="7"/>
        <v>0</v>
      </c>
      <c r="Q21" s="286"/>
      <c r="R21" s="285">
        <f t="shared" ca="1" si="8"/>
        <v>0</v>
      </c>
      <c r="S21" s="286"/>
      <c r="T21" s="285">
        <f t="shared" ca="1" si="9"/>
        <v>0</v>
      </c>
      <c r="U21" s="286"/>
      <c r="V21" s="285">
        <f t="shared" ca="1" si="10"/>
        <v>0</v>
      </c>
      <c r="W21" s="286"/>
      <c r="X21" s="287" t="s">
        <v>187</v>
      </c>
      <c r="Y21" s="288"/>
      <c r="Z21" s="289"/>
      <c r="AA21" s="81"/>
      <c r="AB21" s="93">
        <f t="shared" ca="1" si="2"/>
        <v>0</v>
      </c>
      <c r="AC21" s="59"/>
      <c r="AD21" t="s">
        <v>176</v>
      </c>
    </row>
    <row r="22" spans="1:30" s="59" customFormat="1" ht="14.15" customHeight="1" x14ac:dyDescent="0.2">
      <c r="A22" s="290">
        <f t="shared" ca="1" si="3"/>
        <v>46209</v>
      </c>
      <c r="B22" s="291"/>
      <c r="C22" s="80">
        <f ca="1">IF(A22="","",IF(WEEKDAY(A22,1)=1,1,IF(COUNTIF(祝日管理!B:B,A22)=1,"祝",WEEKDAY(A22,1))))</f>
        <v>2</v>
      </c>
      <c r="D22" s="292"/>
      <c r="E22" s="292"/>
      <c r="F22" s="292"/>
      <c r="G22" s="292"/>
      <c r="H22" s="292"/>
      <c r="I22" s="293"/>
      <c r="J22" s="298">
        <f t="shared" si="4"/>
        <v>0</v>
      </c>
      <c r="K22" s="294"/>
      <c r="L22" s="285">
        <f t="shared" si="5"/>
        <v>0</v>
      </c>
      <c r="M22" s="296"/>
      <c r="N22" s="297">
        <f t="shared" ca="1" si="6"/>
        <v>0</v>
      </c>
      <c r="O22" s="286"/>
      <c r="P22" s="285">
        <f t="shared" ca="1" si="7"/>
        <v>0</v>
      </c>
      <c r="Q22" s="286"/>
      <c r="R22" s="285">
        <f t="shared" ca="1" si="8"/>
        <v>0</v>
      </c>
      <c r="S22" s="286"/>
      <c r="T22" s="285">
        <f t="shared" ca="1" si="9"/>
        <v>0</v>
      </c>
      <c r="U22" s="286"/>
      <c r="V22" s="285">
        <f t="shared" ca="1" si="10"/>
        <v>0</v>
      </c>
      <c r="W22" s="286"/>
      <c r="X22" s="287" t="s">
        <v>185</v>
      </c>
      <c r="Y22" s="288"/>
      <c r="Z22" s="289"/>
      <c r="AA22" s="81"/>
      <c r="AB22" s="93">
        <f t="shared" ca="1" si="2"/>
        <v>0</v>
      </c>
    </row>
    <row r="23" spans="1:30" ht="14.15" customHeight="1" x14ac:dyDescent="0.2">
      <c r="A23" s="290">
        <f t="shared" ca="1" si="3"/>
        <v>46210</v>
      </c>
      <c r="B23" s="291"/>
      <c r="C23" s="80">
        <f ca="1">IF(A23="","",IF(WEEKDAY(A23,1)=1,1,IF(COUNTIF(祝日管理!B:B,A23)=1,"祝",WEEKDAY(A23,1))))</f>
        <v>3</v>
      </c>
      <c r="D23" s="292"/>
      <c r="E23" s="292"/>
      <c r="F23" s="292"/>
      <c r="G23" s="292"/>
      <c r="H23" s="292"/>
      <c r="I23" s="293"/>
      <c r="J23" s="298">
        <f t="shared" si="4"/>
        <v>0</v>
      </c>
      <c r="K23" s="294"/>
      <c r="L23" s="285">
        <f t="shared" si="5"/>
        <v>0</v>
      </c>
      <c r="M23" s="296"/>
      <c r="N23" s="297">
        <f t="shared" ca="1" si="6"/>
        <v>0</v>
      </c>
      <c r="O23" s="286"/>
      <c r="P23" s="285">
        <f t="shared" ca="1" si="7"/>
        <v>0</v>
      </c>
      <c r="Q23" s="286"/>
      <c r="R23" s="285">
        <f t="shared" ca="1" si="8"/>
        <v>0</v>
      </c>
      <c r="S23" s="286"/>
      <c r="T23" s="285">
        <f t="shared" ca="1" si="9"/>
        <v>0</v>
      </c>
      <c r="U23" s="286"/>
      <c r="V23" s="285">
        <f t="shared" ca="1" si="10"/>
        <v>0</v>
      </c>
      <c r="W23" s="286"/>
      <c r="X23" s="287"/>
      <c r="Y23" s="288"/>
      <c r="Z23" s="289"/>
      <c r="AA23" s="81"/>
      <c r="AB23" s="93">
        <f t="shared" ca="1" si="2"/>
        <v>7.5</v>
      </c>
    </row>
    <row r="24" spans="1:30" ht="14.15" customHeight="1" x14ac:dyDescent="0.2">
      <c r="A24" s="290">
        <f t="shared" ca="1" si="3"/>
        <v>46211</v>
      </c>
      <c r="B24" s="291"/>
      <c r="C24" s="80">
        <f ca="1">IF(A24="","",IF(WEEKDAY(A24,1)=1,1,IF(COUNTIF(祝日管理!B:B,A24)=1,"祝",WEEKDAY(A24,1))))</f>
        <v>4</v>
      </c>
      <c r="D24" s="292"/>
      <c r="E24" s="292"/>
      <c r="F24" s="292"/>
      <c r="G24" s="292"/>
      <c r="H24" s="292"/>
      <c r="I24" s="293"/>
      <c r="J24" s="298">
        <f t="shared" si="4"/>
        <v>0</v>
      </c>
      <c r="K24" s="294"/>
      <c r="L24" s="285">
        <f t="shared" si="5"/>
        <v>0</v>
      </c>
      <c r="M24" s="296"/>
      <c r="N24" s="297">
        <f t="shared" ca="1" si="6"/>
        <v>0</v>
      </c>
      <c r="O24" s="286"/>
      <c r="P24" s="285">
        <f t="shared" ca="1" si="7"/>
        <v>0</v>
      </c>
      <c r="Q24" s="286"/>
      <c r="R24" s="285">
        <f t="shared" ca="1" si="8"/>
        <v>0</v>
      </c>
      <c r="S24" s="286"/>
      <c r="T24" s="285">
        <f t="shared" ca="1" si="9"/>
        <v>0</v>
      </c>
      <c r="U24" s="286"/>
      <c r="V24" s="285">
        <f t="shared" ca="1" si="10"/>
        <v>0</v>
      </c>
      <c r="W24" s="286"/>
      <c r="X24" s="287"/>
      <c r="Y24" s="288"/>
      <c r="Z24" s="289"/>
      <c r="AA24" s="81"/>
      <c r="AB24" s="93">
        <f t="shared" ca="1" si="2"/>
        <v>7.5</v>
      </c>
      <c r="AD24" t="s">
        <v>177</v>
      </c>
    </row>
    <row r="25" spans="1:30" ht="14.15" customHeight="1" x14ac:dyDescent="0.2">
      <c r="A25" s="290">
        <f t="shared" ca="1" si="3"/>
        <v>46212</v>
      </c>
      <c r="B25" s="291"/>
      <c r="C25" s="80">
        <f ca="1">IF(A25="","",IF(WEEKDAY(A25,1)=1,1,IF(COUNTIF(祝日管理!B:B,A25)=1,"祝",WEEKDAY(A25,1))))</f>
        <v>5</v>
      </c>
      <c r="D25" s="292"/>
      <c r="E25" s="292"/>
      <c r="F25" s="292"/>
      <c r="G25" s="292"/>
      <c r="H25" s="292"/>
      <c r="I25" s="293"/>
      <c r="J25" s="298">
        <f t="shared" si="4"/>
        <v>0</v>
      </c>
      <c r="K25" s="294"/>
      <c r="L25" s="285">
        <f t="shared" si="5"/>
        <v>0</v>
      </c>
      <c r="M25" s="296"/>
      <c r="N25" s="297">
        <f t="shared" ca="1" si="6"/>
        <v>0</v>
      </c>
      <c r="O25" s="286"/>
      <c r="P25" s="285">
        <f t="shared" ca="1" si="7"/>
        <v>0</v>
      </c>
      <c r="Q25" s="286"/>
      <c r="R25" s="285">
        <f t="shared" ca="1" si="8"/>
        <v>0</v>
      </c>
      <c r="S25" s="286"/>
      <c r="T25" s="285">
        <f t="shared" ca="1" si="9"/>
        <v>0</v>
      </c>
      <c r="U25" s="286"/>
      <c r="V25" s="285">
        <f t="shared" ca="1" si="10"/>
        <v>0</v>
      </c>
      <c r="W25" s="286"/>
      <c r="X25" s="287"/>
      <c r="Y25" s="288"/>
      <c r="Z25" s="289"/>
      <c r="AA25" s="81"/>
      <c r="AB25" s="93">
        <f t="shared" ca="1" si="2"/>
        <v>7.5</v>
      </c>
    </row>
    <row r="26" spans="1:30" ht="14.15" customHeight="1" x14ac:dyDescent="0.2">
      <c r="A26" s="290">
        <f t="shared" ca="1" si="3"/>
        <v>46213</v>
      </c>
      <c r="B26" s="291"/>
      <c r="C26" s="80">
        <f ca="1">IF(A26="","",IF(WEEKDAY(A26,1)=1,1,IF(COUNTIF(祝日管理!B:B,A26)=1,"祝",WEEKDAY(A26,1))))</f>
        <v>6</v>
      </c>
      <c r="D26" s="292"/>
      <c r="E26" s="292"/>
      <c r="F26" s="292"/>
      <c r="G26" s="292"/>
      <c r="H26" s="292"/>
      <c r="I26" s="293"/>
      <c r="J26" s="298">
        <f t="shared" si="4"/>
        <v>0</v>
      </c>
      <c r="K26" s="294"/>
      <c r="L26" s="285">
        <f t="shared" si="5"/>
        <v>0</v>
      </c>
      <c r="M26" s="296"/>
      <c r="N26" s="297">
        <f t="shared" ca="1" si="6"/>
        <v>0</v>
      </c>
      <c r="O26" s="286"/>
      <c r="P26" s="285">
        <f t="shared" ca="1" si="7"/>
        <v>0</v>
      </c>
      <c r="Q26" s="286"/>
      <c r="R26" s="285">
        <f t="shared" ca="1" si="8"/>
        <v>0</v>
      </c>
      <c r="S26" s="286"/>
      <c r="T26" s="285">
        <f t="shared" ca="1" si="9"/>
        <v>0</v>
      </c>
      <c r="U26" s="286"/>
      <c r="V26" s="285">
        <f t="shared" ca="1" si="10"/>
        <v>0</v>
      </c>
      <c r="W26" s="286"/>
      <c r="X26" s="287"/>
      <c r="Y26" s="288"/>
      <c r="Z26" s="289"/>
      <c r="AA26" s="81"/>
      <c r="AB26" s="93">
        <f t="shared" ca="1" si="2"/>
        <v>7.5</v>
      </c>
      <c r="AD26" t="s">
        <v>213</v>
      </c>
    </row>
    <row r="27" spans="1:30" ht="14.15" customHeight="1" x14ac:dyDescent="0.2">
      <c r="A27" s="290">
        <f t="shared" ca="1" si="3"/>
        <v>46214</v>
      </c>
      <c r="B27" s="291"/>
      <c r="C27" s="80">
        <f ca="1">IF(A27="","",IF(WEEKDAY(A27,1)=1,1,IF(COUNTIF(祝日管理!B:B,A27)=1,"祝",WEEKDAY(A27,1))))</f>
        <v>7</v>
      </c>
      <c r="D27" s="292"/>
      <c r="E27" s="292"/>
      <c r="F27" s="292"/>
      <c r="G27" s="292"/>
      <c r="H27" s="292"/>
      <c r="I27" s="293"/>
      <c r="J27" s="298">
        <f t="shared" si="4"/>
        <v>0</v>
      </c>
      <c r="K27" s="294"/>
      <c r="L27" s="285">
        <f t="shared" si="5"/>
        <v>0</v>
      </c>
      <c r="M27" s="296"/>
      <c r="N27" s="297">
        <f t="shared" ca="1" si="6"/>
        <v>0</v>
      </c>
      <c r="O27" s="286"/>
      <c r="P27" s="285">
        <f t="shared" ca="1" si="7"/>
        <v>0</v>
      </c>
      <c r="Q27" s="286"/>
      <c r="R27" s="285">
        <f t="shared" ca="1" si="8"/>
        <v>0</v>
      </c>
      <c r="S27" s="286"/>
      <c r="T27" s="285">
        <f t="shared" ca="1" si="9"/>
        <v>0</v>
      </c>
      <c r="U27" s="286"/>
      <c r="V27" s="285">
        <f t="shared" ca="1" si="10"/>
        <v>0</v>
      </c>
      <c r="W27" s="286"/>
      <c r="X27" s="287"/>
      <c r="Y27" s="288"/>
      <c r="Z27" s="289"/>
      <c r="AA27" s="81"/>
      <c r="AB27" s="93">
        <f t="shared" ca="1" si="2"/>
        <v>7.5</v>
      </c>
    </row>
    <row r="28" spans="1:30" ht="14.15" customHeight="1" x14ac:dyDescent="0.2">
      <c r="A28" s="290">
        <f t="shared" ca="1" si="3"/>
        <v>46215</v>
      </c>
      <c r="B28" s="291"/>
      <c r="C28" s="80">
        <f ca="1">IF(A28="","",IF(WEEKDAY(A28,1)=1,1,IF(COUNTIF(祝日管理!B:B,A28)=1,"祝",WEEKDAY(A28,1))))</f>
        <v>1</v>
      </c>
      <c r="D28" s="292"/>
      <c r="E28" s="292"/>
      <c r="F28" s="292"/>
      <c r="G28" s="292"/>
      <c r="H28" s="292"/>
      <c r="I28" s="293"/>
      <c r="J28" s="298">
        <f t="shared" si="4"/>
        <v>0</v>
      </c>
      <c r="K28" s="294"/>
      <c r="L28" s="285">
        <f t="shared" si="5"/>
        <v>0</v>
      </c>
      <c r="M28" s="296"/>
      <c r="N28" s="297">
        <f t="shared" ca="1" si="6"/>
        <v>0</v>
      </c>
      <c r="O28" s="286"/>
      <c r="P28" s="285">
        <f t="shared" ca="1" si="7"/>
        <v>0</v>
      </c>
      <c r="Q28" s="286"/>
      <c r="R28" s="285">
        <f t="shared" ca="1" si="8"/>
        <v>0</v>
      </c>
      <c r="S28" s="286"/>
      <c r="T28" s="285">
        <f t="shared" ca="1" si="9"/>
        <v>0</v>
      </c>
      <c r="U28" s="286"/>
      <c r="V28" s="285">
        <f t="shared" ca="1" si="10"/>
        <v>0</v>
      </c>
      <c r="W28" s="286"/>
      <c r="X28" s="287" t="s">
        <v>187</v>
      </c>
      <c r="Y28" s="288"/>
      <c r="Z28" s="289"/>
      <c r="AA28" s="81"/>
      <c r="AB28" s="93">
        <f t="shared" ca="1" si="2"/>
        <v>0</v>
      </c>
    </row>
    <row r="29" spans="1:30" s="59" customFormat="1" ht="14.15" customHeight="1" x14ac:dyDescent="0.2">
      <c r="A29" s="290">
        <f t="shared" ca="1" si="3"/>
        <v>46216</v>
      </c>
      <c r="B29" s="291"/>
      <c r="C29" s="80">
        <f ca="1">IF(A29="","",IF(WEEKDAY(A29,1)=1,1,IF(COUNTIF(祝日管理!B:B,A29)=1,"祝",WEEKDAY(A29,1))))</f>
        <v>2</v>
      </c>
      <c r="D29" s="292"/>
      <c r="E29" s="292"/>
      <c r="F29" s="292"/>
      <c r="G29" s="292"/>
      <c r="H29" s="292"/>
      <c r="I29" s="293"/>
      <c r="J29" s="298">
        <f t="shared" si="4"/>
        <v>0</v>
      </c>
      <c r="K29" s="294"/>
      <c r="L29" s="285">
        <f t="shared" si="5"/>
        <v>0</v>
      </c>
      <c r="M29" s="296"/>
      <c r="N29" s="297">
        <f t="shared" ca="1" si="6"/>
        <v>0</v>
      </c>
      <c r="O29" s="286"/>
      <c r="P29" s="285">
        <f t="shared" ca="1" si="7"/>
        <v>0</v>
      </c>
      <c r="Q29" s="286"/>
      <c r="R29" s="285">
        <f t="shared" ca="1" si="8"/>
        <v>0</v>
      </c>
      <c r="S29" s="286"/>
      <c r="T29" s="285">
        <f t="shared" ca="1" si="9"/>
        <v>0</v>
      </c>
      <c r="U29" s="286"/>
      <c r="V29" s="285">
        <f t="shared" ca="1" si="10"/>
        <v>0</v>
      </c>
      <c r="W29" s="286"/>
      <c r="X29" s="287" t="s">
        <v>185</v>
      </c>
      <c r="Y29" s="288"/>
      <c r="Z29" s="289"/>
      <c r="AA29" s="81"/>
      <c r="AB29" s="93">
        <f t="shared" ca="1" si="2"/>
        <v>0</v>
      </c>
      <c r="AC29" s="59" t="s">
        <v>207</v>
      </c>
    </row>
    <row r="30" spans="1:30" ht="14.15" customHeight="1" x14ac:dyDescent="0.2">
      <c r="A30" s="290">
        <f t="shared" ca="1" si="3"/>
        <v>46217</v>
      </c>
      <c r="B30" s="291"/>
      <c r="C30" s="80">
        <f ca="1">IF(A30="","",IF(WEEKDAY(A30,1)=1,1,IF(COUNTIF(祝日管理!B:B,A30)=1,"祝",WEEKDAY(A30,1))))</f>
        <v>3</v>
      </c>
      <c r="D30" s="292"/>
      <c r="E30" s="292"/>
      <c r="F30" s="292"/>
      <c r="G30" s="292"/>
      <c r="H30" s="292"/>
      <c r="I30" s="293"/>
      <c r="J30" s="298">
        <f t="shared" si="4"/>
        <v>0</v>
      </c>
      <c r="K30" s="294"/>
      <c r="L30" s="285">
        <f t="shared" si="5"/>
        <v>0</v>
      </c>
      <c r="M30" s="296"/>
      <c r="N30" s="297">
        <f t="shared" ca="1" si="6"/>
        <v>0</v>
      </c>
      <c r="O30" s="286"/>
      <c r="P30" s="285">
        <f t="shared" ca="1" si="7"/>
        <v>0</v>
      </c>
      <c r="Q30" s="286"/>
      <c r="R30" s="285">
        <f t="shared" ca="1" si="8"/>
        <v>0</v>
      </c>
      <c r="S30" s="286"/>
      <c r="T30" s="285">
        <f t="shared" ca="1" si="9"/>
        <v>0</v>
      </c>
      <c r="U30" s="286"/>
      <c r="V30" s="285">
        <f t="shared" ca="1" si="10"/>
        <v>0</v>
      </c>
      <c r="W30" s="286"/>
      <c r="X30" s="287"/>
      <c r="Y30" s="288"/>
      <c r="Z30" s="289"/>
      <c r="AA30" s="81"/>
      <c r="AB30" s="93">
        <f t="shared" ca="1" si="2"/>
        <v>7.5</v>
      </c>
      <c r="AC30" t="s">
        <v>208</v>
      </c>
    </row>
    <row r="31" spans="1:30" ht="14.15" customHeight="1" x14ac:dyDescent="0.2">
      <c r="A31" s="290">
        <f t="shared" ca="1" si="3"/>
        <v>46218</v>
      </c>
      <c r="B31" s="291"/>
      <c r="C31" s="80">
        <f ca="1">IF(A31="","",IF(WEEKDAY(A31,1)=1,1,IF(COUNTIF(祝日管理!B:B,A31)=1,"祝",WEEKDAY(A31,1))))</f>
        <v>4</v>
      </c>
      <c r="D31" s="292"/>
      <c r="E31" s="292"/>
      <c r="F31" s="292"/>
      <c r="G31" s="292"/>
      <c r="H31" s="292"/>
      <c r="I31" s="293"/>
      <c r="J31" s="298">
        <f t="shared" si="4"/>
        <v>0</v>
      </c>
      <c r="K31" s="294"/>
      <c r="L31" s="285">
        <f t="shared" si="5"/>
        <v>0</v>
      </c>
      <c r="M31" s="296"/>
      <c r="N31" s="297">
        <f t="shared" ca="1" si="6"/>
        <v>0</v>
      </c>
      <c r="O31" s="286"/>
      <c r="P31" s="285">
        <f t="shared" ca="1" si="7"/>
        <v>0</v>
      </c>
      <c r="Q31" s="286"/>
      <c r="R31" s="285">
        <f t="shared" ca="1" si="8"/>
        <v>0</v>
      </c>
      <c r="S31" s="286"/>
      <c r="T31" s="285">
        <f t="shared" ca="1" si="9"/>
        <v>0</v>
      </c>
      <c r="U31" s="286"/>
      <c r="V31" s="285">
        <f t="shared" ca="1" si="10"/>
        <v>0</v>
      </c>
      <c r="W31" s="286"/>
      <c r="X31" s="287"/>
      <c r="Y31" s="288"/>
      <c r="Z31" s="289"/>
      <c r="AA31" s="81"/>
      <c r="AB31" s="93">
        <f t="shared" ca="1" si="2"/>
        <v>7.5</v>
      </c>
      <c r="AC31" t="s">
        <v>209</v>
      </c>
    </row>
    <row r="32" spans="1:30" ht="14.15" customHeight="1" x14ac:dyDescent="0.2">
      <c r="A32" s="290">
        <f t="shared" ca="1" si="3"/>
        <v>46219</v>
      </c>
      <c r="B32" s="291"/>
      <c r="C32" s="80">
        <f ca="1">IF(A32="","",IF(WEEKDAY(A32,1)=1,1,IF(COUNTIF(祝日管理!B:B,A32)=1,"祝",WEEKDAY(A32,1))))</f>
        <v>5</v>
      </c>
      <c r="D32" s="292"/>
      <c r="E32" s="292"/>
      <c r="F32" s="292"/>
      <c r="G32" s="292"/>
      <c r="H32" s="292"/>
      <c r="I32" s="293"/>
      <c r="J32" s="298">
        <f t="shared" si="4"/>
        <v>0</v>
      </c>
      <c r="K32" s="294"/>
      <c r="L32" s="285">
        <f t="shared" si="5"/>
        <v>0</v>
      </c>
      <c r="M32" s="296"/>
      <c r="N32" s="297">
        <f t="shared" ca="1" si="6"/>
        <v>0</v>
      </c>
      <c r="O32" s="286"/>
      <c r="P32" s="285">
        <f t="shared" ca="1" si="7"/>
        <v>0</v>
      </c>
      <c r="Q32" s="286"/>
      <c r="R32" s="285">
        <f t="shared" ca="1" si="8"/>
        <v>0</v>
      </c>
      <c r="S32" s="286"/>
      <c r="T32" s="285">
        <f t="shared" ca="1" si="9"/>
        <v>0</v>
      </c>
      <c r="U32" s="286"/>
      <c r="V32" s="285">
        <f t="shared" ca="1" si="10"/>
        <v>0</v>
      </c>
      <c r="W32" s="286"/>
      <c r="X32" s="287"/>
      <c r="Y32" s="288"/>
      <c r="Z32" s="289"/>
      <c r="AA32" s="81"/>
      <c r="AB32" s="93">
        <f t="shared" ca="1" si="2"/>
        <v>7.5</v>
      </c>
    </row>
    <row r="33" spans="1:32" ht="14.15" customHeight="1" x14ac:dyDescent="0.2">
      <c r="A33" s="290">
        <f t="shared" ca="1" si="3"/>
        <v>46220</v>
      </c>
      <c r="B33" s="291"/>
      <c r="C33" s="80">
        <f ca="1">IF(A33="","",IF(WEEKDAY(A33,1)=1,1,IF(COUNTIF(祝日管理!B:B,A33)=1,"祝",WEEKDAY(A33,1))))</f>
        <v>6</v>
      </c>
      <c r="D33" s="292"/>
      <c r="E33" s="292"/>
      <c r="F33" s="292"/>
      <c r="G33" s="292"/>
      <c r="H33" s="292"/>
      <c r="I33" s="293"/>
      <c r="J33" s="298">
        <f t="shared" si="4"/>
        <v>0</v>
      </c>
      <c r="K33" s="294"/>
      <c r="L33" s="285">
        <f t="shared" si="5"/>
        <v>0</v>
      </c>
      <c r="M33" s="296"/>
      <c r="N33" s="297">
        <f t="shared" ca="1" si="6"/>
        <v>0</v>
      </c>
      <c r="O33" s="286"/>
      <c r="P33" s="285">
        <f t="shared" ca="1" si="7"/>
        <v>0</v>
      </c>
      <c r="Q33" s="286"/>
      <c r="R33" s="285">
        <f t="shared" ca="1" si="8"/>
        <v>0</v>
      </c>
      <c r="S33" s="286"/>
      <c r="T33" s="285">
        <f t="shared" ca="1" si="9"/>
        <v>0</v>
      </c>
      <c r="U33" s="286"/>
      <c r="V33" s="285">
        <f t="shared" ca="1" si="10"/>
        <v>0</v>
      </c>
      <c r="W33" s="286"/>
      <c r="X33" s="287"/>
      <c r="Y33" s="288"/>
      <c r="Z33" s="289"/>
      <c r="AA33" s="81"/>
      <c r="AB33" s="93">
        <f t="shared" ca="1" si="2"/>
        <v>7.5</v>
      </c>
      <c r="AD33" t="s">
        <v>214</v>
      </c>
    </row>
    <row r="34" spans="1:32" ht="14.15" customHeight="1" x14ac:dyDescent="0.2">
      <c r="A34" s="290">
        <f t="shared" ca="1" si="3"/>
        <v>46221</v>
      </c>
      <c r="B34" s="291"/>
      <c r="C34" s="80">
        <f ca="1">IF(A34="","",IF(WEEKDAY(A34,1)=1,1,IF(COUNTIF(祝日管理!B:B,A34)=1,"祝",WEEKDAY(A34,1))))</f>
        <v>7</v>
      </c>
      <c r="D34" s="292"/>
      <c r="E34" s="292"/>
      <c r="F34" s="292"/>
      <c r="G34" s="292"/>
      <c r="H34" s="292"/>
      <c r="I34" s="293"/>
      <c r="J34" s="298">
        <f t="shared" si="4"/>
        <v>0</v>
      </c>
      <c r="K34" s="294"/>
      <c r="L34" s="285">
        <f t="shared" si="5"/>
        <v>0</v>
      </c>
      <c r="M34" s="296"/>
      <c r="N34" s="297">
        <f t="shared" ca="1" si="6"/>
        <v>0</v>
      </c>
      <c r="O34" s="286"/>
      <c r="P34" s="285">
        <f t="shared" ca="1" si="7"/>
        <v>0</v>
      </c>
      <c r="Q34" s="286"/>
      <c r="R34" s="285">
        <f t="shared" ca="1" si="8"/>
        <v>0</v>
      </c>
      <c r="S34" s="286"/>
      <c r="T34" s="285">
        <f t="shared" ca="1" si="9"/>
        <v>0</v>
      </c>
      <c r="U34" s="286"/>
      <c r="V34" s="285">
        <f t="shared" ca="1" si="10"/>
        <v>0</v>
      </c>
      <c r="W34" s="286"/>
      <c r="X34" s="287"/>
      <c r="Y34" s="288"/>
      <c r="Z34" s="289"/>
      <c r="AA34" s="81"/>
      <c r="AB34" s="93">
        <f ca="1">IF(ISERROR((X34="")*(7.5-N34)),0,(X34="")*(7.5-N34))</f>
        <v>7.5</v>
      </c>
      <c r="AD34" t="s">
        <v>215</v>
      </c>
    </row>
    <row r="35" spans="1:32" ht="14.15" customHeight="1" x14ac:dyDescent="0.2">
      <c r="A35" s="290">
        <f t="shared" ca="1" si="3"/>
        <v>46222</v>
      </c>
      <c r="B35" s="291"/>
      <c r="C35" s="80">
        <f ca="1">IF(A35="","",IF(WEEKDAY(A35,1)=1,1,IF(COUNTIF(祝日管理!B:B,A35)=1,"祝",WEEKDAY(A35,1))))</f>
        <v>1</v>
      </c>
      <c r="D35" s="292"/>
      <c r="E35" s="292"/>
      <c r="F35" s="292"/>
      <c r="G35" s="292"/>
      <c r="H35" s="292"/>
      <c r="I35" s="293"/>
      <c r="J35" s="298">
        <f t="shared" si="4"/>
        <v>0</v>
      </c>
      <c r="K35" s="294"/>
      <c r="L35" s="285">
        <f t="shared" si="5"/>
        <v>0</v>
      </c>
      <c r="M35" s="296"/>
      <c r="N35" s="297">
        <f t="shared" ca="1" si="6"/>
        <v>0</v>
      </c>
      <c r="O35" s="286"/>
      <c r="P35" s="285">
        <f t="shared" ca="1" si="7"/>
        <v>0</v>
      </c>
      <c r="Q35" s="286"/>
      <c r="R35" s="285">
        <f t="shared" ca="1" si="8"/>
        <v>0</v>
      </c>
      <c r="S35" s="286"/>
      <c r="T35" s="285">
        <f t="shared" ca="1" si="9"/>
        <v>0</v>
      </c>
      <c r="U35" s="286"/>
      <c r="V35" s="285">
        <f t="shared" ca="1" si="10"/>
        <v>0</v>
      </c>
      <c r="W35" s="286"/>
      <c r="X35" s="287" t="s">
        <v>187</v>
      </c>
      <c r="Y35" s="288"/>
      <c r="Z35" s="289"/>
      <c r="AA35" s="81"/>
      <c r="AB35" s="93">
        <f ca="1">IF(ISERROR((X35="")*(7.5-N35)),0,(X35="")*(7.5-N35))</f>
        <v>0</v>
      </c>
    </row>
    <row r="36" spans="1:32" ht="14.15" customHeight="1" x14ac:dyDescent="0.2">
      <c r="A36" s="290">
        <f t="shared" ca="1" si="3"/>
        <v>46223</v>
      </c>
      <c r="B36" s="291"/>
      <c r="C36" s="80">
        <f ca="1">IF(A36="","",IF(WEEKDAY(A36,1)=1,1,IF(COUNTIF(祝日管理!B:B,A36)=1,"祝",WEEKDAY(A36,1))))</f>
        <v>2</v>
      </c>
      <c r="D36" s="292"/>
      <c r="E36" s="292"/>
      <c r="F36" s="292"/>
      <c r="G36" s="292"/>
      <c r="H36" s="292"/>
      <c r="I36" s="293"/>
      <c r="J36" s="298">
        <f t="shared" si="4"/>
        <v>0</v>
      </c>
      <c r="K36" s="294"/>
      <c r="L36" s="285">
        <f t="shared" si="5"/>
        <v>0</v>
      </c>
      <c r="M36" s="296"/>
      <c r="N36" s="297">
        <f t="shared" ca="1" si="6"/>
        <v>0</v>
      </c>
      <c r="O36" s="286"/>
      <c r="P36" s="285">
        <f t="shared" ca="1" si="7"/>
        <v>0</v>
      </c>
      <c r="Q36" s="286"/>
      <c r="R36" s="285">
        <f t="shared" ca="1" si="8"/>
        <v>0</v>
      </c>
      <c r="S36" s="286"/>
      <c r="T36" s="285">
        <f t="shared" ca="1" si="9"/>
        <v>0</v>
      </c>
      <c r="U36" s="286"/>
      <c r="V36" s="285">
        <f t="shared" ca="1" si="10"/>
        <v>0</v>
      </c>
      <c r="W36" s="286"/>
      <c r="X36" s="287" t="s">
        <v>185</v>
      </c>
      <c r="Y36" s="288"/>
      <c r="Z36" s="289"/>
      <c r="AA36" s="81"/>
      <c r="AB36" s="93">
        <f t="shared" ca="1" si="2"/>
        <v>0</v>
      </c>
    </row>
    <row r="37" spans="1:32" ht="14.15" customHeight="1" x14ac:dyDescent="0.2">
      <c r="A37" s="290">
        <f t="shared" ca="1" si="3"/>
        <v>46224</v>
      </c>
      <c r="B37" s="291"/>
      <c r="C37" s="80">
        <f ca="1">IF(A37="","",IF(WEEKDAY(A37,1)=1,1,IF(COUNTIF(祝日管理!B:B,A37)=1,"祝",WEEKDAY(A37,1))))</f>
        <v>3</v>
      </c>
      <c r="D37" s="292"/>
      <c r="E37" s="292"/>
      <c r="F37" s="292"/>
      <c r="G37" s="292"/>
      <c r="H37" s="292"/>
      <c r="I37" s="293"/>
      <c r="J37" s="298">
        <f t="shared" si="4"/>
        <v>0</v>
      </c>
      <c r="K37" s="294"/>
      <c r="L37" s="285">
        <f t="shared" si="5"/>
        <v>0</v>
      </c>
      <c r="M37" s="296"/>
      <c r="N37" s="297">
        <f t="shared" ca="1" si="6"/>
        <v>0</v>
      </c>
      <c r="O37" s="286"/>
      <c r="P37" s="285">
        <f t="shared" ca="1" si="7"/>
        <v>0</v>
      </c>
      <c r="Q37" s="286"/>
      <c r="R37" s="285">
        <f t="shared" ca="1" si="8"/>
        <v>0</v>
      </c>
      <c r="S37" s="286"/>
      <c r="T37" s="285">
        <f t="shared" ca="1" si="9"/>
        <v>0</v>
      </c>
      <c r="U37" s="286"/>
      <c r="V37" s="285">
        <f t="shared" ca="1" si="10"/>
        <v>0</v>
      </c>
      <c r="W37" s="286"/>
      <c r="X37" s="287" t="s">
        <v>187</v>
      </c>
      <c r="Y37" s="288"/>
      <c r="Z37" s="289"/>
      <c r="AA37" s="81"/>
      <c r="AB37" s="93">
        <f t="shared" ca="1" si="2"/>
        <v>0</v>
      </c>
    </row>
    <row r="38" spans="1:32" ht="14.15" customHeight="1" x14ac:dyDescent="0.2">
      <c r="A38" s="290">
        <f t="shared" ca="1" si="3"/>
        <v>46225</v>
      </c>
      <c r="B38" s="291"/>
      <c r="C38" s="80">
        <f ca="1">IF(A38="","",IF(WEEKDAY(A38,1)=1,1,IF(COUNTIF(祝日管理!B:B,A38)=1,"祝",WEEKDAY(A38,1))))</f>
        <v>4</v>
      </c>
      <c r="D38" s="292"/>
      <c r="E38" s="292"/>
      <c r="F38" s="292"/>
      <c r="G38" s="292"/>
      <c r="H38" s="292"/>
      <c r="I38" s="293"/>
      <c r="J38" s="298">
        <f t="shared" si="4"/>
        <v>0</v>
      </c>
      <c r="K38" s="294"/>
      <c r="L38" s="285">
        <f t="shared" si="5"/>
        <v>0</v>
      </c>
      <c r="M38" s="296"/>
      <c r="N38" s="297">
        <f t="shared" ca="1" si="6"/>
        <v>0</v>
      </c>
      <c r="O38" s="286"/>
      <c r="P38" s="285">
        <f t="shared" ca="1" si="7"/>
        <v>0</v>
      </c>
      <c r="Q38" s="286"/>
      <c r="R38" s="285">
        <f t="shared" ca="1" si="8"/>
        <v>0</v>
      </c>
      <c r="S38" s="286"/>
      <c r="T38" s="285">
        <f t="shared" ca="1" si="9"/>
        <v>0</v>
      </c>
      <c r="U38" s="286"/>
      <c r="V38" s="285">
        <f t="shared" ca="1" si="10"/>
        <v>0</v>
      </c>
      <c r="W38" s="286"/>
      <c r="X38" s="287"/>
      <c r="Y38" s="288"/>
      <c r="Z38" s="289"/>
      <c r="AA38" s="81"/>
      <c r="AB38" s="93">
        <f t="shared" ca="1" si="2"/>
        <v>7.5</v>
      </c>
    </row>
    <row r="39" spans="1:32" ht="14.15" customHeight="1" x14ac:dyDescent="0.2">
      <c r="A39" s="290">
        <f t="shared" ca="1" si="3"/>
        <v>46226</v>
      </c>
      <c r="B39" s="291"/>
      <c r="C39" s="80">
        <f ca="1">IF(A39="","",IF(WEEKDAY(A39,1)=1,1,IF(COUNTIF(祝日管理!B:B,A39)=1,"祝",WEEKDAY(A39,1))))</f>
        <v>5</v>
      </c>
      <c r="D39" s="292"/>
      <c r="E39" s="292"/>
      <c r="F39" s="292"/>
      <c r="G39" s="292"/>
      <c r="H39" s="292"/>
      <c r="I39" s="293"/>
      <c r="J39" s="298">
        <f t="shared" si="4"/>
        <v>0</v>
      </c>
      <c r="K39" s="294"/>
      <c r="L39" s="285">
        <f t="shared" si="5"/>
        <v>0</v>
      </c>
      <c r="M39" s="296"/>
      <c r="N39" s="297">
        <f t="shared" ca="1" si="6"/>
        <v>0</v>
      </c>
      <c r="O39" s="286"/>
      <c r="P39" s="285">
        <f t="shared" ca="1" si="7"/>
        <v>0</v>
      </c>
      <c r="Q39" s="286"/>
      <c r="R39" s="285">
        <f t="shared" ca="1" si="8"/>
        <v>0</v>
      </c>
      <c r="S39" s="286"/>
      <c r="T39" s="285">
        <f t="shared" ca="1" si="9"/>
        <v>0</v>
      </c>
      <c r="U39" s="286"/>
      <c r="V39" s="285">
        <f t="shared" ca="1" si="10"/>
        <v>0</v>
      </c>
      <c r="W39" s="286"/>
      <c r="X39" s="287"/>
      <c r="Y39" s="288"/>
      <c r="Z39" s="289"/>
      <c r="AA39" s="81"/>
      <c r="AB39" s="93">
        <f t="shared" ca="1" si="2"/>
        <v>7.5</v>
      </c>
    </row>
    <row r="40" spans="1:32" ht="14.15" customHeight="1" x14ac:dyDescent="0.2">
      <c r="A40" s="290">
        <f t="shared" ca="1" si="3"/>
        <v>46227</v>
      </c>
      <c r="B40" s="291"/>
      <c r="C40" s="80">
        <f ca="1">IF(A40="","",IF(WEEKDAY(A40,1)=1,1,IF(COUNTIF(祝日管理!B:B,A40)=1,"祝",WEEKDAY(A40,1))))</f>
        <v>6</v>
      </c>
      <c r="D40" s="292"/>
      <c r="E40" s="292"/>
      <c r="F40" s="292"/>
      <c r="G40" s="292"/>
      <c r="H40" s="292"/>
      <c r="I40" s="293"/>
      <c r="J40" s="298">
        <f t="shared" si="4"/>
        <v>0</v>
      </c>
      <c r="K40" s="294"/>
      <c r="L40" s="285">
        <f t="shared" si="5"/>
        <v>0</v>
      </c>
      <c r="M40" s="296"/>
      <c r="N40" s="297">
        <f t="shared" ca="1" si="6"/>
        <v>0</v>
      </c>
      <c r="O40" s="286"/>
      <c r="P40" s="285">
        <f t="shared" ca="1" si="7"/>
        <v>0</v>
      </c>
      <c r="Q40" s="286"/>
      <c r="R40" s="285">
        <f t="shared" ca="1" si="8"/>
        <v>0</v>
      </c>
      <c r="S40" s="286"/>
      <c r="T40" s="285">
        <f t="shared" ca="1" si="9"/>
        <v>0</v>
      </c>
      <c r="U40" s="286"/>
      <c r="V40" s="285">
        <f t="shared" ca="1" si="10"/>
        <v>0</v>
      </c>
      <c r="W40" s="286"/>
      <c r="X40" s="287"/>
      <c r="Y40" s="288"/>
      <c r="Z40" s="289"/>
      <c r="AA40" s="81"/>
      <c r="AB40" s="93">
        <f t="shared" ca="1" si="2"/>
        <v>7.5</v>
      </c>
    </row>
    <row r="41" spans="1:32" ht="14.15" customHeight="1" x14ac:dyDescent="0.2">
      <c r="A41" s="290">
        <f t="shared" ca="1" si="3"/>
        <v>46228</v>
      </c>
      <c r="B41" s="291"/>
      <c r="C41" s="80">
        <f ca="1">IF(A41="","",IF(WEEKDAY(A41,1)=1,1,IF(COUNTIF(祝日管理!B:B,A41)=1,"祝",WEEKDAY(A41,1))))</f>
        <v>7</v>
      </c>
      <c r="D41" s="292"/>
      <c r="E41" s="292"/>
      <c r="F41" s="292"/>
      <c r="G41" s="292"/>
      <c r="H41" s="292"/>
      <c r="I41" s="293"/>
      <c r="J41" s="298">
        <f t="shared" si="4"/>
        <v>0</v>
      </c>
      <c r="K41" s="294"/>
      <c r="L41" s="285">
        <f t="shared" si="5"/>
        <v>0</v>
      </c>
      <c r="M41" s="296"/>
      <c r="N41" s="297">
        <f t="shared" ca="1" si="6"/>
        <v>0</v>
      </c>
      <c r="O41" s="286"/>
      <c r="P41" s="285">
        <f t="shared" ca="1" si="7"/>
        <v>0</v>
      </c>
      <c r="Q41" s="286"/>
      <c r="R41" s="285">
        <f t="shared" ca="1" si="8"/>
        <v>0</v>
      </c>
      <c r="S41" s="286"/>
      <c r="T41" s="285">
        <f t="shared" ca="1" si="9"/>
        <v>0</v>
      </c>
      <c r="U41" s="286"/>
      <c r="V41" s="285">
        <f t="shared" ca="1" si="10"/>
        <v>0</v>
      </c>
      <c r="W41" s="286"/>
      <c r="X41" s="287"/>
      <c r="Y41" s="288"/>
      <c r="Z41" s="289"/>
      <c r="AA41" s="81"/>
      <c r="AB41" s="93">
        <f t="shared" ca="1" si="2"/>
        <v>7.5</v>
      </c>
    </row>
    <row r="42" spans="1:32" ht="14.15" customHeight="1" x14ac:dyDescent="0.2">
      <c r="A42" s="290">
        <f t="shared" ca="1" si="3"/>
        <v>46229</v>
      </c>
      <c r="B42" s="291"/>
      <c r="C42" s="80">
        <f ca="1">IF(A42="","",IF(WEEKDAY(A42,1)=1,1,IF(COUNTIF(祝日管理!B:B,A42)=1,"祝",WEEKDAY(A42,1))))</f>
        <v>1</v>
      </c>
      <c r="D42" s="292"/>
      <c r="E42" s="292"/>
      <c r="F42" s="292"/>
      <c r="G42" s="292"/>
      <c r="H42" s="292"/>
      <c r="I42" s="293"/>
      <c r="J42" s="298">
        <f t="shared" si="4"/>
        <v>0</v>
      </c>
      <c r="K42" s="294"/>
      <c r="L42" s="285">
        <f t="shared" si="5"/>
        <v>0</v>
      </c>
      <c r="M42" s="296"/>
      <c r="N42" s="297">
        <f t="shared" ca="1" si="6"/>
        <v>0</v>
      </c>
      <c r="O42" s="286"/>
      <c r="P42" s="285">
        <f t="shared" ca="1" si="7"/>
        <v>0</v>
      </c>
      <c r="Q42" s="286"/>
      <c r="R42" s="285">
        <f t="shared" ca="1" si="8"/>
        <v>0</v>
      </c>
      <c r="S42" s="286"/>
      <c r="T42" s="285">
        <f t="shared" ca="1" si="9"/>
        <v>0</v>
      </c>
      <c r="U42" s="286"/>
      <c r="V42" s="285">
        <f t="shared" ca="1" si="10"/>
        <v>0</v>
      </c>
      <c r="W42" s="286"/>
      <c r="X42" s="287" t="s">
        <v>187</v>
      </c>
      <c r="Y42" s="288"/>
      <c r="Z42" s="289"/>
      <c r="AA42" s="81"/>
      <c r="AB42" s="93">
        <f t="shared" ca="1" si="2"/>
        <v>0</v>
      </c>
    </row>
    <row r="43" spans="1:32" ht="14.15" customHeight="1" x14ac:dyDescent="0.2">
      <c r="A43" s="290">
        <f t="shared" ca="1" si="3"/>
        <v>46230</v>
      </c>
      <c r="B43" s="291"/>
      <c r="C43" s="80">
        <f ca="1">IF(A43="","",IF(WEEKDAY(A43,1)=1,1,IF(COUNTIF(祝日管理!B:B,A43)=1,"祝",WEEKDAY(A43,1))))</f>
        <v>2</v>
      </c>
      <c r="D43" s="292"/>
      <c r="E43" s="292"/>
      <c r="F43" s="292"/>
      <c r="G43" s="292"/>
      <c r="H43" s="292"/>
      <c r="I43" s="293"/>
      <c r="J43" s="298">
        <f t="shared" si="4"/>
        <v>0</v>
      </c>
      <c r="K43" s="294"/>
      <c r="L43" s="285">
        <f t="shared" si="5"/>
        <v>0</v>
      </c>
      <c r="M43" s="296"/>
      <c r="N43" s="297">
        <f t="shared" ca="1" si="6"/>
        <v>0</v>
      </c>
      <c r="O43" s="286"/>
      <c r="P43" s="285">
        <f t="shared" ca="1" si="7"/>
        <v>0</v>
      </c>
      <c r="Q43" s="286"/>
      <c r="R43" s="285">
        <f t="shared" ca="1" si="8"/>
        <v>0</v>
      </c>
      <c r="S43" s="286"/>
      <c r="T43" s="285">
        <f t="shared" ca="1" si="9"/>
        <v>0</v>
      </c>
      <c r="U43" s="286"/>
      <c r="V43" s="285">
        <f t="shared" ca="1" si="10"/>
        <v>0</v>
      </c>
      <c r="W43" s="286"/>
      <c r="X43" s="287" t="s">
        <v>185</v>
      </c>
      <c r="Y43" s="288"/>
      <c r="Z43" s="289"/>
      <c r="AA43" s="81"/>
      <c r="AB43" s="93">
        <f t="shared" ca="1" si="2"/>
        <v>0</v>
      </c>
    </row>
    <row r="44" spans="1:32" ht="14.15" customHeight="1" x14ac:dyDescent="0.2">
      <c r="A44" s="290">
        <f t="shared" ca="1" si="3"/>
        <v>46231</v>
      </c>
      <c r="B44" s="291"/>
      <c r="C44" s="80">
        <f ca="1">IF(A44="","",IF(WEEKDAY(A44,1)=1,1,IF(COUNTIF(祝日管理!B:B,A44)=1,"祝",WEEKDAY(A44,1))))</f>
        <v>3</v>
      </c>
      <c r="D44" s="292"/>
      <c r="E44" s="292"/>
      <c r="F44" s="292"/>
      <c r="G44" s="292"/>
      <c r="H44" s="292"/>
      <c r="I44" s="293"/>
      <c r="J44" s="298">
        <f t="shared" si="4"/>
        <v>0</v>
      </c>
      <c r="K44" s="294"/>
      <c r="L44" s="285">
        <f t="shared" si="5"/>
        <v>0</v>
      </c>
      <c r="M44" s="296"/>
      <c r="N44" s="297">
        <f t="shared" ca="1" si="6"/>
        <v>0</v>
      </c>
      <c r="O44" s="286"/>
      <c r="P44" s="285">
        <f t="shared" ca="1" si="7"/>
        <v>0</v>
      </c>
      <c r="Q44" s="286"/>
      <c r="R44" s="285">
        <f t="shared" ca="1" si="8"/>
        <v>0</v>
      </c>
      <c r="S44" s="286"/>
      <c r="T44" s="285">
        <f t="shared" ca="1" si="9"/>
        <v>0</v>
      </c>
      <c r="U44" s="286"/>
      <c r="V44" s="285">
        <f t="shared" ca="1" si="10"/>
        <v>0</v>
      </c>
      <c r="W44" s="286"/>
      <c r="X44" s="287"/>
      <c r="Y44" s="288"/>
      <c r="Z44" s="289"/>
      <c r="AA44" s="81"/>
      <c r="AB44" s="93">
        <f t="shared" ca="1" si="2"/>
        <v>7.5</v>
      </c>
    </row>
    <row r="45" spans="1:32" ht="14.15" customHeight="1" x14ac:dyDescent="0.2">
      <c r="A45" s="290">
        <f ca="1">IF(DAY(A44+1)=29,A44+1,"")</f>
        <v>46232</v>
      </c>
      <c r="B45" s="291"/>
      <c r="C45" s="80">
        <f ca="1">IF(A45="","",IF(WEEKDAY(A45,1)=1,1,IF(COUNTIF(祝日管理!B:B,A45)=1,"祝",WEEKDAY(A45,1))))</f>
        <v>4</v>
      </c>
      <c r="D45" s="292"/>
      <c r="E45" s="292"/>
      <c r="F45" s="292"/>
      <c r="G45" s="292"/>
      <c r="H45" s="292"/>
      <c r="I45" s="293"/>
      <c r="J45" s="298">
        <f t="shared" si="4"/>
        <v>0</v>
      </c>
      <c r="K45" s="294"/>
      <c r="L45" s="285">
        <f t="shared" si="5"/>
        <v>0</v>
      </c>
      <c r="M45" s="296"/>
      <c r="N45" s="297">
        <f t="shared" ca="1" si="6"/>
        <v>0</v>
      </c>
      <c r="O45" s="286"/>
      <c r="P45" s="285">
        <f t="shared" ca="1" si="7"/>
        <v>0</v>
      </c>
      <c r="Q45" s="286"/>
      <c r="R45" s="285">
        <f t="shared" ca="1" si="8"/>
        <v>0</v>
      </c>
      <c r="S45" s="286"/>
      <c r="T45" s="285">
        <f t="shared" ca="1" si="9"/>
        <v>0</v>
      </c>
      <c r="U45" s="286"/>
      <c r="V45" s="285">
        <f t="shared" ca="1" si="10"/>
        <v>0</v>
      </c>
      <c r="W45" s="286"/>
      <c r="X45" s="287"/>
      <c r="Y45" s="288"/>
      <c r="Z45" s="289"/>
      <c r="AA45" s="82"/>
      <c r="AB45" s="93">
        <f t="shared" ca="1" si="2"/>
        <v>7.5</v>
      </c>
    </row>
    <row r="46" spans="1:32" ht="14.15" customHeight="1" x14ac:dyDescent="0.2">
      <c r="A46" s="290">
        <f ca="1">IF(A45="","",IF(DAY(A45+1)=30,A45+1,""))</f>
        <v>46233</v>
      </c>
      <c r="B46" s="291"/>
      <c r="C46" s="80">
        <f ca="1">IF(A46="","",IF(WEEKDAY(A46,1)=1,1,IF(COUNTIF(祝日管理!B:B,A46)=1,"祝",WEEKDAY(A46,1))))</f>
        <v>5</v>
      </c>
      <c r="D46" s="292"/>
      <c r="E46" s="292"/>
      <c r="F46" s="292"/>
      <c r="G46" s="292"/>
      <c r="H46" s="292"/>
      <c r="I46" s="293"/>
      <c r="J46" s="298">
        <f t="shared" si="4"/>
        <v>0</v>
      </c>
      <c r="K46" s="294"/>
      <c r="L46" s="285">
        <f t="shared" si="5"/>
        <v>0</v>
      </c>
      <c r="M46" s="296"/>
      <c r="N46" s="297">
        <f t="shared" ca="1" si="6"/>
        <v>0</v>
      </c>
      <c r="O46" s="286"/>
      <c r="P46" s="285">
        <f t="shared" ca="1" si="7"/>
        <v>0</v>
      </c>
      <c r="Q46" s="286"/>
      <c r="R46" s="285">
        <f t="shared" ca="1" si="8"/>
        <v>0</v>
      </c>
      <c r="S46" s="286"/>
      <c r="T46" s="285">
        <f t="shared" ca="1" si="9"/>
        <v>0</v>
      </c>
      <c r="U46" s="286"/>
      <c r="V46" s="285">
        <f t="shared" ca="1" si="10"/>
        <v>0</v>
      </c>
      <c r="W46" s="286"/>
      <c r="X46" s="287"/>
      <c r="Y46" s="288"/>
      <c r="Z46" s="289"/>
      <c r="AA46" s="81"/>
      <c r="AB46" s="93">
        <f t="shared" ca="1" si="2"/>
        <v>7.5</v>
      </c>
      <c r="AF46">
        <f>+時間・月額</f>
        <v>250000</v>
      </c>
    </row>
    <row r="47" spans="1:32" ht="14.15" customHeight="1" thickBot="1" x14ac:dyDescent="0.25">
      <c r="A47" s="290">
        <f ca="1">IF(A46="","",IF(DAY(A46+1)=31,A46+1,""))</f>
        <v>46234</v>
      </c>
      <c r="B47" s="291"/>
      <c r="C47" s="80">
        <f ca="1">IF(A47="","",IF(WEEKDAY(A47,1)=1,1,IF(COUNTIF(祝日管理!B:B,A47)=1,"祝",WEEKDAY(A47,1))))</f>
        <v>6</v>
      </c>
      <c r="D47" s="292"/>
      <c r="E47" s="292"/>
      <c r="F47" s="292"/>
      <c r="G47" s="292"/>
      <c r="H47" s="292"/>
      <c r="I47" s="293"/>
      <c r="J47" s="294">
        <f t="shared" si="4"/>
        <v>0</v>
      </c>
      <c r="K47" s="295"/>
      <c r="L47" s="285">
        <f t="shared" si="5"/>
        <v>0</v>
      </c>
      <c r="M47" s="296"/>
      <c r="N47" s="283">
        <f t="shared" ca="1" si="6"/>
        <v>0</v>
      </c>
      <c r="O47" s="284"/>
      <c r="P47" s="285">
        <f t="shared" ca="1" si="7"/>
        <v>0</v>
      </c>
      <c r="Q47" s="286"/>
      <c r="R47" s="285">
        <f t="shared" ca="1" si="8"/>
        <v>0</v>
      </c>
      <c r="S47" s="286"/>
      <c r="T47" s="285">
        <f t="shared" ca="1" si="9"/>
        <v>0</v>
      </c>
      <c r="U47" s="286"/>
      <c r="V47" s="285">
        <f t="shared" ca="1" si="10"/>
        <v>0</v>
      </c>
      <c r="W47" s="286"/>
      <c r="X47" s="287"/>
      <c r="Y47" s="288"/>
      <c r="Z47" s="289"/>
      <c r="AA47" s="81"/>
      <c r="AB47" s="93">
        <f ca="1">IF(ISERROR((X47="")*(7.5-N47)),0,(X47="")*(7.5-N47))</f>
        <v>7.5</v>
      </c>
    </row>
    <row r="48" spans="1:32" ht="14.15" customHeight="1" thickBot="1" x14ac:dyDescent="0.25">
      <c r="A48" s="274" t="s">
        <v>56</v>
      </c>
      <c r="B48" s="275"/>
      <c r="C48" s="35"/>
      <c r="D48" s="276"/>
      <c r="E48" s="277"/>
      <c r="F48" s="276"/>
      <c r="G48" s="277"/>
      <c r="H48" s="276"/>
      <c r="I48" s="278"/>
      <c r="J48" s="279"/>
      <c r="K48" s="280"/>
      <c r="L48" s="281" t="s">
        <v>198</v>
      </c>
      <c r="M48" s="282"/>
      <c r="N48" s="265"/>
      <c r="O48" s="266"/>
      <c r="P48" s="267" t="s">
        <v>200</v>
      </c>
      <c r="Q48" s="268"/>
      <c r="R48" s="265"/>
      <c r="S48" s="266"/>
      <c r="T48" s="269"/>
      <c r="U48" s="270"/>
      <c r="V48" s="269"/>
      <c r="W48" s="270"/>
      <c r="X48" s="271"/>
      <c r="Y48" s="272"/>
      <c r="Z48" s="273"/>
      <c r="AA48" s="66"/>
      <c r="AB48" t="s">
        <v>191</v>
      </c>
    </row>
    <row r="49" spans="1:34" ht="14.15" customHeight="1" x14ac:dyDescent="0.2">
      <c r="A49" s="255" t="s">
        <v>196</v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8">
        <f>SUM(L17:M47)+N48</f>
        <v>0</v>
      </c>
      <c r="M49" s="259"/>
      <c r="N49" s="260">
        <f ca="1">ROUNDDOWN((SUM(N17:O48)+0.01)*4,0)/4</f>
        <v>0</v>
      </c>
      <c r="O49" s="261"/>
      <c r="P49" s="262">
        <f ca="1">ROUNDDOWN((SUM(P17:Q47)+0.01)*4,0)/4</f>
        <v>0</v>
      </c>
      <c r="Q49" s="263"/>
      <c r="R49" s="242">
        <f ca="1">ROUNDDOWN((SUM(R17:S47)+0.01)*4,0)/4</f>
        <v>0</v>
      </c>
      <c r="S49" s="264"/>
      <c r="T49" s="242">
        <f ca="1">ROUNDDOWN((SUM(T17:U47)+0.01)*4,0)/4</f>
        <v>0</v>
      </c>
      <c r="U49" s="243"/>
      <c r="V49" s="242">
        <f ca="1">ROUNDDOWN((SUM(V17:W47)+0.01)*4,0)/4</f>
        <v>0</v>
      </c>
      <c r="W49" s="243"/>
      <c r="X49" s="244">
        <f ca="1">SUM(通常時間計:休日深夜時間計)</f>
        <v>0</v>
      </c>
      <c r="Y49" s="245"/>
      <c r="Z49" s="245"/>
      <c r="AA49" s="64" t="s">
        <v>142</v>
      </c>
    </row>
    <row r="50" spans="1:34" ht="14.15" customHeight="1" thickBot="1" x14ac:dyDescent="0.25">
      <c r="A50" s="246" t="s">
        <v>106</v>
      </c>
      <c r="B50" s="246"/>
      <c r="C50" s="246"/>
      <c r="D50" s="246"/>
      <c r="E50" s="246"/>
      <c r="F50" s="246"/>
      <c r="G50" s="246"/>
      <c r="H50" s="246"/>
      <c r="I50" s="246"/>
      <c r="J50" s="246"/>
      <c r="K50" s="246"/>
      <c r="L50" s="247">
        <f ca="1">SUM(N50:W50)</f>
        <v>0</v>
      </c>
      <c r="M50" s="248"/>
      <c r="N50" s="249">
        <f ca="1">通常時間計</f>
        <v>0</v>
      </c>
      <c r="O50" s="250"/>
      <c r="P50" s="249">
        <f ca="1">IF(給与体系="140-160時間制",超過勤務時間計,MAX(0,超過勤務時間計+深夜残業時間計-60)*0.25+超過勤務時間計*1.25)</f>
        <v>0</v>
      </c>
      <c r="Q50" s="250"/>
      <c r="R50" s="251">
        <f ca="1">IF(給与体系="140-160時間制",深夜残業時間計,深夜残業時間計*1.5)</f>
        <v>0</v>
      </c>
      <c r="S50" s="252"/>
      <c r="T50" s="251">
        <f ca="1">IF(給与体系="140-160時間制",休日出勤時間計,休日出勤時間計*1.35)</f>
        <v>0</v>
      </c>
      <c r="U50" s="252"/>
      <c r="V50" s="251">
        <f ca="1">IF(給与体系="140-160時間制",休日深夜時間計,休日深夜時間計*1.6)</f>
        <v>0</v>
      </c>
      <c r="W50" s="252"/>
      <c r="X50" s="253">
        <f ca="1">SUM(N50:W50)</f>
        <v>0</v>
      </c>
      <c r="Y50" s="254"/>
      <c r="Z50" s="254"/>
      <c r="AA50" s="88">
        <f>+'6月'!AA50</f>
        <v>45748</v>
      </c>
      <c r="AB50" s="98">
        <f ca="1">+IFERROR(((MAX(0,超過勤務時間計+深夜残業時間計-60)*0.25+(超過勤務時間計+深夜残業時間計)*1.25))/(超過勤務時間計+深夜残業時間計),0)</f>
        <v>0</v>
      </c>
      <c r="AC50" s="2" t="s">
        <v>158</v>
      </c>
      <c r="AD50" s="2"/>
      <c r="AE50" s="231"/>
      <c r="AF50" s="231"/>
      <c r="AG50" s="60"/>
      <c r="AH50" s="61"/>
    </row>
    <row r="51" spans="1:34" ht="14.15" customHeight="1" thickTop="1" thickBot="1" x14ac:dyDescent="0.25">
      <c r="A51" s="232" t="s">
        <v>38</v>
      </c>
      <c r="B51" s="233"/>
      <c r="C51" s="234">
        <f>COUNTA(D17:D47)-W51-W52</f>
        <v>0</v>
      </c>
      <c r="D51" s="235"/>
      <c r="E51" s="236" t="s">
        <v>32</v>
      </c>
      <c r="F51" s="233"/>
      <c r="G51" s="237">
        <f>+COUNTIF($X17:$Z47,E51)</f>
        <v>0</v>
      </c>
      <c r="H51" s="238"/>
      <c r="I51" s="169" t="s">
        <v>111</v>
      </c>
      <c r="J51" s="170"/>
      <c r="K51" s="167">
        <f>+COUNTIF($X17:$Z47,I51)</f>
        <v>0</v>
      </c>
      <c r="L51" s="168"/>
      <c r="M51" s="169" t="s">
        <v>113</v>
      </c>
      <c r="N51" s="170"/>
      <c r="O51" s="167">
        <f>+COUNTIF($X17:$Z47,M51)</f>
        <v>0</v>
      </c>
      <c r="P51" s="168"/>
      <c r="Q51" s="169" t="s">
        <v>112</v>
      </c>
      <c r="R51" s="170"/>
      <c r="S51" s="167">
        <f>+COUNTIF($X17:$Z47,Q51)</f>
        <v>0</v>
      </c>
      <c r="T51" s="168"/>
      <c r="U51" s="169" t="s">
        <v>123</v>
      </c>
      <c r="V51" s="170"/>
      <c r="W51" s="171">
        <f>+K51+(O51+S51)/2</f>
        <v>0</v>
      </c>
      <c r="X51" s="172"/>
      <c r="Y51" s="208" t="s">
        <v>124</v>
      </c>
      <c r="Z51" s="209"/>
      <c r="AA51" s="63">
        <f>+AA52-W51-AA53</f>
        <v>35</v>
      </c>
      <c r="AB51" t="s">
        <v>174</v>
      </c>
    </row>
    <row r="52" spans="1:34" ht="14.15" customHeight="1" thickTop="1" thickBot="1" x14ac:dyDescent="0.25">
      <c r="A52" s="239" t="s">
        <v>153</v>
      </c>
      <c r="B52" s="239"/>
      <c r="C52" s="239"/>
      <c r="D52" s="239"/>
      <c r="E52" s="239"/>
      <c r="F52" s="240">
        <f>+'6月'!F52</f>
        <v>250000</v>
      </c>
      <c r="G52" s="240"/>
      <c r="H52" s="241"/>
      <c r="I52" s="169" t="s">
        <v>126</v>
      </c>
      <c r="J52" s="170"/>
      <c r="K52" s="167">
        <f>+COUNTIF($X17:$Z47,"*全*")-COUNTIF($X17:$Z47,"*欠勤(全*")-COUNTIF($X17:$Z47,"*振休(全*")-COUNTIF($X17:$Z47,"*代休(全*")-K51</f>
        <v>0</v>
      </c>
      <c r="L52" s="168"/>
      <c r="M52" s="169" t="s">
        <v>135</v>
      </c>
      <c r="N52" s="170"/>
      <c r="O52" s="167">
        <f>+COUNTIF($X17:$Z47,"*AM*")-COUNTIF($X17:$Z47,"*欠勤(A*")-COUNTIF($X17:$Z47,"*代休(A*")-O51</f>
        <v>0</v>
      </c>
      <c r="P52" s="168"/>
      <c r="Q52" s="169" t="s">
        <v>136</v>
      </c>
      <c r="R52" s="170"/>
      <c r="S52" s="167">
        <f>+COUNTIF($X17:$Z47,"*PM*")-COUNTIF($X17:$Z47,"*代休(P*")-S51</f>
        <v>0</v>
      </c>
      <c r="T52" s="168"/>
      <c r="U52" s="169" t="s">
        <v>127</v>
      </c>
      <c r="V52" s="170"/>
      <c r="W52" s="171">
        <f>+K52+(O52+S52)/2</f>
        <v>0</v>
      </c>
      <c r="X52" s="172"/>
      <c r="Y52" s="208" t="s">
        <v>125</v>
      </c>
      <c r="Z52" s="209"/>
      <c r="AA52" s="62">
        <f>+'6月'!AA51</f>
        <v>35</v>
      </c>
      <c r="AB52" t="s">
        <v>173</v>
      </c>
    </row>
    <row r="53" spans="1:34" ht="14.15" customHeight="1" thickTop="1" thickBot="1" x14ac:dyDescent="0.25">
      <c r="A53" s="224"/>
      <c r="B53" s="225"/>
      <c r="C53" s="226"/>
      <c r="D53" s="227" t="s">
        <v>21</v>
      </c>
      <c r="E53" s="228"/>
      <c r="F53" s="33"/>
      <c r="G53" s="228" t="s">
        <v>22</v>
      </c>
      <c r="H53" s="228"/>
      <c r="I53" s="34"/>
      <c r="J53" s="229"/>
      <c r="K53" s="225"/>
      <c r="L53" s="230"/>
      <c r="M53" s="27"/>
      <c r="N53" s="28"/>
      <c r="O53" s="32"/>
      <c r="P53" s="4"/>
      <c r="S53" s="4"/>
      <c r="Y53" s="208" t="s">
        <v>166</v>
      </c>
      <c r="Z53" s="209"/>
      <c r="AA53" s="63">
        <v>0</v>
      </c>
      <c r="AB53" t="s">
        <v>167</v>
      </c>
    </row>
    <row r="54" spans="1:34" ht="14.15" customHeight="1" thickTop="1" thickBot="1" x14ac:dyDescent="0.25">
      <c r="A54" s="217" t="s">
        <v>256</v>
      </c>
      <c r="B54" s="218"/>
      <c r="C54" s="218"/>
      <c r="D54" s="219" t="e">
        <f ca="1">ROUNDUP(IF(給与種別=0,時間・月額+手当１金額,IF(給与体系="時給制",(時間・月額+手当１金額/150),(時間・月額+手当１金額)/SUMIF(テーブル_勤務時間,給与体系,テーブル!C:C))),0)</f>
        <v>#DIV/0!</v>
      </c>
      <c r="E54" s="220"/>
      <c r="F54" s="99" t="s">
        <v>39</v>
      </c>
      <c r="G54" s="195">
        <f ca="1">+IF(給与種別=0,1,IF(給与体系&lt;&gt;"時給制",SUMIF(テーブル_勤務時間,給与体系,テーブル!K:K),通常時間計))</f>
        <v>0</v>
      </c>
      <c r="H54" s="195"/>
      <c r="I54" s="100" t="str">
        <f ca="1">IF(給与種別=2,"h","m")</f>
        <v>h</v>
      </c>
      <c r="J54" s="221">
        <f ca="1">IF(給与体系="時給制",基本給単価*基本給時間,SUMIF(テーブル!U2:U13,当月,テーブル!V2:V13))</f>
        <v>0</v>
      </c>
      <c r="K54" s="222"/>
      <c r="L54" s="223"/>
      <c r="M54" s="4"/>
      <c r="N54" s="202" t="s">
        <v>188</v>
      </c>
      <c r="O54" s="203"/>
      <c r="P54" s="203"/>
      <c r="Q54" s="204">
        <f>(合計_15分未満切捨て-(K51+K52)*7.5-(O51+O52)*3-(S51+S52)*4.5)</f>
        <v>0</v>
      </c>
      <c r="R54" s="205"/>
      <c r="S54" s="206"/>
      <c r="T54" s="207"/>
      <c r="U54" s="92" t="s">
        <v>197</v>
      </c>
      <c r="Y54" s="208" t="s">
        <v>203</v>
      </c>
      <c r="Z54" s="209"/>
      <c r="AA54" s="63">
        <f>+SUM('7月:4月'!W51:X51)</f>
        <v>0</v>
      </c>
      <c r="AB54" t="s">
        <v>204</v>
      </c>
    </row>
    <row r="55" spans="1:34" ht="14.15" customHeight="1" thickTop="1" thickBot="1" x14ac:dyDescent="0.25">
      <c r="A55" s="192" t="str">
        <f ca="1">+IF(給与体系="時給制","超過勤務","みなし給")</f>
        <v>みなし給</v>
      </c>
      <c r="B55" s="193"/>
      <c r="C55" s="194"/>
      <c r="D55" s="210" t="e">
        <f ca="1">IF(給与体系="140-160時間制",基本給単価/4,IF(時間外係数=0,基本給単価*1.25,ROUNDUP(IF(給与体系="時給制",(時間・月額+手当１金額/150)*時間外係数,(時間・月額+手当１金額)/SUMIF(テーブル_勤務時間,給与体系,テーブル!C:C)*SUMIF(テーブル_勤務時間,給与体系,テーブル!E:E)),0)))</f>
        <v>#DIV/0!</v>
      </c>
      <c r="E55" s="211"/>
      <c r="F55" s="99" t="s">
        <v>39</v>
      </c>
      <c r="G55" s="195">
        <f ca="1">+IF(給与体系="時給制",超過勤務時間計,SUMIF(テーブル_勤務時間,給与体系,テーブル_みなし時間))</f>
        <v>0</v>
      </c>
      <c r="H55" s="195"/>
      <c r="I55" s="100" t="s">
        <v>40</v>
      </c>
      <c r="J55" s="212">
        <f ca="1">IF(みなし給時間="","",IF(給与体系="時給制",みなし給単価*みなし給時間,SUMIF(テーブル!U2:U13,当月,テーブル!W2:W13)))</f>
        <v>0</v>
      </c>
      <c r="K55" s="213"/>
      <c r="L55" s="214"/>
      <c r="M55" s="4"/>
      <c r="N55" s="215" t="s">
        <v>189</v>
      </c>
      <c r="O55" s="216"/>
      <c r="P55" s="216"/>
      <c r="Q55" s="204">
        <f>+N48+R48*7.5</f>
        <v>0</v>
      </c>
      <c r="R55" s="205"/>
      <c r="S55" s="206"/>
      <c r="T55" s="207"/>
      <c r="U55" s="92" t="s">
        <v>201</v>
      </c>
      <c r="AA55" s="87" t="s">
        <v>192</v>
      </c>
    </row>
    <row r="56" spans="1:34" ht="14.15" customHeight="1" thickTop="1" thickBot="1" x14ac:dyDescent="0.25">
      <c r="A56" s="192" t="str">
        <f ca="1">+IF(給与体系="時給制","深夜残業","月額給")</f>
        <v>月額給</v>
      </c>
      <c r="B56" s="193"/>
      <c r="C56" s="194"/>
      <c r="D56" s="200" t="e">
        <f ca="1">IF(給与体系="時給制",ROUND(基本給単価*(1.5+MAX(0,時間外係数-1.25)),0),IF(給与体系="月給制","",VLOOKUP(給与体系,テーブル!B:F,5,0)))</f>
        <v>#N/A</v>
      </c>
      <c r="E56" s="201"/>
      <c r="F56" s="99" t="str">
        <f ca="1">+IF(給与体系="時給制","＊",IF(給与体系="月給制","","－"))</f>
        <v>－</v>
      </c>
      <c r="G56" s="195" t="e">
        <f ca="1">+IF(給与体系="時給制",深夜残業時間計,IF(給与体系="月給制","月額給",VLOOKUP(給与体系,テーブル!B:G,6,0)))</f>
        <v>#N/A</v>
      </c>
      <c r="H56" s="195"/>
      <c r="I56" s="100" t="str">
        <f ca="1">+IF(給与体系="時給制","h","制")</f>
        <v>制</v>
      </c>
      <c r="J56" s="179">
        <f ca="1">IF(給与体系="時給制",D56*G56,基本給+みなし給)</f>
        <v>0</v>
      </c>
      <c r="K56" s="180"/>
      <c r="L56" s="181"/>
      <c r="M56" s="4"/>
      <c r="N56" s="202" t="s">
        <v>190</v>
      </c>
      <c r="O56" s="203"/>
      <c r="P56" s="203"/>
      <c r="Q56" s="204">
        <f>+Q54-Q55</f>
        <v>0</v>
      </c>
      <c r="R56" s="205"/>
      <c r="S56" s="206"/>
      <c r="T56" s="207"/>
      <c r="U56" s="92" t="s">
        <v>199</v>
      </c>
      <c r="AA56" s="86">
        <f>IF(D62="テレワーク手当",J62/400,IF(D63="テレワーク手当",J63/400,IF(D64="テレワーク手当",J64/400,0)))</f>
        <v>0</v>
      </c>
      <c r="AB56" t="s">
        <v>193</v>
      </c>
    </row>
    <row r="57" spans="1:34" ht="14.15" customHeight="1" thickTop="1" thickBot="1" x14ac:dyDescent="0.25">
      <c r="A57" s="192" t="str">
        <f ca="1">+IF(給与体系="時給制","休日出勤","控除精算")</f>
        <v>控除精算</v>
      </c>
      <c r="B57" s="193"/>
      <c r="C57" s="194"/>
      <c r="D57" s="176" t="e">
        <f ca="1">ROUNDUP(IF(給与種別=0,0,IF(給与体系="時給制",(基本給単価)*1.35,(時間・月額)/SUMIF(テーブル_勤務時間,給与体系,テーブル!C:C))),0)</f>
        <v>#DIV/0!</v>
      </c>
      <c r="E57" s="177"/>
      <c r="F57" s="99" t="s">
        <v>39</v>
      </c>
      <c r="G57" s="195">
        <f ca="1">IF(給与体系="時給制",休日出勤時間計,IF(給与体系="月給制",-1*欠勤時間計,IF(給与体系="140-160時間制",MIN(0,時間合計-140),MIN(0,補正勤務時間合計-SUMIF(テーブル_勤務時間,給与体系,テーブル!H:H)))))</f>
        <v>0</v>
      </c>
      <c r="H57" s="195"/>
      <c r="I57" s="100" t="s">
        <v>40</v>
      </c>
      <c r="J57" s="179" t="e">
        <f ca="1">MAX(控除単価*控除時間,時間・月額*-1)</f>
        <v>#DIV/0!</v>
      </c>
      <c r="K57" s="180"/>
      <c r="L57" s="181"/>
      <c r="M57" s="4"/>
      <c r="N57" s="196" t="s">
        <v>134</v>
      </c>
      <c r="O57" s="197"/>
      <c r="P57" s="198">
        <f ca="1">_xlfn.XLOOKUP(当月,テーブル!U2:U13,テーブル!X2:X13,テーブル!$O$6,FALSE)</f>
        <v>0</v>
      </c>
      <c r="Q57" s="198"/>
      <c r="R57" s="198"/>
      <c r="S57" s="198"/>
      <c r="T57" s="198"/>
      <c r="U57" s="198"/>
      <c r="V57" s="198"/>
      <c r="W57" s="199"/>
    </row>
    <row r="58" spans="1:34" ht="14.15" customHeight="1" x14ac:dyDescent="0.2">
      <c r="A58" s="173" t="str">
        <f ca="1">+IF(給与体系="時給制","休日深夜","超過精算")</f>
        <v>超過精算</v>
      </c>
      <c r="B58" s="174"/>
      <c r="C58" s="175"/>
      <c r="D58" s="176" t="e">
        <f ca="1">ROUNDUP(IF(給与種別=0,((時間・月額+手当１金額)/150),IF(給与体系="時給制",(基本給単価)*1.6,(時間・月額)/SUMIF(テーブル_勤務時間,給与体系,テーブル!C:C))),0)</f>
        <v>#DIV/0!</v>
      </c>
      <c r="E58" s="177"/>
      <c r="F58" s="101" t="s">
        <v>39</v>
      </c>
      <c r="G58" s="178">
        <f ca="1">IF(給与体系="時給制",休日深夜時間計,IF(給与体系="140-160時間制",MAX(0,時間合計-160)*1.25+MAX(0,深夜残業時間計-80)*0.25,(IF(給与体系="管理監督者",(深夜残業時間計+休日深夜時間計)*0.25,MAX(0,補正勤務時間合計-SUMIF(テーブル_勤務時間,給与体系,テーブル!I:I))))))</f>
        <v>0</v>
      </c>
      <c r="H58" s="178"/>
      <c r="I58" s="102" t="s">
        <v>40</v>
      </c>
      <c r="J58" s="179" t="e">
        <f ca="1">超過単価*超過時間</f>
        <v>#DIV/0!</v>
      </c>
      <c r="K58" s="180"/>
      <c r="L58" s="181"/>
      <c r="M58" s="4"/>
      <c r="N58" s="182" t="s">
        <v>157</v>
      </c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94" t="s">
        <v>211</v>
      </c>
    </row>
    <row r="59" spans="1:34" ht="14.15" customHeight="1" thickBot="1" x14ac:dyDescent="0.25">
      <c r="A59" s="183" t="s">
        <v>227</v>
      </c>
      <c r="B59" s="184"/>
      <c r="C59" s="185"/>
      <c r="D59" s="186"/>
      <c r="E59" s="187"/>
      <c r="F59" s="83"/>
      <c r="G59" s="188" t="s">
        <v>255</v>
      </c>
      <c r="H59" s="188"/>
      <c r="I59" s="84"/>
      <c r="J59" s="189" t="str">
        <f>+IF(ISERROR(過不足調整単価*過不足調整時間),"",過不足調整単価*過不足調整時間)</f>
        <v/>
      </c>
      <c r="K59" s="190"/>
      <c r="L59" s="191"/>
      <c r="M59" s="4"/>
      <c r="N59" s="154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95">
        <f ca="1">+SUM(AB17:AB47)+G51*7.5+AB59</f>
        <v>165</v>
      </c>
    </row>
    <row r="60" spans="1:34" ht="14.15" customHeight="1" thickTop="1" x14ac:dyDescent="0.2">
      <c r="A60" s="145"/>
      <c r="B60" s="146"/>
      <c r="C60" s="147"/>
      <c r="D60" s="148" t="s">
        <v>148</v>
      </c>
      <c r="E60" s="149"/>
      <c r="F60" s="149"/>
      <c r="G60" s="149"/>
      <c r="H60" s="149"/>
      <c r="I60" s="150"/>
      <c r="J60" s="151" t="e">
        <f ca="1">IF(給与体系="時給制",SUM(基本給:L59),SUM(J56:L59))</f>
        <v>#DIV/0!</v>
      </c>
      <c r="K60" s="152"/>
      <c r="L60" s="153"/>
      <c r="M60" s="4"/>
      <c r="N60" s="154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6"/>
      <c r="AB60" t="s">
        <v>229</v>
      </c>
    </row>
    <row r="61" spans="1:34" ht="14.15" customHeight="1" x14ac:dyDescent="0.2">
      <c r="A61" s="157" t="s">
        <v>137</v>
      </c>
      <c r="B61" s="158" t="s">
        <v>182</v>
      </c>
      <c r="C61" s="159"/>
      <c r="D61" s="160">
        <f>'4月'!D61</f>
        <v>0</v>
      </c>
      <c r="E61" s="161"/>
      <c r="F61" s="161"/>
      <c r="G61" s="161"/>
      <c r="H61" s="161"/>
      <c r="I61" s="162"/>
      <c r="J61" s="126">
        <f>'4月'!手当１金額</f>
        <v>0</v>
      </c>
      <c r="K61" s="127"/>
      <c r="L61" s="128"/>
      <c r="M61" s="4"/>
      <c r="N61" s="115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7"/>
      <c r="AB61" t="s">
        <v>232</v>
      </c>
      <c r="AC61" t="s">
        <v>235</v>
      </c>
    </row>
    <row r="62" spans="1:34" ht="14.15" customHeight="1" x14ac:dyDescent="0.2">
      <c r="A62" s="157"/>
      <c r="B62" s="163" t="s">
        <v>183</v>
      </c>
      <c r="C62" s="120"/>
      <c r="D62" s="133"/>
      <c r="E62" s="134"/>
      <c r="F62" s="134"/>
      <c r="G62" s="134"/>
      <c r="H62" s="134"/>
      <c r="I62" s="135"/>
      <c r="J62" s="126"/>
      <c r="K62" s="127"/>
      <c r="L62" s="128"/>
      <c r="M62" s="4"/>
      <c r="N62" s="115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7"/>
      <c r="AB62" t="s">
        <v>239</v>
      </c>
      <c r="AC62" t="s">
        <v>236</v>
      </c>
    </row>
    <row r="63" spans="1:34" ht="14.15" customHeight="1" x14ac:dyDescent="0.2">
      <c r="A63" s="157"/>
      <c r="B63" s="164"/>
      <c r="C63" s="165"/>
      <c r="D63" s="133"/>
      <c r="E63" s="134"/>
      <c r="F63" s="134"/>
      <c r="G63" s="134"/>
      <c r="H63" s="134"/>
      <c r="I63" s="135"/>
      <c r="J63" s="126"/>
      <c r="K63" s="127"/>
      <c r="L63" s="128"/>
      <c r="M63" s="4"/>
      <c r="N63" s="115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7"/>
      <c r="AB63" t="s">
        <v>245</v>
      </c>
      <c r="AC63" t="s">
        <v>249</v>
      </c>
    </row>
    <row r="64" spans="1:34" ht="14.15" customHeight="1" x14ac:dyDescent="0.2">
      <c r="A64" s="157"/>
      <c r="B64" s="166"/>
      <c r="C64" s="123"/>
      <c r="D64" s="133"/>
      <c r="E64" s="134"/>
      <c r="F64" s="134"/>
      <c r="G64" s="134"/>
      <c r="H64" s="134"/>
      <c r="I64" s="135"/>
      <c r="J64" s="126"/>
      <c r="K64" s="127"/>
      <c r="L64" s="128"/>
      <c r="M64" s="4"/>
      <c r="N64" s="115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7"/>
      <c r="AB64" t="s">
        <v>247</v>
      </c>
      <c r="AC64" t="s">
        <v>237</v>
      </c>
    </row>
    <row r="65" spans="1:29" ht="14.15" customHeight="1" x14ac:dyDescent="0.2">
      <c r="A65" s="136" t="s">
        <v>28</v>
      </c>
      <c r="B65" s="137"/>
      <c r="C65" s="137"/>
      <c r="D65" s="137"/>
      <c r="E65" s="137"/>
      <c r="F65" s="137"/>
      <c r="G65" s="137"/>
      <c r="H65" s="137"/>
      <c r="I65" s="138"/>
      <c r="J65" s="139" t="e">
        <f ca="1">J60+SUM(J62:L64)</f>
        <v>#DIV/0!</v>
      </c>
      <c r="K65" s="140"/>
      <c r="L65" s="141"/>
      <c r="M65" s="4"/>
      <c r="N65" s="142" t="str">
        <f>+IF('4月'!J66=0," ※前月の通勤費がゼロのため通勤交通費が表示されない","")</f>
        <v xml:space="preserve"> ※前月の通勤費がゼロのため通勤交通費が表示されない</v>
      </c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4"/>
    </row>
    <row r="66" spans="1:29" ht="14.15" customHeight="1" x14ac:dyDescent="0.2">
      <c r="A66" s="132" t="s">
        <v>169</v>
      </c>
      <c r="B66" s="124"/>
      <c r="C66" s="124"/>
      <c r="D66" s="124"/>
      <c r="E66" s="124"/>
      <c r="F66" s="124"/>
      <c r="G66" s="124"/>
      <c r="H66" s="124"/>
      <c r="I66" s="125"/>
      <c r="J66" s="126">
        <f>+'6月'!$J$66</f>
        <v>0</v>
      </c>
      <c r="K66" s="127"/>
      <c r="L66" s="128"/>
      <c r="M66" s="4"/>
      <c r="N66" s="115" t="str">
        <f>+IF(C51=0," ※出勤がないため通勤交通費の支給は無し","")</f>
        <v xml:space="preserve"> ※出勤がないため通勤交通費の支給は無し</v>
      </c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7"/>
      <c r="AB66" t="s">
        <v>246</v>
      </c>
      <c r="AC66" t="s">
        <v>253</v>
      </c>
    </row>
    <row r="67" spans="1:29" ht="14.15" customHeight="1" x14ac:dyDescent="0.2">
      <c r="A67" s="132" t="s">
        <v>141</v>
      </c>
      <c r="B67" s="124"/>
      <c r="C67" s="125"/>
      <c r="D67" s="124" t="s">
        <v>138</v>
      </c>
      <c r="E67" s="124"/>
      <c r="F67" s="124"/>
      <c r="G67" s="124"/>
      <c r="H67" s="124"/>
      <c r="I67" s="125"/>
      <c r="J67" s="126">
        <v>0</v>
      </c>
      <c r="K67" s="127"/>
      <c r="L67" s="128"/>
      <c r="N67" s="115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7"/>
      <c r="AB67" t="s">
        <v>248</v>
      </c>
      <c r="AC67" t="s">
        <v>254</v>
      </c>
    </row>
    <row r="68" spans="1:29" ht="14.15" customHeight="1" x14ac:dyDescent="0.2">
      <c r="A68" s="118" t="s">
        <v>140</v>
      </c>
      <c r="B68" s="119"/>
      <c r="C68" s="120"/>
      <c r="D68" s="124" t="s">
        <v>138</v>
      </c>
      <c r="E68" s="124"/>
      <c r="F68" s="124"/>
      <c r="G68" s="124"/>
      <c r="H68" s="124"/>
      <c r="I68" s="125"/>
      <c r="J68" s="126">
        <v>0</v>
      </c>
      <c r="K68" s="127"/>
      <c r="L68" s="128"/>
      <c r="N68" s="115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7"/>
    </row>
    <row r="69" spans="1:29" ht="13.5" customHeight="1" x14ac:dyDescent="0.2">
      <c r="A69" s="121"/>
      <c r="B69" s="122"/>
      <c r="C69" s="123"/>
      <c r="D69" s="124" t="s">
        <v>139</v>
      </c>
      <c r="E69" s="124"/>
      <c r="F69" s="124"/>
      <c r="G69" s="124"/>
      <c r="H69" s="124"/>
      <c r="I69" s="125"/>
      <c r="J69" s="129"/>
      <c r="K69" s="130"/>
      <c r="L69" s="131"/>
      <c r="N69" s="115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7"/>
      <c r="AB69" t="s">
        <v>240</v>
      </c>
      <c r="AC69" t="s">
        <v>233</v>
      </c>
    </row>
    <row r="70" spans="1:29" ht="14.15" customHeight="1" thickBot="1" x14ac:dyDescent="0.25">
      <c r="A70" s="109" t="s">
        <v>31</v>
      </c>
      <c r="B70" s="110"/>
      <c r="C70" s="110"/>
      <c r="D70" s="110"/>
      <c r="E70" s="110"/>
      <c r="F70" s="110"/>
      <c r="G70" s="110"/>
      <c r="H70" s="110"/>
      <c r="I70" s="111"/>
      <c r="J70" s="112" t="e">
        <f ca="1">SUM(J65:L69)</f>
        <v>#DIV/0!</v>
      </c>
      <c r="K70" s="113"/>
      <c r="L70" s="114"/>
      <c r="N70" s="115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7"/>
      <c r="AB70" t="s">
        <v>242</v>
      </c>
      <c r="AC70" t="s">
        <v>241</v>
      </c>
    </row>
    <row r="71" spans="1:29" ht="13.5" thickTop="1" x14ac:dyDescent="0.2">
      <c r="T71">
        <v>0</v>
      </c>
      <c r="AB71" t="s">
        <v>230</v>
      </c>
      <c r="AC71" t="s">
        <v>231</v>
      </c>
    </row>
    <row r="73" spans="1:29" x14ac:dyDescent="0.2">
      <c r="AB73" t="s">
        <v>228</v>
      </c>
    </row>
    <row r="74" spans="1:29" x14ac:dyDescent="0.2">
      <c r="AB74" t="s">
        <v>232</v>
      </c>
      <c r="AC74" t="s">
        <v>234</v>
      </c>
    </row>
    <row r="75" spans="1:29" x14ac:dyDescent="0.2">
      <c r="AB75" t="s">
        <v>239</v>
      </c>
      <c r="AC75" t="s">
        <v>238</v>
      </c>
    </row>
    <row r="76" spans="1:29" x14ac:dyDescent="0.2">
      <c r="AB76" t="s">
        <v>245</v>
      </c>
      <c r="AC76" t="s">
        <v>250</v>
      </c>
    </row>
    <row r="79" spans="1:29" x14ac:dyDescent="0.2">
      <c r="AB79" t="s">
        <v>246</v>
      </c>
      <c r="AC79" t="s">
        <v>251</v>
      </c>
    </row>
    <row r="80" spans="1:29" x14ac:dyDescent="0.2">
      <c r="AB80" t="s">
        <v>248</v>
      </c>
      <c r="AC80" t="s">
        <v>252</v>
      </c>
    </row>
    <row r="82" spans="28:29" x14ac:dyDescent="0.2">
      <c r="AB82" t="s">
        <v>240</v>
      </c>
      <c r="AC82" t="s">
        <v>243</v>
      </c>
    </row>
    <row r="83" spans="28:29" x14ac:dyDescent="0.2">
      <c r="AB83" t="s">
        <v>242</v>
      </c>
      <c r="AC83" t="s">
        <v>244</v>
      </c>
    </row>
  </sheetData>
  <dataConsolidate/>
  <mergeCells count="534">
    <mergeCell ref="T9:Z9"/>
    <mergeCell ref="A10:B11"/>
    <mergeCell ref="C10:J11"/>
    <mergeCell ref="T10:Z10"/>
    <mergeCell ref="Y2:Z2"/>
    <mergeCell ref="A3:Z4"/>
    <mergeCell ref="A5:D5"/>
    <mergeCell ref="E5:I6"/>
    <mergeCell ref="A6:D6"/>
    <mergeCell ref="P7:Z7"/>
    <mergeCell ref="N7:O7"/>
    <mergeCell ref="A12:B13"/>
    <mergeCell ref="C12:J13"/>
    <mergeCell ref="A15:B16"/>
    <mergeCell ref="C15:C16"/>
    <mergeCell ref="D15:G15"/>
    <mergeCell ref="H15:I16"/>
    <mergeCell ref="J15:K16"/>
    <mergeCell ref="A8:B9"/>
    <mergeCell ref="C8:J9"/>
    <mergeCell ref="A17:B17"/>
    <mergeCell ref="D17:E17"/>
    <mergeCell ref="F17:G17"/>
    <mergeCell ref="H17:I17"/>
    <mergeCell ref="J17:K17"/>
    <mergeCell ref="L17:M17"/>
    <mergeCell ref="L15:M16"/>
    <mergeCell ref="N15:O16"/>
    <mergeCell ref="P15:Q16"/>
    <mergeCell ref="N17:O17"/>
    <mergeCell ref="P17:Q17"/>
    <mergeCell ref="R17:S17"/>
    <mergeCell ref="T17:U17"/>
    <mergeCell ref="V17:W17"/>
    <mergeCell ref="X17:Z17"/>
    <mergeCell ref="X15:Z16"/>
    <mergeCell ref="AA15:AA16"/>
    <mergeCell ref="D16:E16"/>
    <mergeCell ref="F16:G16"/>
    <mergeCell ref="R15:S16"/>
    <mergeCell ref="T15:U16"/>
    <mergeCell ref="V15:W16"/>
    <mergeCell ref="N18:O18"/>
    <mergeCell ref="P18:Q18"/>
    <mergeCell ref="R18:S18"/>
    <mergeCell ref="T18:U18"/>
    <mergeCell ref="V18:W18"/>
    <mergeCell ref="X18:Z18"/>
    <mergeCell ref="A18:B18"/>
    <mergeCell ref="D18:E18"/>
    <mergeCell ref="F18:G18"/>
    <mergeCell ref="H18:I18"/>
    <mergeCell ref="J18:K18"/>
    <mergeCell ref="L18:M18"/>
    <mergeCell ref="N19:O19"/>
    <mergeCell ref="P19:Q19"/>
    <mergeCell ref="R19:S19"/>
    <mergeCell ref="T19:U19"/>
    <mergeCell ref="V19:W19"/>
    <mergeCell ref="X19:Z19"/>
    <mergeCell ref="A19:B19"/>
    <mergeCell ref="D19:E19"/>
    <mergeCell ref="F19:G19"/>
    <mergeCell ref="H19:I19"/>
    <mergeCell ref="J19:K19"/>
    <mergeCell ref="L19:M19"/>
    <mergeCell ref="N20:O20"/>
    <mergeCell ref="P20:Q20"/>
    <mergeCell ref="R20:S20"/>
    <mergeCell ref="T20:U20"/>
    <mergeCell ref="V20:W20"/>
    <mergeCell ref="X20:Z20"/>
    <mergeCell ref="A20:B20"/>
    <mergeCell ref="D20:E20"/>
    <mergeCell ref="F20:G20"/>
    <mergeCell ref="H20:I20"/>
    <mergeCell ref="J20:K20"/>
    <mergeCell ref="L20:M20"/>
    <mergeCell ref="N21:O21"/>
    <mergeCell ref="P21:Q21"/>
    <mergeCell ref="R21:S21"/>
    <mergeCell ref="T21:U21"/>
    <mergeCell ref="V21:W21"/>
    <mergeCell ref="X21:Z21"/>
    <mergeCell ref="A21:B21"/>
    <mergeCell ref="D21:E21"/>
    <mergeCell ref="F21:G21"/>
    <mergeCell ref="H21:I21"/>
    <mergeCell ref="J21:K21"/>
    <mergeCell ref="L21:M21"/>
    <mergeCell ref="N22:O22"/>
    <mergeCell ref="P22:Q22"/>
    <mergeCell ref="R22:S22"/>
    <mergeCell ref="T22:U22"/>
    <mergeCell ref="V22:W22"/>
    <mergeCell ref="X22:Z22"/>
    <mergeCell ref="A22:B22"/>
    <mergeCell ref="D22:E22"/>
    <mergeCell ref="F22:G22"/>
    <mergeCell ref="H22:I22"/>
    <mergeCell ref="J22:K22"/>
    <mergeCell ref="L22:M22"/>
    <mergeCell ref="N23:O23"/>
    <mergeCell ref="P23:Q23"/>
    <mergeCell ref="R23:S23"/>
    <mergeCell ref="T23:U23"/>
    <mergeCell ref="V23:W23"/>
    <mergeCell ref="X23:Z23"/>
    <mergeCell ref="A23:B23"/>
    <mergeCell ref="D23:E23"/>
    <mergeCell ref="F23:G23"/>
    <mergeCell ref="H23:I23"/>
    <mergeCell ref="J23:K23"/>
    <mergeCell ref="L23:M23"/>
    <mergeCell ref="N24:O24"/>
    <mergeCell ref="P24:Q24"/>
    <mergeCell ref="R24:S24"/>
    <mergeCell ref="T24:U24"/>
    <mergeCell ref="V24:W24"/>
    <mergeCell ref="X24:Z24"/>
    <mergeCell ref="A24:B24"/>
    <mergeCell ref="D24:E24"/>
    <mergeCell ref="F24:G24"/>
    <mergeCell ref="H24:I24"/>
    <mergeCell ref="J24:K24"/>
    <mergeCell ref="L24:M24"/>
    <mergeCell ref="N25:O25"/>
    <mergeCell ref="P25:Q25"/>
    <mergeCell ref="R25:S25"/>
    <mergeCell ref="T25:U25"/>
    <mergeCell ref="V25:W25"/>
    <mergeCell ref="X25:Z25"/>
    <mergeCell ref="A25:B25"/>
    <mergeCell ref="D25:E25"/>
    <mergeCell ref="F25:G25"/>
    <mergeCell ref="H25:I25"/>
    <mergeCell ref="J25:K25"/>
    <mergeCell ref="L25:M25"/>
    <mergeCell ref="N26:O26"/>
    <mergeCell ref="P26:Q26"/>
    <mergeCell ref="R26:S26"/>
    <mergeCell ref="T26:U26"/>
    <mergeCell ref="V26:W26"/>
    <mergeCell ref="X26:Z26"/>
    <mergeCell ref="A26:B26"/>
    <mergeCell ref="D26:E26"/>
    <mergeCell ref="F26:G26"/>
    <mergeCell ref="H26:I26"/>
    <mergeCell ref="J26:K26"/>
    <mergeCell ref="L26:M26"/>
    <mergeCell ref="N27:O27"/>
    <mergeCell ref="P27:Q27"/>
    <mergeCell ref="R27:S27"/>
    <mergeCell ref="T27:U27"/>
    <mergeCell ref="V27:W27"/>
    <mergeCell ref="X27:Z27"/>
    <mergeCell ref="A27:B27"/>
    <mergeCell ref="D27:E27"/>
    <mergeCell ref="F27:G27"/>
    <mergeCell ref="H27:I27"/>
    <mergeCell ref="J27:K27"/>
    <mergeCell ref="L27:M27"/>
    <mergeCell ref="N28:O28"/>
    <mergeCell ref="P28:Q28"/>
    <mergeCell ref="R28:S28"/>
    <mergeCell ref="T28:U28"/>
    <mergeCell ref="V28:W28"/>
    <mergeCell ref="X28:Z28"/>
    <mergeCell ref="A28:B28"/>
    <mergeCell ref="D28:E28"/>
    <mergeCell ref="F28:G28"/>
    <mergeCell ref="H28:I28"/>
    <mergeCell ref="J28:K28"/>
    <mergeCell ref="L28:M28"/>
    <mergeCell ref="N29:O29"/>
    <mergeCell ref="P29:Q29"/>
    <mergeCell ref="R29:S29"/>
    <mergeCell ref="T29:U29"/>
    <mergeCell ref="V29:W29"/>
    <mergeCell ref="X29:Z29"/>
    <mergeCell ref="A29:B29"/>
    <mergeCell ref="D29:E29"/>
    <mergeCell ref="F29:G29"/>
    <mergeCell ref="H29:I29"/>
    <mergeCell ref="J29:K29"/>
    <mergeCell ref="L29:M29"/>
    <mergeCell ref="N30:O30"/>
    <mergeCell ref="P30:Q30"/>
    <mergeCell ref="R30:S30"/>
    <mergeCell ref="T30:U30"/>
    <mergeCell ref="V30:W30"/>
    <mergeCell ref="X30:Z30"/>
    <mergeCell ref="A30:B30"/>
    <mergeCell ref="D30:E30"/>
    <mergeCell ref="F30:G30"/>
    <mergeCell ref="H30:I30"/>
    <mergeCell ref="J30:K30"/>
    <mergeCell ref="L30:M30"/>
    <mergeCell ref="N31:O31"/>
    <mergeCell ref="P31:Q31"/>
    <mergeCell ref="R31:S31"/>
    <mergeCell ref="T31:U31"/>
    <mergeCell ref="V31:W31"/>
    <mergeCell ref="X31:Z31"/>
    <mergeCell ref="A31:B31"/>
    <mergeCell ref="D31:E31"/>
    <mergeCell ref="F31:G31"/>
    <mergeCell ref="H31:I31"/>
    <mergeCell ref="J31:K31"/>
    <mergeCell ref="L31:M31"/>
    <mergeCell ref="N32:O32"/>
    <mergeCell ref="P32:Q32"/>
    <mergeCell ref="R32:S32"/>
    <mergeCell ref="T32:U32"/>
    <mergeCell ref="V32:W32"/>
    <mergeCell ref="X32:Z32"/>
    <mergeCell ref="A32:B32"/>
    <mergeCell ref="D32:E32"/>
    <mergeCell ref="F32:G32"/>
    <mergeCell ref="H32:I32"/>
    <mergeCell ref="J32:K32"/>
    <mergeCell ref="L32:M32"/>
    <mergeCell ref="N33:O33"/>
    <mergeCell ref="P33:Q33"/>
    <mergeCell ref="R33:S33"/>
    <mergeCell ref="T33:U33"/>
    <mergeCell ref="V33:W33"/>
    <mergeCell ref="X33:Z33"/>
    <mergeCell ref="A33:B33"/>
    <mergeCell ref="D33:E33"/>
    <mergeCell ref="F33:G33"/>
    <mergeCell ref="H33:I33"/>
    <mergeCell ref="J33:K33"/>
    <mergeCell ref="L33:M33"/>
    <mergeCell ref="N34:O34"/>
    <mergeCell ref="P34:Q34"/>
    <mergeCell ref="R34:S34"/>
    <mergeCell ref="T34:U34"/>
    <mergeCell ref="V34:W34"/>
    <mergeCell ref="X34:Z34"/>
    <mergeCell ref="A34:B34"/>
    <mergeCell ref="D34:E34"/>
    <mergeCell ref="F34:G34"/>
    <mergeCell ref="H34:I34"/>
    <mergeCell ref="J34:K34"/>
    <mergeCell ref="L34:M34"/>
    <mergeCell ref="N35:O35"/>
    <mergeCell ref="P35:Q35"/>
    <mergeCell ref="R35:S35"/>
    <mergeCell ref="T35:U35"/>
    <mergeCell ref="V35:W35"/>
    <mergeCell ref="X35:Z35"/>
    <mergeCell ref="A35:B35"/>
    <mergeCell ref="D35:E35"/>
    <mergeCell ref="F35:G35"/>
    <mergeCell ref="H35:I35"/>
    <mergeCell ref="J35:K35"/>
    <mergeCell ref="L35:M35"/>
    <mergeCell ref="N36:O36"/>
    <mergeCell ref="P36:Q36"/>
    <mergeCell ref="R36:S36"/>
    <mergeCell ref="T36:U36"/>
    <mergeCell ref="V36:W36"/>
    <mergeCell ref="X36:Z36"/>
    <mergeCell ref="A36:B36"/>
    <mergeCell ref="D36:E36"/>
    <mergeCell ref="F36:G36"/>
    <mergeCell ref="H36:I36"/>
    <mergeCell ref="J36:K36"/>
    <mergeCell ref="L36:M36"/>
    <mergeCell ref="N37:O37"/>
    <mergeCell ref="P37:Q37"/>
    <mergeCell ref="R37:S37"/>
    <mergeCell ref="T37:U37"/>
    <mergeCell ref="V37:W37"/>
    <mergeCell ref="X37:Z37"/>
    <mergeCell ref="A37:B37"/>
    <mergeCell ref="D37:E37"/>
    <mergeCell ref="F37:G37"/>
    <mergeCell ref="H37:I37"/>
    <mergeCell ref="J37:K37"/>
    <mergeCell ref="L37:M37"/>
    <mergeCell ref="N38:O38"/>
    <mergeCell ref="P38:Q38"/>
    <mergeCell ref="R38:S38"/>
    <mergeCell ref="T38:U38"/>
    <mergeCell ref="V38:W38"/>
    <mergeCell ref="X38:Z38"/>
    <mergeCell ref="A38:B38"/>
    <mergeCell ref="D38:E38"/>
    <mergeCell ref="F38:G38"/>
    <mergeCell ref="H38:I38"/>
    <mergeCell ref="J38:K38"/>
    <mergeCell ref="L38:M38"/>
    <mergeCell ref="N39:O39"/>
    <mergeCell ref="P39:Q39"/>
    <mergeCell ref="R39:S39"/>
    <mergeCell ref="T39:U39"/>
    <mergeCell ref="V39:W39"/>
    <mergeCell ref="X39:Z39"/>
    <mergeCell ref="A39:B39"/>
    <mergeCell ref="D39:E39"/>
    <mergeCell ref="F39:G39"/>
    <mergeCell ref="H39:I39"/>
    <mergeCell ref="J39:K39"/>
    <mergeCell ref="L39:M39"/>
    <mergeCell ref="N40:O40"/>
    <mergeCell ref="P40:Q40"/>
    <mergeCell ref="R40:S40"/>
    <mergeCell ref="T40:U40"/>
    <mergeCell ref="V40:W40"/>
    <mergeCell ref="X40:Z40"/>
    <mergeCell ref="A40:B40"/>
    <mergeCell ref="D40:E40"/>
    <mergeCell ref="F40:G40"/>
    <mergeCell ref="H40:I40"/>
    <mergeCell ref="J40:K40"/>
    <mergeCell ref="L40:M40"/>
    <mergeCell ref="N41:O41"/>
    <mergeCell ref="P41:Q41"/>
    <mergeCell ref="R41:S41"/>
    <mergeCell ref="T41:U41"/>
    <mergeCell ref="V41:W41"/>
    <mergeCell ref="X41:Z41"/>
    <mergeCell ref="A41:B41"/>
    <mergeCell ref="D41:E41"/>
    <mergeCell ref="F41:G41"/>
    <mergeCell ref="H41:I41"/>
    <mergeCell ref="J41:K41"/>
    <mergeCell ref="L41:M41"/>
    <mergeCell ref="N42:O42"/>
    <mergeCell ref="P42:Q42"/>
    <mergeCell ref="R42:S42"/>
    <mergeCell ref="T42:U42"/>
    <mergeCell ref="V42:W42"/>
    <mergeCell ref="X42:Z42"/>
    <mergeCell ref="A42:B42"/>
    <mergeCell ref="D42:E42"/>
    <mergeCell ref="F42:G42"/>
    <mergeCell ref="H42:I42"/>
    <mergeCell ref="J42:K42"/>
    <mergeCell ref="L42:M42"/>
    <mergeCell ref="N43:O43"/>
    <mergeCell ref="P43:Q43"/>
    <mergeCell ref="R43:S43"/>
    <mergeCell ref="T43:U43"/>
    <mergeCell ref="V43:W43"/>
    <mergeCell ref="X43:Z43"/>
    <mergeCell ref="A43:B43"/>
    <mergeCell ref="D43:E43"/>
    <mergeCell ref="F43:G43"/>
    <mergeCell ref="H43:I43"/>
    <mergeCell ref="J43:K43"/>
    <mergeCell ref="L43:M43"/>
    <mergeCell ref="N44:O44"/>
    <mergeCell ref="P44:Q44"/>
    <mergeCell ref="R44:S44"/>
    <mergeCell ref="T44:U44"/>
    <mergeCell ref="V44:W44"/>
    <mergeCell ref="X44:Z44"/>
    <mergeCell ref="A44:B44"/>
    <mergeCell ref="D44:E44"/>
    <mergeCell ref="F44:G44"/>
    <mergeCell ref="H44:I44"/>
    <mergeCell ref="J44:K44"/>
    <mergeCell ref="L44:M44"/>
    <mergeCell ref="N45:O45"/>
    <mergeCell ref="P45:Q45"/>
    <mergeCell ref="R45:S45"/>
    <mergeCell ref="T45:U45"/>
    <mergeCell ref="V45:W45"/>
    <mergeCell ref="X45:Z45"/>
    <mergeCell ref="A45:B45"/>
    <mergeCell ref="D45:E45"/>
    <mergeCell ref="F45:G45"/>
    <mergeCell ref="H45:I45"/>
    <mergeCell ref="J45:K45"/>
    <mergeCell ref="L45:M45"/>
    <mergeCell ref="N46:O46"/>
    <mergeCell ref="P46:Q46"/>
    <mergeCell ref="R46:S46"/>
    <mergeCell ref="T46:U46"/>
    <mergeCell ref="V46:W46"/>
    <mergeCell ref="X46:Z46"/>
    <mergeCell ref="A46:B46"/>
    <mergeCell ref="D46:E46"/>
    <mergeCell ref="F46:G46"/>
    <mergeCell ref="H46:I46"/>
    <mergeCell ref="J46:K46"/>
    <mergeCell ref="L46:M46"/>
    <mergeCell ref="N47:O47"/>
    <mergeCell ref="P47:Q47"/>
    <mergeCell ref="R47:S47"/>
    <mergeCell ref="T47:U47"/>
    <mergeCell ref="V47:W47"/>
    <mergeCell ref="X47:Z47"/>
    <mergeCell ref="A47:B47"/>
    <mergeCell ref="D47:E47"/>
    <mergeCell ref="F47:G47"/>
    <mergeCell ref="H47:I47"/>
    <mergeCell ref="J47:K47"/>
    <mergeCell ref="L47:M47"/>
    <mergeCell ref="N48:O48"/>
    <mergeCell ref="P48:Q48"/>
    <mergeCell ref="R48:S48"/>
    <mergeCell ref="T48:U48"/>
    <mergeCell ref="V48:W48"/>
    <mergeCell ref="X48:Z48"/>
    <mergeCell ref="A48:B48"/>
    <mergeCell ref="D48:E48"/>
    <mergeCell ref="F48:G48"/>
    <mergeCell ref="H48:I48"/>
    <mergeCell ref="J48:K48"/>
    <mergeCell ref="L48:M48"/>
    <mergeCell ref="Y52:Z52"/>
    <mergeCell ref="A52:E52"/>
    <mergeCell ref="F52:H52"/>
    <mergeCell ref="I52:J52"/>
    <mergeCell ref="V49:W49"/>
    <mergeCell ref="X49:Z49"/>
    <mergeCell ref="A50:K50"/>
    <mergeCell ref="L50:M50"/>
    <mergeCell ref="N50:O50"/>
    <mergeCell ref="P50:Q50"/>
    <mergeCell ref="R50:S50"/>
    <mergeCell ref="T50:U50"/>
    <mergeCell ref="V50:W50"/>
    <mergeCell ref="X50:Z50"/>
    <mergeCell ref="A49:K49"/>
    <mergeCell ref="L49:M49"/>
    <mergeCell ref="N49:O49"/>
    <mergeCell ref="P49:Q49"/>
    <mergeCell ref="R49:S49"/>
    <mergeCell ref="T49:U49"/>
    <mergeCell ref="K52:L52"/>
    <mergeCell ref="M52:N52"/>
    <mergeCell ref="O52:P52"/>
    <mergeCell ref="Q52:R52"/>
    <mergeCell ref="AE50:AF50"/>
    <mergeCell ref="A51:B51"/>
    <mergeCell ref="C51:D51"/>
    <mergeCell ref="E51:F51"/>
    <mergeCell ref="G51:H51"/>
    <mergeCell ref="I51:J51"/>
    <mergeCell ref="K51:L51"/>
    <mergeCell ref="M51:N51"/>
    <mergeCell ref="O51:P51"/>
    <mergeCell ref="Q51:R51"/>
    <mergeCell ref="S51:T51"/>
    <mergeCell ref="U51:V51"/>
    <mergeCell ref="W51:X51"/>
    <mergeCell ref="Y51:Z51"/>
    <mergeCell ref="Q56:T56"/>
    <mergeCell ref="Y53:Z53"/>
    <mergeCell ref="Y54:Z54"/>
    <mergeCell ref="A55:C55"/>
    <mergeCell ref="D55:E55"/>
    <mergeCell ref="G55:H55"/>
    <mergeCell ref="J55:L55"/>
    <mergeCell ref="N55:P55"/>
    <mergeCell ref="Q55:T55"/>
    <mergeCell ref="A54:C54"/>
    <mergeCell ref="D54:E54"/>
    <mergeCell ref="G54:H54"/>
    <mergeCell ref="J54:L54"/>
    <mergeCell ref="N54:P54"/>
    <mergeCell ref="Q54:T54"/>
    <mergeCell ref="A53:C53"/>
    <mergeCell ref="D53:E53"/>
    <mergeCell ref="G53:H53"/>
    <mergeCell ref="J53:L53"/>
    <mergeCell ref="S52:T52"/>
    <mergeCell ref="U52:V52"/>
    <mergeCell ref="W52:X52"/>
    <mergeCell ref="A58:C58"/>
    <mergeCell ref="D58:E58"/>
    <mergeCell ref="G58:H58"/>
    <mergeCell ref="J58:L58"/>
    <mergeCell ref="N58:Z58"/>
    <mergeCell ref="A59:C59"/>
    <mergeCell ref="D59:E59"/>
    <mergeCell ref="G59:H59"/>
    <mergeCell ref="J59:L59"/>
    <mergeCell ref="N59:Z59"/>
    <mergeCell ref="A57:C57"/>
    <mergeCell ref="D57:E57"/>
    <mergeCell ref="G57:H57"/>
    <mergeCell ref="J57:L57"/>
    <mergeCell ref="N57:O57"/>
    <mergeCell ref="P57:W57"/>
    <mergeCell ref="A56:C56"/>
    <mergeCell ref="D56:E56"/>
    <mergeCell ref="G56:H56"/>
    <mergeCell ref="J56:L56"/>
    <mergeCell ref="N56:P56"/>
    <mergeCell ref="D62:I62"/>
    <mergeCell ref="J62:L62"/>
    <mergeCell ref="N62:Z62"/>
    <mergeCell ref="D63:I63"/>
    <mergeCell ref="J63:L63"/>
    <mergeCell ref="N63:Z63"/>
    <mergeCell ref="A60:C60"/>
    <mergeCell ref="D60:I60"/>
    <mergeCell ref="J60:L60"/>
    <mergeCell ref="N60:Z60"/>
    <mergeCell ref="A61:A64"/>
    <mergeCell ref="B61:C61"/>
    <mergeCell ref="D61:I61"/>
    <mergeCell ref="J61:L61"/>
    <mergeCell ref="N61:Z61"/>
    <mergeCell ref="B62:C64"/>
    <mergeCell ref="A66:I66"/>
    <mergeCell ref="J66:L66"/>
    <mergeCell ref="N66:Z66"/>
    <mergeCell ref="A67:C67"/>
    <mergeCell ref="D67:I67"/>
    <mergeCell ref="J67:L67"/>
    <mergeCell ref="N67:Z67"/>
    <mergeCell ref="D64:I64"/>
    <mergeCell ref="J64:L64"/>
    <mergeCell ref="N64:Z64"/>
    <mergeCell ref="A65:I65"/>
    <mergeCell ref="J65:L65"/>
    <mergeCell ref="N65:Z65"/>
    <mergeCell ref="A70:I70"/>
    <mergeCell ref="J70:L70"/>
    <mergeCell ref="N70:Z70"/>
    <mergeCell ref="A68:C69"/>
    <mergeCell ref="D68:I68"/>
    <mergeCell ref="J68:L68"/>
    <mergeCell ref="N68:Z68"/>
    <mergeCell ref="D69:I69"/>
    <mergeCell ref="J69:L69"/>
    <mergeCell ref="N69:Z69"/>
  </mergeCells>
  <phoneticPr fontId="3"/>
  <conditionalFormatting sqref="A17:AA47">
    <cfRule type="expression" dxfId="1257" priority="314" stopIfTrue="1">
      <formula>$X17="所休"</formula>
    </cfRule>
    <cfRule type="expression" dxfId="1256" priority="313">
      <formula>$X17="法休"</formula>
    </cfRule>
  </conditionalFormatting>
  <conditionalFormatting sqref="J17:K17">
    <cfRule type="cellIs" dxfId="1255" priority="312" stopIfTrue="1" operator="equal">
      <formula>0</formula>
    </cfRule>
  </conditionalFormatting>
  <conditionalFormatting sqref="L17:M17">
    <cfRule type="cellIs" dxfId="1254" priority="311" stopIfTrue="1" operator="equal">
      <formula>0</formula>
    </cfRule>
  </conditionalFormatting>
  <conditionalFormatting sqref="N17:O17">
    <cfRule type="cellIs" dxfId="1253" priority="310" stopIfTrue="1" operator="equal">
      <formula>0</formula>
    </cfRule>
  </conditionalFormatting>
  <conditionalFormatting sqref="P17:Q17">
    <cfRule type="cellIs" dxfId="1252" priority="309" stopIfTrue="1" operator="equal">
      <formula>0</formula>
    </cfRule>
  </conditionalFormatting>
  <conditionalFormatting sqref="R17:S17">
    <cfRule type="cellIs" dxfId="1251" priority="308" stopIfTrue="1" operator="equal">
      <formula>0</formula>
    </cfRule>
  </conditionalFormatting>
  <conditionalFormatting sqref="T17:U17">
    <cfRule type="cellIs" dxfId="1250" priority="307" stopIfTrue="1" operator="equal">
      <formula>0</formula>
    </cfRule>
  </conditionalFormatting>
  <conditionalFormatting sqref="V17:W17">
    <cfRule type="cellIs" dxfId="1249" priority="306" stopIfTrue="1" operator="equal">
      <formula>0</formula>
    </cfRule>
  </conditionalFormatting>
  <conditionalFormatting sqref="J18:K18">
    <cfRule type="cellIs" dxfId="1248" priority="305" stopIfTrue="1" operator="equal">
      <formula>0</formula>
    </cfRule>
  </conditionalFormatting>
  <conditionalFormatting sqref="L18:M18">
    <cfRule type="cellIs" dxfId="1247" priority="304" stopIfTrue="1" operator="equal">
      <formula>0</formula>
    </cfRule>
  </conditionalFormatting>
  <conditionalFormatting sqref="N18:O18">
    <cfRule type="cellIs" dxfId="1246" priority="303" stopIfTrue="1" operator="equal">
      <formula>0</formula>
    </cfRule>
  </conditionalFormatting>
  <conditionalFormatting sqref="P18:Q18">
    <cfRule type="cellIs" dxfId="1245" priority="302" stopIfTrue="1" operator="equal">
      <formula>0</formula>
    </cfRule>
  </conditionalFormatting>
  <conditionalFormatting sqref="R18:S18">
    <cfRule type="cellIs" dxfId="1244" priority="301" stopIfTrue="1" operator="equal">
      <formula>0</formula>
    </cfRule>
  </conditionalFormatting>
  <conditionalFormatting sqref="T18:U18">
    <cfRule type="cellIs" dxfId="1243" priority="300" stopIfTrue="1" operator="equal">
      <formula>0</formula>
    </cfRule>
  </conditionalFormatting>
  <conditionalFormatting sqref="V18:W18">
    <cfRule type="cellIs" dxfId="1242" priority="299" stopIfTrue="1" operator="equal">
      <formula>0</formula>
    </cfRule>
  </conditionalFormatting>
  <conditionalFormatting sqref="J19:K19">
    <cfRule type="cellIs" dxfId="1241" priority="298" stopIfTrue="1" operator="equal">
      <formula>0</formula>
    </cfRule>
  </conditionalFormatting>
  <conditionalFormatting sqref="L19:M19">
    <cfRule type="cellIs" dxfId="1240" priority="297" stopIfTrue="1" operator="equal">
      <formula>0</formula>
    </cfRule>
  </conditionalFormatting>
  <conditionalFormatting sqref="N19:O19">
    <cfRule type="cellIs" dxfId="1239" priority="296" stopIfTrue="1" operator="equal">
      <formula>0</formula>
    </cfRule>
  </conditionalFormatting>
  <conditionalFormatting sqref="P19:Q19">
    <cfRule type="cellIs" dxfId="1238" priority="295" stopIfTrue="1" operator="equal">
      <formula>0</formula>
    </cfRule>
  </conditionalFormatting>
  <conditionalFormatting sqref="R19:S19">
    <cfRule type="cellIs" dxfId="1237" priority="294" stopIfTrue="1" operator="equal">
      <formula>0</formula>
    </cfRule>
  </conditionalFormatting>
  <conditionalFormatting sqref="T19:U19">
    <cfRule type="cellIs" dxfId="1236" priority="293" stopIfTrue="1" operator="equal">
      <formula>0</formula>
    </cfRule>
  </conditionalFormatting>
  <conditionalFormatting sqref="V19:W19">
    <cfRule type="cellIs" dxfId="1235" priority="292" stopIfTrue="1" operator="equal">
      <formula>0</formula>
    </cfRule>
  </conditionalFormatting>
  <conditionalFormatting sqref="J20:K20">
    <cfRule type="cellIs" dxfId="1234" priority="291" stopIfTrue="1" operator="equal">
      <formula>0</formula>
    </cfRule>
  </conditionalFormatting>
  <conditionalFormatting sqref="L20:M20">
    <cfRule type="cellIs" dxfId="1233" priority="290" stopIfTrue="1" operator="equal">
      <formula>0</formula>
    </cfRule>
  </conditionalFormatting>
  <conditionalFormatting sqref="N20:O20">
    <cfRule type="cellIs" dxfId="1232" priority="289" stopIfTrue="1" operator="equal">
      <formula>0</formula>
    </cfRule>
  </conditionalFormatting>
  <conditionalFormatting sqref="P20:Q20">
    <cfRule type="cellIs" dxfId="1231" priority="288" stopIfTrue="1" operator="equal">
      <formula>0</formula>
    </cfRule>
  </conditionalFormatting>
  <conditionalFormatting sqref="R20:S20">
    <cfRule type="cellIs" dxfId="1230" priority="287" stopIfTrue="1" operator="equal">
      <formula>0</formula>
    </cfRule>
  </conditionalFormatting>
  <conditionalFormatting sqref="T20:U20">
    <cfRule type="cellIs" dxfId="1229" priority="286" stopIfTrue="1" operator="equal">
      <formula>0</formula>
    </cfRule>
  </conditionalFormatting>
  <conditionalFormatting sqref="V20:W20">
    <cfRule type="cellIs" dxfId="1228" priority="285" stopIfTrue="1" operator="equal">
      <formula>0</formula>
    </cfRule>
  </conditionalFormatting>
  <conditionalFormatting sqref="J21:K21">
    <cfRule type="cellIs" dxfId="1227" priority="284" stopIfTrue="1" operator="equal">
      <formula>0</formula>
    </cfRule>
  </conditionalFormatting>
  <conditionalFormatting sqref="L21:M21">
    <cfRule type="cellIs" dxfId="1226" priority="283" stopIfTrue="1" operator="equal">
      <formula>0</formula>
    </cfRule>
  </conditionalFormatting>
  <conditionalFormatting sqref="N21:O21">
    <cfRule type="cellIs" dxfId="1225" priority="282" stopIfTrue="1" operator="equal">
      <formula>0</formula>
    </cfRule>
  </conditionalFormatting>
  <conditionalFormatting sqref="P21:Q21">
    <cfRule type="cellIs" dxfId="1224" priority="281" stopIfTrue="1" operator="equal">
      <formula>0</formula>
    </cfRule>
  </conditionalFormatting>
  <conditionalFormatting sqref="R21:S21">
    <cfRule type="cellIs" dxfId="1223" priority="280" stopIfTrue="1" operator="equal">
      <formula>0</formula>
    </cfRule>
  </conditionalFormatting>
  <conditionalFormatting sqref="T21:U21">
    <cfRule type="cellIs" dxfId="1222" priority="279" stopIfTrue="1" operator="equal">
      <formula>0</formula>
    </cfRule>
  </conditionalFormatting>
  <conditionalFormatting sqref="V21:W21">
    <cfRule type="cellIs" dxfId="1221" priority="278" stopIfTrue="1" operator="equal">
      <formula>0</formula>
    </cfRule>
  </conditionalFormatting>
  <conditionalFormatting sqref="J22:K22">
    <cfRule type="cellIs" dxfId="1220" priority="277" stopIfTrue="1" operator="equal">
      <formula>0</formula>
    </cfRule>
  </conditionalFormatting>
  <conditionalFormatting sqref="L22:M22">
    <cfRule type="cellIs" dxfId="1219" priority="276" stopIfTrue="1" operator="equal">
      <formula>0</formula>
    </cfRule>
  </conditionalFormatting>
  <conditionalFormatting sqref="N22:O22">
    <cfRule type="cellIs" dxfId="1218" priority="275" stopIfTrue="1" operator="equal">
      <formula>0</formula>
    </cfRule>
  </conditionalFormatting>
  <conditionalFormatting sqref="P22:Q22">
    <cfRule type="cellIs" dxfId="1217" priority="274" stopIfTrue="1" operator="equal">
      <formula>0</formula>
    </cfRule>
  </conditionalFormatting>
  <conditionalFormatting sqref="R22:S22">
    <cfRule type="cellIs" dxfId="1216" priority="273" stopIfTrue="1" operator="equal">
      <formula>0</formula>
    </cfRule>
  </conditionalFormatting>
  <conditionalFormatting sqref="T22:U22">
    <cfRule type="cellIs" dxfId="1215" priority="272" stopIfTrue="1" operator="equal">
      <formula>0</formula>
    </cfRule>
  </conditionalFormatting>
  <conditionalFormatting sqref="V22:W22">
    <cfRule type="cellIs" dxfId="1214" priority="271" stopIfTrue="1" operator="equal">
      <formula>0</formula>
    </cfRule>
  </conditionalFormatting>
  <conditionalFormatting sqref="J23:K23">
    <cfRule type="cellIs" dxfId="1213" priority="270" stopIfTrue="1" operator="equal">
      <formula>0</formula>
    </cfRule>
  </conditionalFormatting>
  <conditionalFormatting sqref="L23:M23">
    <cfRule type="cellIs" dxfId="1212" priority="269" stopIfTrue="1" operator="equal">
      <formula>0</formula>
    </cfRule>
  </conditionalFormatting>
  <conditionalFormatting sqref="N23:O23">
    <cfRule type="cellIs" dxfId="1211" priority="268" stopIfTrue="1" operator="equal">
      <formula>0</formula>
    </cfRule>
  </conditionalFormatting>
  <conditionalFormatting sqref="P23:Q23">
    <cfRule type="cellIs" dxfId="1210" priority="267" stopIfTrue="1" operator="equal">
      <formula>0</formula>
    </cfRule>
  </conditionalFormatting>
  <conditionalFormatting sqref="R23:S23">
    <cfRule type="cellIs" dxfId="1209" priority="266" stopIfTrue="1" operator="equal">
      <formula>0</formula>
    </cfRule>
  </conditionalFormatting>
  <conditionalFormatting sqref="T23:U23">
    <cfRule type="cellIs" dxfId="1208" priority="265" stopIfTrue="1" operator="equal">
      <formula>0</formula>
    </cfRule>
  </conditionalFormatting>
  <conditionalFormatting sqref="V23:W23">
    <cfRule type="cellIs" dxfId="1207" priority="264" stopIfTrue="1" operator="equal">
      <formula>0</formula>
    </cfRule>
  </conditionalFormatting>
  <conditionalFormatting sqref="J24:K24">
    <cfRule type="cellIs" dxfId="1206" priority="263" stopIfTrue="1" operator="equal">
      <formula>0</formula>
    </cfRule>
  </conditionalFormatting>
  <conditionalFormatting sqref="L24:M24">
    <cfRule type="cellIs" dxfId="1205" priority="262" stopIfTrue="1" operator="equal">
      <formula>0</formula>
    </cfRule>
  </conditionalFormatting>
  <conditionalFormatting sqref="N24:O24">
    <cfRule type="cellIs" dxfId="1204" priority="261" stopIfTrue="1" operator="equal">
      <formula>0</formula>
    </cfRule>
  </conditionalFormatting>
  <conditionalFormatting sqref="P24:Q24">
    <cfRule type="cellIs" dxfId="1203" priority="260" stopIfTrue="1" operator="equal">
      <formula>0</formula>
    </cfRule>
  </conditionalFormatting>
  <conditionalFormatting sqref="R24:S24">
    <cfRule type="cellIs" dxfId="1202" priority="259" stopIfTrue="1" operator="equal">
      <formula>0</formula>
    </cfRule>
  </conditionalFormatting>
  <conditionalFormatting sqref="T24:U24">
    <cfRule type="cellIs" dxfId="1201" priority="258" stopIfTrue="1" operator="equal">
      <formula>0</formula>
    </cfRule>
  </conditionalFormatting>
  <conditionalFormatting sqref="V24:W24">
    <cfRule type="cellIs" dxfId="1200" priority="257" stopIfTrue="1" operator="equal">
      <formula>0</formula>
    </cfRule>
  </conditionalFormatting>
  <conditionalFormatting sqref="J25:K25">
    <cfRule type="cellIs" dxfId="1199" priority="256" stopIfTrue="1" operator="equal">
      <formula>0</formula>
    </cfRule>
  </conditionalFormatting>
  <conditionalFormatting sqref="L25:M25">
    <cfRule type="cellIs" dxfId="1198" priority="255" stopIfTrue="1" operator="equal">
      <formula>0</formula>
    </cfRule>
  </conditionalFormatting>
  <conditionalFormatting sqref="N25:O25">
    <cfRule type="cellIs" dxfId="1197" priority="254" stopIfTrue="1" operator="equal">
      <formula>0</formula>
    </cfRule>
  </conditionalFormatting>
  <conditionalFormatting sqref="P25:Q25">
    <cfRule type="cellIs" dxfId="1196" priority="253" stopIfTrue="1" operator="equal">
      <formula>0</formula>
    </cfRule>
  </conditionalFormatting>
  <conditionalFormatting sqref="R25:S25">
    <cfRule type="cellIs" dxfId="1195" priority="252" stopIfTrue="1" operator="equal">
      <formula>0</formula>
    </cfRule>
  </conditionalFormatting>
  <conditionalFormatting sqref="T25:U25">
    <cfRule type="cellIs" dxfId="1194" priority="251" stopIfTrue="1" operator="equal">
      <formula>0</formula>
    </cfRule>
  </conditionalFormatting>
  <conditionalFormatting sqref="V25:W25">
    <cfRule type="cellIs" dxfId="1193" priority="250" stopIfTrue="1" operator="equal">
      <formula>0</formula>
    </cfRule>
  </conditionalFormatting>
  <conditionalFormatting sqref="J26:K26">
    <cfRule type="cellIs" dxfId="1192" priority="249" stopIfTrue="1" operator="equal">
      <formula>0</formula>
    </cfRule>
  </conditionalFormatting>
  <conditionalFormatting sqref="L26:M26">
    <cfRule type="cellIs" dxfId="1191" priority="248" stopIfTrue="1" operator="equal">
      <formula>0</formula>
    </cfRule>
  </conditionalFormatting>
  <conditionalFormatting sqref="N26:O26">
    <cfRule type="cellIs" dxfId="1190" priority="247" stopIfTrue="1" operator="equal">
      <formula>0</formula>
    </cfRule>
  </conditionalFormatting>
  <conditionalFormatting sqref="P26:Q26">
    <cfRule type="cellIs" dxfId="1189" priority="246" stopIfTrue="1" operator="equal">
      <formula>0</formula>
    </cfRule>
  </conditionalFormatting>
  <conditionalFormatting sqref="R26:S26">
    <cfRule type="cellIs" dxfId="1188" priority="245" stopIfTrue="1" operator="equal">
      <formula>0</formula>
    </cfRule>
  </conditionalFormatting>
  <conditionalFormatting sqref="T26:U26">
    <cfRule type="cellIs" dxfId="1187" priority="244" stopIfTrue="1" operator="equal">
      <formula>0</formula>
    </cfRule>
  </conditionalFormatting>
  <conditionalFormatting sqref="V26:W26">
    <cfRule type="cellIs" dxfId="1186" priority="243" stopIfTrue="1" operator="equal">
      <formula>0</formula>
    </cfRule>
  </conditionalFormatting>
  <conditionalFormatting sqref="J27:K27">
    <cfRule type="cellIs" dxfId="1185" priority="242" stopIfTrue="1" operator="equal">
      <formula>0</formula>
    </cfRule>
  </conditionalFormatting>
  <conditionalFormatting sqref="L27:M27">
    <cfRule type="cellIs" dxfId="1184" priority="241" stopIfTrue="1" operator="equal">
      <formula>0</formula>
    </cfRule>
  </conditionalFormatting>
  <conditionalFormatting sqref="N27:O27">
    <cfRule type="cellIs" dxfId="1183" priority="240" stopIfTrue="1" operator="equal">
      <formula>0</formula>
    </cfRule>
  </conditionalFormatting>
  <conditionalFormatting sqref="P27:Q27">
    <cfRule type="cellIs" dxfId="1182" priority="239" stopIfTrue="1" operator="equal">
      <formula>0</formula>
    </cfRule>
  </conditionalFormatting>
  <conditionalFormatting sqref="R27:S27">
    <cfRule type="cellIs" dxfId="1181" priority="238" stopIfTrue="1" operator="equal">
      <formula>0</formula>
    </cfRule>
  </conditionalFormatting>
  <conditionalFormatting sqref="T27:U27">
    <cfRule type="cellIs" dxfId="1180" priority="237" stopIfTrue="1" operator="equal">
      <formula>0</formula>
    </cfRule>
  </conditionalFormatting>
  <conditionalFormatting sqref="V27:W27">
    <cfRule type="cellIs" dxfId="1179" priority="236" stopIfTrue="1" operator="equal">
      <formula>0</formula>
    </cfRule>
  </conditionalFormatting>
  <conditionalFormatting sqref="J28:K28">
    <cfRule type="cellIs" dxfId="1178" priority="235" stopIfTrue="1" operator="equal">
      <formula>0</formula>
    </cfRule>
  </conditionalFormatting>
  <conditionalFormatting sqref="L28:M28">
    <cfRule type="cellIs" dxfId="1177" priority="234" stopIfTrue="1" operator="equal">
      <formula>0</formula>
    </cfRule>
  </conditionalFormatting>
  <conditionalFormatting sqref="N28:O28">
    <cfRule type="cellIs" dxfId="1176" priority="233" stopIfTrue="1" operator="equal">
      <formula>0</formula>
    </cfRule>
  </conditionalFormatting>
  <conditionalFormatting sqref="P28:Q28">
    <cfRule type="cellIs" dxfId="1175" priority="232" stopIfTrue="1" operator="equal">
      <formula>0</formula>
    </cfRule>
  </conditionalFormatting>
  <conditionalFormatting sqref="R28:S28">
    <cfRule type="cellIs" dxfId="1174" priority="231" stopIfTrue="1" operator="equal">
      <formula>0</formula>
    </cfRule>
  </conditionalFormatting>
  <conditionalFormatting sqref="T28:U28">
    <cfRule type="cellIs" dxfId="1173" priority="230" stopIfTrue="1" operator="equal">
      <formula>0</formula>
    </cfRule>
  </conditionalFormatting>
  <conditionalFormatting sqref="V28:W28">
    <cfRule type="cellIs" dxfId="1172" priority="229" stopIfTrue="1" operator="equal">
      <formula>0</formula>
    </cfRule>
  </conditionalFormatting>
  <conditionalFormatting sqref="J29:K29">
    <cfRule type="cellIs" dxfId="1171" priority="228" stopIfTrue="1" operator="equal">
      <formula>0</formula>
    </cfRule>
  </conditionalFormatting>
  <conditionalFormatting sqref="L29:M29">
    <cfRule type="cellIs" dxfId="1170" priority="227" stopIfTrue="1" operator="equal">
      <formula>0</formula>
    </cfRule>
  </conditionalFormatting>
  <conditionalFormatting sqref="N29:O29">
    <cfRule type="cellIs" dxfId="1169" priority="226" stopIfTrue="1" operator="equal">
      <formula>0</formula>
    </cfRule>
  </conditionalFormatting>
  <conditionalFormatting sqref="P29:Q29">
    <cfRule type="cellIs" dxfId="1168" priority="225" stopIfTrue="1" operator="equal">
      <formula>0</formula>
    </cfRule>
  </conditionalFormatting>
  <conditionalFormatting sqref="R29:S29">
    <cfRule type="cellIs" dxfId="1167" priority="224" stopIfTrue="1" operator="equal">
      <formula>0</formula>
    </cfRule>
  </conditionalFormatting>
  <conditionalFormatting sqref="T29:U29">
    <cfRule type="cellIs" dxfId="1166" priority="223" stopIfTrue="1" operator="equal">
      <formula>0</formula>
    </cfRule>
  </conditionalFormatting>
  <conditionalFormatting sqref="V29:W29">
    <cfRule type="cellIs" dxfId="1165" priority="222" stopIfTrue="1" operator="equal">
      <formula>0</formula>
    </cfRule>
  </conditionalFormatting>
  <conditionalFormatting sqref="J30:K30">
    <cfRule type="cellIs" dxfId="1164" priority="221" stopIfTrue="1" operator="equal">
      <formula>0</formula>
    </cfRule>
  </conditionalFormatting>
  <conditionalFormatting sqref="L30:M30">
    <cfRule type="cellIs" dxfId="1163" priority="220" stopIfTrue="1" operator="equal">
      <formula>0</formula>
    </cfRule>
  </conditionalFormatting>
  <conditionalFormatting sqref="N30:O30">
    <cfRule type="cellIs" dxfId="1162" priority="219" stopIfTrue="1" operator="equal">
      <formula>0</formula>
    </cfRule>
  </conditionalFormatting>
  <conditionalFormatting sqref="P30:Q30">
    <cfRule type="cellIs" dxfId="1161" priority="218" stopIfTrue="1" operator="equal">
      <formula>0</formula>
    </cfRule>
  </conditionalFormatting>
  <conditionalFormatting sqref="R30:S30">
    <cfRule type="cellIs" dxfId="1160" priority="217" stopIfTrue="1" operator="equal">
      <formula>0</formula>
    </cfRule>
  </conditionalFormatting>
  <conditionalFormatting sqref="T30:U30">
    <cfRule type="cellIs" dxfId="1159" priority="216" stopIfTrue="1" operator="equal">
      <formula>0</formula>
    </cfRule>
  </conditionalFormatting>
  <conditionalFormatting sqref="V30:W30">
    <cfRule type="cellIs" dxfId="1158" priority="215" stopIfTrue="1" operator="equal">
      <formula>0</formula>
    </cfRule>
  </conditionalFormatting>
  <conditionalFormatting sqref="J31:K31">
    <cfRule type="cellIs" dxfId="1157" priority="214" stopIfTrue="1" operator="equal">
      <formula>0</formula>
    </cfRule>
  </conditionalFormatting>
  <conditionalFormatting sqref="L31:M31">
    <cfRule type="cellIs" dxfId="1156" priority="213" stopIfTrue="1" operator="equal">
      <formula>0</formula>
    </cfRule>
  </conditionalFormatting>
  <conditionalFormatting sqref="N31:O31">
    <cfRule type="cellIs" dxfId="1155" priority="212" stopIfTrue="1" operator="equal">
      <formula>0</formula>
    </cfRule>
  </conditionalFormatting>
  <conditionalFormatting sqref="P31:Q31">
    <cfRule type="cellIs" dxfId="1154" priority="211" stopIfTrue="1" operator="equal">
      <formula>0</formula>
    </cfRule>
  </conditionalFormatting>
  <conditionalFormatting sqref="R31:S31">
    <cfRule type="cellIs" dxfId="1153" priority="210" stopIfTrue="1" operator="equal">
      <formula>0</formula>
    </cfRule>
  </conditionalFormatting>
  <conditionalFormatting sqref="T31:U31">
    <cfRule type="cellIs" dxfId="1152" priority="209" stopIfTrue="1" operator="equal">
      <formula>0</formula>
    </cfRule>
  </conditionalFormatting>
  <conditionalFormatting sqref="V31:W31">
    <cfRule type="cellIs" dxfId="1151" priority="208" stopIfTrue="1" operator="equal">
      <formula>0</formula>
    </cfRule>
  </conditionalFormatting>
  <conditionalFormatting sqref="J32:K32">
    <cfRule type="cellIs" dxfId="1150" priority="207" stopIfTrue="1" operator="equal">
      <formula>0</formula>
    </cfRule>
  </conditionalFormatting>
  <conditionalFormatting sqref="L32:M32">
    <cfRule type="cellIs" dxfId="1149" priority="206" stopIfTrue="1" operator="equal">
      <formula>0</formula>
    </cfRule>
  </conditionalFormatting>
  <conditionalFormatting sqref="N32:O32">
    <cfRule type="cellIs" dxfId="1148" priority="205" stopIfTrue="1" operator="equal">
      <formula>0</formula>
    </cfRule>
  </conditionalFormatting>
  <conditionalFormatting sqref="P32:Q32">
    <cfRule type="cellIs" dxfId="1147" priority="204" stopIfTrue="1" operator="equal">
      <formula>0</formula>
    </cfRule>
  </conditionalFormatting>
  <conditionalFormatting sqref="R32:S32">
    <cfRule type="cellIs" dxfId="1146" priority="203" stopIfTrue="1" operator="equal">
      <formula>0</formula>
    </cfRule>
  </conditionalFormatting>
  <conditionalFormatting sqref="T32:U32">
    <cfRule type="cellIs" dxfId="1145" priority="202" stopIfTrue="1" operator="equal">
      <formula>0</formula>
    </cfRule>
  </conditionalFormatting>
  <conditionalFormatting sqref="V32:W32">
    <cfRule type="cellIs" dxfId="1144" priority="201" stopIfTrue="1" operator="equal">
      <formula>0</formula>
    </cfRule>
  </conditionalFormatting>
  <conditionalFormatting sqref="J33:K33">
    <cfRule type="cellIs" dxfId="1143" priority="200" stopIfTrue="1" operator="equal">
      <formula>0</formula>
    </cfRule>
  </conditionalFormatting>
  <conditionalFormatting sqref="L33:M33">
    <cfRule type="cellIs" dxfId="1142" priority="199" stopIfTrue="1" operator="equal">
      <formula>0</formula>
    </cfRule>
  </conditionalFormatting>
  <conditionalFormatting sqref="N33:O33">
    <cfRule type="cellIs" dxfId="1141" priority="198" stopIfTrue="1" operator="equal">
      <formula>0</formula>
    </cfRule>
  </conditionalFormatting>
  <conditionalFormatting sqref="P33:Q33">
    <cfRule type="cellIs" dxfId="1140" priority="197" stopIfTrue="1" operator="equal">
      <formula>0</formula>
    </cfRule>
  </conditionalFormatting>
  <conditionalFormatting sqref="R33:S33">
    <cfRule type="cellIs" dxfId="1139" priority="196" stopIfTrue="1" operator="equal">
      <formula>0</formula>
    </cfRule>
  </conditionalFormatting>
  <conditionalFormatting sqref="T33:U33">
    <cfRule type="cellIs" dxfId="1138" priority="195" stopIfTrue="1" operator="equal">
      <formula>0</formula>
    </cfRule>
  </conditionalFormatting>
  <conditionalFormatting sqref="V33:W33">
    <cfRule type="cellIs" dxfId="1137" priority="194" stopIfTrue="1" operator="equal">
      <formula>0</formula>
    </cfRule>
  </conditionalFormatting>
  <conditionalFormatting sqref="J34:K34">
    <cfRule type="cellIs" dxfId="1136" priority="193" stopIfTrue="1" operator="equal">
      <formula>0</formula>
    </cfRule>
  </conditionalFormatting>
  <conditionalFormatting sqref="L34:M34">
    <cfRule type="cellIs" dxfId="1135" priority="192" stopIfTrue="1" operator="equal">
      <formula>0</formula>
    </cfRule>
  </conditionalFormatting>
  <conditionalFormatting sqref="N34:O34">
    <cfRule type="cellIs" dxfId="1134" priority="191" stopIfTrue="1" operator="equal">
      <formula>0</formula>
    </cfRule>
  </conditionalFormatting>
  <conditionalFormatting sqref="P34:Q34">
    <cfRule type="cellIs" dxfId="1133" priority="190" stopIfTrue="1" operator="equal">
      <formula>0</formula>
    </cfRule>
  </conditionalFormatting>
  <conditionalFormatting sqref="R34:S34">
    <cfRule type="cellIs" dxfId="1132" priority="189" stopIfTrue="1" operator="equal">
      <formula>0</formula>
    </cfRule>
  </conditionalFormatting>
  <conditionalFormatting sqref="T34:U34">
    <cfRule type="cellIs" dxfId="1131" priority="188" stopIfTrue="1" operator="equal">
      <formula>0</formula>
    </cfRule>
  </conditionalFormatting>
  <conditionalFormatting sqref="V34:W34">
    <cfRule type="cellIs" dxfId="1130" priority="187" stopIfTrue="1" operator="equal">
      <formula>0</formula>
    </cfRule>
  </conditionalFormatting>
  <conditionalFormatting sqref="J35:K35">
    <cfRule type="cellIs" dxfId="1129" priority="186" stopIfTrue="1" operator="equal">
      <formula>0</formula>
    </cfRule>
  </conditionalFormatting>
  <conditionalFormatting sqref="L35:M35">
    <cfRule type="cellIs" dxfId="1128" priority="185" stopIfTrue="1" operator="equal">
      <formula>0</formula>
    </cfRule>
  </conditionalFormatting>
  <conditionalFormatting sqref="N35:O35">
    <cfRule type="cellIs" dxfId="1127" priority="184" stopIfTrue="1" operator="equal">
      <formula>0</formula>
    </cfRule>
  </conditionalFormatting>
  <conditionalFormatting sqref="P35:Q35">
    <cfRule type="cellIs" dxfId="1126" priority="183" stopIfTrue="1" operator="equal">
      <formula>0</formula>
    </cfRule>
  </conditionalFormatting>
  <conditionalFormatting sqref="R35:S35">
    <cfRule type="cellIs" dxfId="1125" priority="182" stopIfTrue="1" operator="equal">
      <formula>0</formula>
    </cfRule>
  </conditionalFormatting>
  <conditionalFormatting sqref="T35:U35">
    <cfRule type="cellIs" dxfId="1124" priority="181" stopIfTrue="1" operator="equal">
      <formula>0</formula>
    </cfRule>
  </conditionalFormatting>
  <conditionalFormatting sqref="V35:W35">
    <cfRule type="cellIs" dxfId="1123" priority="180" stopIfTrue="1" operator="equal">
      <formula>0</formula>
    </cfRule>
  </conditionalFormatting>
  <conditionalFormatting sqref="J36:K36">
    <cfRule type="cellIs" dxfId="1122" priority="179" stopIfTrue="1" operator="equal">
      <formula>0</formula>
    </cfRule>
  </conditionalFormatting>
  <conditionalFormatting sqref="L36:M36">
    <cfRule type="cellIs" dxfId="1121" priority="178" stopIfTrue="1" operator="equal">
      <formula>0</formula>
    </cfRule>
  </conditionalFormatting>
  <conditionalFormatting sqref="N36:O36">
    <cfRule type="cellIs" dxfId="1120" priority="177" stopIfTrue="1" operator="equal">
      <formula>0</formula>
    </cfRule>
  </conditionalFormatting>
  <conditionalFormatting sqref="P36:Q36">
    <cfRule type="cellIs" dxfId="1119" priority="176" stopIfTrue="1" operator="equal">
      <formula>0</formula>
    </cfRule>
  </conditionalFormatting>
  <conditionalFormatting sqref="R36:S36">
    <cfRule type="cellIs" dxfId="1118" priority="175" stopIfTrue="1" operator="equal">
      <formula>0</formula>
    </cfRule>
  </conditionalFormatting>
  <conditionalFormatting sqref="T36:U36">
    <cfRule type="cellIs" dxfId="1117" priority="174" stopIfTrue="1" operator="equal">
      <formula>0</formula>
    </cfRule>
  </conditionalFormatting>
  <conditionalFormatting sqref="V36:W36">
    <cfRule type="cellIs" dxfId="1116" priority="173" stopIfTrue="1" operator="equal">
      <formula>0</formula>
    </cfRule>
  </conditionalFormatting>
  <conditionalFormatting sqref="J37:K37">
    <cfRule type="cellIs" dxfId="1115" priority="172" stopIfTrue="1" operator="equal">
      <formula>0</formula>
    </cfRule>
  </conditionalFormatting>
  <conditionalFormatting sqref="L37:M37">
    <cfRule type="cellIs" dxfId="1114" priority="171" stopIfTrue="1" operator="equal">
      <formula>0</formula>
    </cfRule>
  </conditionalFormatting>
  <conditionalFormatting sqref="N37:O37">
    <cfRule type="cellIs" dxfId="1113" priority="170" stopIfTrue="1" operator="equal">
      <formula>0</formula>
    </cfRule>
  </conditionalFormatting>
  <conditionalFormatting sqref="P37:Q37">
    <cfRule type="cellIs" dxfId="1112" priority="169" stopIfTrue="1" operator="equal">
      <formula>0</formula>
    </cfRule>
  </conditionalFormatting>
  <conditionalFormatting sqref="R37:S37">
    <cfRule type="cellIs" dxfId="1111" priority="168" stopIfTrue="1" operator="equal">
      <formula>0</formula>
    </cfRule>
  </conditionalFormatting>
  <conditionalFormatting sqref="T37:U37">
    <cfRule type="cellIs" dxfId="1110" priority="167" stopIfTrue="1" operator="equal">
      <formula>0</formula>
    </cfRule>
  </conditionalFormatting>
  <conditionalFormatting sqref="V37:W37">
    <cfRule type="cellIs" dxfId="1109" priority="166" stopIfTrue="1" operator="equal">
      <formula>0</formula>
    </cfRule>
  </conditionalFormatting>
  <conditionalFormatting sqref="J38:K38">
    <cfRule type="cellIs" dxfId="1108" priority="165" stopIfTrue="1" operator="equal">
      <formula>0</formula>
    </cfRule>
  </conditionalFormatting>
  <conditionalFormatting sqref="L38:M38">
    <cfRule type="cellIs" dxfId="1107" priority="164" stopIfTrue="1" operator="equal">
      <formula>0</formula>
    </cfRule>
  </conditionalFormatting>
  <conditionalFormatting sqref="N38:O38">
    <cfRule type="cellIs" dxfId="1106" priority="163" stopIfTrue="1" operator="equal">
      <formula>0</formula>
    </cfRule>
  </conditionalFormatting>
  <conditionalFormatting sqref="P38:Q38">
    <cfRule type="cellIs" dxfId="1105" priority="162" stopIfTrue="1" operator="equal">
      <formula>0</formula>
    </cfRule>
  </conditionalFormatting>
  <conditionalFormatting sqref="R38:S38">
    <cfRule type="cellIs" dxfId="1104" priority="161" stopIfTrue="1" operator="equal">
      <formula>0</formula>
    </cfRule>
  </conditionalFormatting>
  <conditionalFormatting sqref="T38:U38">
    <cfRule type="cellIs" dxfId="1103" priority="160" stopIfTrue="1" operator="equal">
      <formula>0</formula>
    </cfRule>
  </conditionalFormatting>
  <conditionalFormatting sqref="V38:W38">
    <cfRule type="cellIs" dxfId="1102" priority="159" stopIfTrue="1" operator="equal">
      <formula>0</formula>
    </cfRule>
  </conditionalFormatting>
  <conditionalFormatting sqref="J39:K39">
    <cfRule type="cellIs" dxfId="1101" priority="158" stopIfTrue="1" operator="equal">
      <formula>0</formula>
    </cfRule>
  </conditionalFormatting>
  <conditionalFormatting sqref="L39:M39">
    <cfRule type="cellIs" dxfId="1100" priority="157" stopIfTrue="1" operator="equal">
      <formula>0</formula>
    </cfRule>
  </conditionalFormatting>
  <conditionalFormatting sqref="N39:O39">
    <cfRule type="cellIs" dxfId="1099" priority="156" stopIfTrue="1" operator="equal">
      <formula>0</formula>
    </cfRule>
  </conditionalFormatting>
  <conditionalFormatting sqref="P39:Q39">
    <cfRule type="cellIs" dxfId="1098" priority="155" stopIfTrue="1" operator="equal">
      <formula>0</formula>
    </cfRule>
  </conditionalFormatting>
  <conditionalFormatting sqref="R39:S39">
    <cfRule type="cellIs" dxfId="1097" priority="154" stopIfTrue="1" operator="equal">
      <formula>0</formula>
    </cfRule>
  </conditionalFormatting>
  <conditionalFormatting sqref="T39:U39">
    <cfRule type="cellIs" dxfId="1096" priority="153" stopIfTrue="1" operator="equal">
      <formula>0</formula>
    </cfRule>
  </conditionalFormatting>
  <conditionalFormatting sqref="V39:W39">
    <cfRule type="cellIs" dxfId="1095" priority="152" stopIfTrue="1" operator="equal">
      <formula>0</formula>
    </cfRule>
  </conditionalFormatting>
  <conditionalFormatting sqref="J40:K40">
    <cfRule type="cellIs" dxfId="1094" priority="151" stopIfTrue="1" operator="equal">
      <formula>0</formula>
    </cfRule>
  </conditionalFormatting>
  <conditionalFormatting sqref="L40:M40">
    <cfRule type="cellIs" dxfId="1093" priority="150" stopIfTrue="1" operator="equal">
      <formula>0</formula>
    </cfRule>
  </conditionalFormatting>
  <conditionalFormatting sqref="N40:O40">
    <cfRule type="cellIs" dxfId="1092" priority="149" stopIfTrue="1" operator="equal">
      <formula>0</formula>
    </cfRule>
  </conditionalFormatting>
  <conditionalFormatting sqref="P40:Q40">
    <cfRule type="cellIs" dxfId="1091" priority="148" stopIfTrue="1" operator="equal">
      <formula>0</formula>
    </cfRule>
  </conditionalFormatting>
  <conditionalFormatting sqref="R40:S40">
    <cfRule type="cellIs" dxfId="1090" priority="147" stopIfTrue="1" operator="equal">
      <formula>0</formula>
    </cfRule>
  </conditionalFormatting>
  <conditionalFormatting sqref="T40:U40">
    <cfRule type="cellIs" dxfId="1089" priority="146" stopIfTrue="1" operator="equal">
      <formula>0</formula>
    </cfRule>
  </conditionalFormatting>
  <conditionalFormatting sqref="V40:W40">
    <cfRule type="cellIs" dxfId="1088" priority="145" stopIfTrue="1" operator="equal">
      <formula>0</formula>
    </cfRule>
  </conditionalFormatting>
  <conditionalFormatting sqref="J41:K41">
    <cfRule type="cellIs" dxfId="1087" priority="144" stopIfTrue="1" operator="equal">
      <formula>0</formula>
    </cfRule>
  </conditionalFormatting>
  <conditionalFormatting sqref="L41:M41">
    <cfRule type="cellIs" dxfId="1086" priority="143" stopIfTrue="1" operator="equal">
      <formula>0</formula>
    </cfRule>
  </conditionalFormatting>
  <conditionalFormatting sqref="N41:O41">
    <cfRule type="cellIs" dxfId="1085" priority="142" stopIfTrue="1" operator="equal">
      <formula>0</formula>
    </cfRule>
  </conditionalFormatting>
  <conditionalFormatting sqref="P41:Q41">
    <cfRule type="cellIs" dxfId="1084" priority="141" stopIfTrue="1" operator="equal">
      <formula>0</formula>
    </cfRule>
  </conditionalFormatting>
  <conditionalFormatting sqref="R41:S41">
    <cfRule type="cellIs" dxfId="1083" priority="140" stopIfTrue="1" operator="equal">
      <formula>0</formula>
    </cfRule>
  </conditionalFormatting>
  <conditionalFormatting sqref="T41:U41">
    <cfRule type="cellIs" dxfId="1082" priority="139" stopIfTrue="1" operator="equal">
      <formula>0</formula>
    </cfRule>
  </conditionalFormatting>
  <conditionalFormatting sqref="V41:W41">
    <cfRule type="cellIs" dxfId="1081" priority="138" stopIfTrue="1" operator="equal">
      <formula>0</formula>
    </cfRule>
  </conditionalFormatting>
  <conditionalFormatting sqref="J42:K42">
    <cfRule type="cellIs" dxfId="1080" priority="137" stopIfTrue="1" operator="equal">
      <formula>0</formula>
    </cfRule>
  </conditionalFormatting>
  <conditionalFormatting sqref="L42:M42">
    <cfRule type="cellIs" dxfId="1079" priority="136" stopIfTrue="1" operator="equal">
      <formula>0</formula>
    </cfRule>
  </conditionalFormatting>
  <conditionalFormatting sqref="N42:O42">
    <cfRule type="cellIs" dxfId="1078" priority="135" stopIfTrue="1" operator="equal">
      <formula>0</formula>
    </cfRule>
  </conditionalFormatting>
  <conditionalFormatting sqref="P42:Q42">
    <cfRule type="cellIs" dxfId="1077" priority="134" stopIfTrue="1" operator="equal">
      <formula>0</formula>
    </cfRule>
  </conditionalFormatting>
  <conditionalFormatting sqref="R42:S42">
    <cfRule type="cellIs" dxfId="1076" priority="133" stopIfTrue="1" operator="equal">
      <formula>0</formula>
    </cfRule>
  </conditionalFormatting>
  <conditionalFormatting sqref="T42:U42">
    <cfRule type="cellIs" dxfId="1075" priority="132" stopIfTrue="1" operator="equal">
      <formula>0</formula>
    </cfRule>
  </conditionalFormatting>
  <conditionalFormatting sqref="V42:W42">
    <cfRule type="cellIs" dxfId="1074" priority="131" stopIfTrue="1" operator="equal">
      <formula>0</formula>
    </cfRule>
  </conditionalFormatting>
  <conditionalFormatting sqref="J43:K43">
    <cfRule type="cellIs" dxfId="1073" priority="130" stopIfTrue="1" operator="equal">
      <formula>0</formula>
    </cfRule>
  </conditionalFormatting>
  <conditionalFormatting sqref="L43:M43">
    <cfRule type="cellIs" dxfId="1072" priority="129" stopIfTrue="1" operator="equal">
      <formula>0</formula>
    </cfRule>
  </conditionalFormatting>
  <conditionalFormatting sqref="N43:O43">
    <cfRule type="cellIs" dxfId="1071" priority="128" stopIfTrue="1" operator="equal">
      <formula>0</formula>
    </cfRule>
  </conditionalFormatting>
  <conditionalFormatting sqref="P43:Q43">
    <cfRule type="cellIs" dxfId="1070" priority="127" stopIfTrue="1" operator="equal">
      <formula>0</formula>
    </cfRule>
  </conditionalFormatting>
  <conditionalFormatting sqref="R43:S43">
    <cfRule type="cellIs" dxfId="1069" priority="126" stopIfTrue="1" operator="equal">
      <formula>0</formula>
    </cfRule>
  </conditionalFormatting>
  <conditionalFormatting sqref="T43:U43">
    <cfRule type="cellIs" dxfId="1068" priority="125" stopIfTrue="1" operator="equal">
      <formula>0</formula>
    </cfRule>
  </conditionalFormatting>
  <conditionalFormatting sqref="V43:W43">
    <cfRule type="cellIs" dxfId="1067" priority="124" stopIfTrue="1" operator="equal">
      <formula>0</formula>
    </cfRule>
  </conditionalFormatting>
  <conditionalFormatting sqref="J44:K44">
    <cfRule type="cellIs" dxfId="1066" priority="123" stopIfTrue="1" operator="equal">
      <formula>0</formula>
    </cfRule>
  </conditionalFormatting>
  <conditionalFormatting sqref="L44:M44">
    <cfRule type="cellIs" dxfId="1065" priority="122" stopIfTrue="1" operator="equal">
      <formula>0</formula>
    </cfRule>
  </conditionalFormatting>
  <conditionalFormatting sqref="N44:O44">
    <cfRule type="cellIs" dxfId="1064" priority="121" stopIfTrue="1" operator="equal">
      <formula>0</formula>
    </cfRule>
  </conditionalFormatting>
  <conditionalFormatting sqref="P44:Q44">
    <cfRule type="cellIs" dxfId="1063" priority="120" stopIfTrue="1" operator="equal">
      <formula>0</formula>
    </cfRule>
  </conditionalFormatting>
  <conditionalFormatting sqref="R44:S44">
    <cfRule type="cellIs" dxfId="1062" priority="119" stopIfTrue="1" operator="equal">
      <formula>0</formula>
    </cfRule>
  </conditionalFormatting>
  <conditionalFormatting sqref="T44:U44">
    <cfRule type="cellIs" dxfId="1061" priority="118" stopIfTrue="1" operator="equal">
      <formula>0</formula>
    </cfRule>
  </conditionalFormatting>
  <conditionalFormatting sqref="V44:W44">
    <cfRule type="cellIs" dxfId="1060" priority="117" stopIfTrue="1" operator="equal">
      <formula>0</formula>
    </cfRule>
  </conditionalFormatting>
  <conditionalFormatting sqref="J45:K45">
    <cfRule type="cellIs" dxfId="1059" priority="116" stopIfTrue="1" operator="equal">
      <formula>0</formula>
    </cfRule>
  </conditionalFormatting>
  <conditionalFormatting sqref="L45:M45">
    <cfRule type="cellIs" dxfId="1058" priority="115" stopIfTrue="1" operator="equal">
      <formula>0</formula>
    </cfRule>
  </conditionalFormatting>
  <conditionalFormatting sqref="N45:O45">
    <cfRule type="cellIs" dxfId="1057" priority="114" stopIfTrue="1" operator="equal">
      <formula>0</formula>
    </cfRule>
  </conditionalFormatting>
  <conditionalFormatting sqref="P45:Q45">
    <cfRule type="cellIs" dxfId="1056" priority="113" stopIfTrue="1" operator="equal">
      <formula>0</formula>
    </cfRule>
  </conditionalFormatting>
  <conditionalFormatting sqref="R45:S45">
    <cfRule type="cellIs" dxfId="1055" priority="112" stopIfTrue="1" operator="equal">
      <formula>0</formula>
    </cfRule>
  </conditionalFormatting>
  <conditionalFormatting sqref="T45:U45">
    <cfRule type="cellIs" dxfId="1054" priority="111" stopIfTrue="1" operator="equal">
      <formula>0</formula>
    </cfRule>
  </conditionalFormatting>
  <conditionalFormatting sqref="V45:W45">
    <cfRule type="cellIs" dxfId="1053" priority="110" stopIfTrue="1" operator="equal">
      <formula>0</formula>
    </cfRule>
  </conditionalFormatting>
  <conditionalFormatting sqref="J46:K46">
    <cfRule type="cellIs" dxfId="1052" priority="109" stopIfTrue="1" operator="equal">
      <formula>0</formula>
    </cfRule>
  </conditionalFormatting>
  <conditionalFormatting sqref="L46:M46">
    <cfRule type="cellIs" dxfId="1051" priority="108" stopIfTrue="1" operator="equal">
      <formula>0</formula>
    </cfRule>
  </conditionalFormatting>
  <conditionalFormatting sqref="N46:O46">
    <cfRule type="cellIs" dxfId="1050" priority="107" stopIfTrue="1" operator="equal">
      <formula>0</formula>
    </cfRule>
  </conditionalFormatting>
  <conditionalFormatting sqref="P46:Q46">
    <cfRule type="cellIs" dxfId="1049" priority="106" stopIfTrue="1" operator="equal">
      <formula>0</formula>
    </cfRule>
  </conditionalFormatting>
  <conditionalFormatting sqref="R46:S46">
    <cfRule type="cellIs" dxfId="1048" priority="105" stopIfTrue="1" operator="equal">
      <formula>0</formula>
    </cfRule>
  </conditionalFormatting>
  <conditionalFormatting sqref="T46:U46">
    <cfRule type="cellIs" dxfId="1047" priority="104" stopIfTrue="1" operator="equal">
      <formula>0</formula>
    </cfRule>
  </conditionalFormatting>
  <conditionalFormatting sqref="V46:W46">
    <cfRule type="cellIs" dxfId="1046" priority="103" stopIfTrue="1" operator="equal">
      <formula>0</formula>
    </cfRule>
  </conditionalFormatting>
  <conditionalFormatting sqref="J47:K47">
    <cfRule type="cellIs" dxfId="1045" priority="102" stopIfTrue="1" operator="equal">
      <formula>0</formula>
    </cfRule>
  </conditionalFormatting>
  <conditionalFormatting sqref="L47:M47">
    <cfRule type="cellIs" dxfId="1044" priority="101" stopIfTrue="1" operator="equal">
      <formula>0</formula>
    </cfRule>
  </conditionalFormatting>
  <conditionalFormatting sqref="N47:O47">
    <cfRule type="cellIs" dxfId="1043" priority="100" stopIfTrue="1" operator="equal">
      <formula>0</formula>
    </cfRule>
  </conditionalFormatting>
  <conditionalFormatting sqref="P47:Q47">
    <cfRule type="cellIs" dxfId="1042" priority="99" stopIfTrue="1" operator="equal">
      <formula>0</formula>
    </cfRule>
  </conditionalFormatting>
  <conditionalFormatting sqref="R47:S47">
    <cfRule type="cellIs" dxfId="1041" priority="98" stopIfTrue="1" operator="equal">
      <formula>0</formula>
    </cfRule>
  </conditionalFormatting>
  <conditionalFormatting sqref="T47:U47">
    <cfRule type="cellIs" dxfId="1040" priority="97" stopIfTrue="1" operator="equal">
      <formula>0</formula>
    </cfRule>
  </conditionalFormatting>
  <conditionalFormatting sqref="V47:W47">
    <cfRule type="cellIs" dxfId="1039" priority="96" stopIfTrue="1" operator="equal">
      <formula>0</formula>
    </cfRule>
  </conditionalFormatting>
  <conditionalFormatting sqref="D54:L59">
    <cfRule type="expression" dxfId="1038" priority="95">
      <formula>$AB$8=0</formula>
    </cfRule>
  </conditionalFormatting>
  <conditionalFormatting sqref="D54:I56">
    <cfRule type="expression" dxfId="1037" priority="94">
      <formula>$AB$8=1</formula>
    </cfRule>
  </conditionalFormatting>
  <printOptions horizontalCentered="1"/>
  <pageMargins left="0.7" right="0.7" top="0.39370078740157477" bottom="0.39370078740157477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5" name="Button 2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6" name="Button 3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7" name="Button 4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5" r:id="rId8" name="Button 5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6" r:id="rId9" name="Button 6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7" r:id="rId10" name="Button 7">
              <controlPr defaultSize="0" print="0" autoFill="0" autoPict="0" macro="[0]!休日初期化">
                <anchor moveWithCells="1" sizeWithCells="1">
                  <from>
                    <xdr:col>27</xdr:col>
                    <xdr:colOff>488950</xdr:colOff>
                    <xdr:row>25</xdr:row>
                    <xdr:rowOff>69850</xdr:rowOff>
                  </from>
                  <to>
                    <xdr:col>28</xdr:col>
                    <xdr:colOff>266700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8" r:id="rId11" name="Button 8">
              <controlPr defaultSize="0" print="0" autoFill="0" autoPict="0" macro="[0]!初期状態">
                <anchor moveWithCells="1" sizeWithCells="1">
                  <from>
                    <xdr:col>27</xdr:col>
                    <xdr:colOff>533400</xdr:colOff>
                    <xdr:row>32</xdr:row>
                    <xdr:rowOff>31750</xdr:rowOff>
                  </from>
                  <to>
                    <xdr:col>28</xdr:col>
                    <xdr:colOff>419100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9" r:id="rId12" name="Button 9">
              <controlPr defaultSize="0" print="0" autoFill="0" autoPict="0" macro="[0]!ws_add">
                <anchor moveWithCells="1" sizeWithCells="1">
                  <from>
                    <xdr:col>27</xdr:col>
                    <xdr:colOff>488950</xdr:colOff>
                    <xdr:row>35</xdr:row>
                    <xdr:rowOff>69850</xdr:rowOff>
                  </from>
                  <to>
                    <xdr:col>29</xdr:col>
                    <xdr:colOff>603250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0" r:id="rId13" name="Button 10">
              <controlPr defaultSize="0" print="0" autoFill="0" autoPict="0" macro="[0]!統合">
                <anchor moveWithCells="1" sizeWithCells="1">
                  <from>
                    <xdr:col>26</xdr:col>
                    <xdr:colOff>63500</xdr:colOff>
                    <xdr:row>59</xdr:row>
                    <xdr:rowOff>19050</xdr:rowOff>
                  </from>
                  <to>
                    <xdr:col>26</xdr:col>
                    <xdr:colOff>673100</xdr:colOff>
                    <xdr:row>60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1" r:id="rId14" name="Button 11">
              <controlPr defaultSize="0" print="0" autoFill="0" autoPict="0" macro="[0]!休暇処理">
                <anchor moveWithCells="1" sizeWithCells="1">
                  <from>
                    <xdr:col>26</xdr:col>
                    <xdr:colOff>63500</xdr:colOff>
                    <xdr:row>61</xdr:row>
                    <xdr:rowOff>19050</xdr:rowOff>
                  </from>
                  <to>
                    <xdr:col>26</xdr:col>
                    <xdr:colOff>673100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2" r:id="rId15" name="Button 12">
              <controlPr defaultSize="0" print="0" autoFill="0" autoPict="0" macro="[0]!化粧直し">
                <anchor moveWithCells="1" sizeWithCells="1">
                  <from>
                    <xdr:col>26</xdr:col>
                    <xdr:colOff>69850</xdr:colOff>
                    <xdr:row>63</xdr:row>
                    <xdr:rowOff>31750</xdr:rowOff>
                  </from>
                  <to>
                    <xdr:col>26</xdr:col>
                    <xdr:colOff>679450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3" r:id="rId16" name="Button 13">
              <controlPr defaultSize="0" print="0" autoFill="0" autoPict="0" macro="[0]!休日初期化">
                <anchor moveWithCells="1" sizeWithCells="1">
                  <from>
                    <xdr:col>26</xdr:col>
                    <xdr:colOff>146050</xdr:colOff>
                    <xdr:row>65</xdr:row>
                    <xdr:rowOff>69850</xdr:rowOff>
                  </from>
                  <to>
                    <xdr:col>26</xdr:col>
                    <xdr:colOff>641350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4" r:id="rId17" name="Button 14">
              <controlPr defaultSize="0" print="0" autoFill="0" autoPict="0" macro="[0]!初期状態">
                <anchor moveWithCells="1" sizeWithCells="1">
                  <from>
                    <xdr:col>26</xdr:col>
                    <xdr:colOff>57150</xdr:colOff>
                    <xdr:row>67</xdr:row>
                    <xdr:rowOff>88900</xdr:rowOff>
                  </from>
                  <to>
                    <xdr:col>26</xdr:col>
                    <xdr:colOff>666750</xdr:colOff>
                    <xdr:row>69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stopIfTrue="1" id="{0C22EED1-1D85-479B-AD22-58E9A0863179}">
            <xm:f xml:space="preserve"> OR($X$17=+テーブル!A2,$X$17=+テーブル!A3,$X$17=+テーブル!A9,$X$17=+テーブル!A10,$X$17=+テーブル!A12,$X$17=+テーブル!A13,$X$17=+テーブル!A16)</xm:f>
            <x14:dxf>
              <font>
                <color rgb="FFFF0000"/>
              </font>
            </x14:dxf>
          </x14:cfRule>
          <xm:sqref>D17:E17</xm:sqref>
        </x14:conditionalFormatting>
        <x14:conditionalFormatting xmlns:xm="http://schemas.microsoft.com/office/excel/2006/main">
          <x14:cfRule type="expression" priority="92" stopIfTrue="1" id="{05D05B8F-826D-4699-AC8B-AF7AB9BC9E3D}">
            <xm:f xml:space="preserve"> OR($X$17=+テーブル!A2,$X$17=+テーブル!A4,$X$17=+テーブル!A9,$X$17=+テーブル!A11,$X$17=+テーブル!A12,$X$17=+テーブル!A14,$X$17=+テーブル!A16)</xm:f>
            <x14:dxf>
              <font>
                <color rgb="FFFF0000"/>
              </font>
            </x14:dxf>
          </x14:cfRule>
          <xm:sqref>F17:G17</xm:sqref>
        </x14:conditionalFormatting>
        <x14:conditionalFormatting xmlns:xm="http://schemas.microsoft.com/office/excel/2006/main">
          <x14:cfRule type="expression" priority="91" stopIfTrue="1" id="{E414DB1D-3D52-469F-8A4D-C99F67BF82D8}">
            <xm:f xml:space="preserve"> OR($X$17=+テーブル!A2,$X$17=+テーブル!A3,$X$17=+テーブル!A4,$X$17=+テーブル!A9,$X$17=+テーブル!A10,$X$17=+テーブル!A11,$X$17=+テーブル!A12,$X$17=+テーブル!A13,$X$17=+テーブル!A14,$X$17=+テーブル!A16)</xm:f>
            <x14:dxf>
              <font>
                <color rgb="FFFF0000"/>
              </font>
            </x14:dxf>
          </x14:cfRule>
          <xm:sqref>H17:I17</xm:sqref>
        </x14:conditionalFormatting>
        <x14:conditionalFormatting xmlns:xm="http://schemas.microsoft.com/office/excel/2006/main">
          <x14:cfRule type="expression" priority="90" stopIfTrue="1" id="{703763A0-B584-4471-B632-AD654A062D60}">
            <xm:f xml:space="preserve"> OR($X$18=+テーブル!A2,$X$18=+テーブル!A3,$X$18=+テーブル!A9,$X$18=+テーブル!A10,$X$18=+テーブル!A12,$X$18=+テーブル!A13,$X$18=+テーブル!A16)</xm:f>
            <x14:dxf>
              <font>
                <color rgb="FFFF0000"/>
              </font>
            </x14:dxf>
          </x14:cfRule>
          <xm:sqref>D18:E18</xm:sqref>
        </x14:conditionalFormatting>
        <x14:conditionalFormatting xmlns:xm="http://schemas.microsoft.com/office/excel/2006/main">
          <x14:cfRule type="expression" priority="89" stopIfTrue="1" id="{706BC2DB-2F9C-4F86-A8BE-EAAB0951582B}">
            <xm:f xml:space="preserve"> OR($X$18=+テーブル!A2,$X$18=+テーブル!A4,$X$18=+テーブル!A9,$X$18=+テーブル!A11,$X$18=+テーブル!A12,$X$18=+テーブル!A14,$X$18=+テーブル!A16)</xm:f>
            <x14:dxf>
              <font>
                <color rgb="FFFF0000"/>
              </font>
            </x14:dxf>
          </x14:cfRule>
          <xm:sqref>F18:G18</xm:sqref>
        </x14:conditionalFormatting>
        <x14:conditionalFormatting xmlns:xm="http://schemas.microsoft.com/office/excel/2006/main">
          <x14:cfRule type="expression" priority="88" stopIfTrue="1" id="{B07659E8-DAE7-4F92-997D-9C4ED329CCEA}">
            <xm:f xml:space="preserve"> OR($X$18=+テーブル!A2,$X$18=+テーブル!A3,$X$18=+テーブル!A4,$X$18=+テーブル!A9,$X$18=+テーブル!A10,$X$18=+テーブル!A11,$X$18=+テーブル!A12,$X$18=+テーブル!A13,$X$18=+テーブル!A14,$X$18=+テーブル!A16)</xm:f>
            <x14:dxf>
              <font>
                <color rgb="FFFF0000"/>
              </font>
            </x14:dxf>
          </x14:cfRule>
          <xm:sqref>H18:I18</xm:sqref>
        </x14:conditionalFormatting>
        <x14:conditionalFormatting xmlns:xm="http://schemas.microsoft.com/office/excel/2006/main">
          <x14:cfRule type="expression" priority="87" stopIfTrue="1" id="{D71EA18B-86A6-4921-A7D4-15323D7260BF}">
            <xm:f xml:space="preserve"> OR($X$19=+テーブル!A2,$X$19=+テーブル!A3,$X$19=+テーブル!A9,$X$19=+テーブル!A10,$X$19=+テーブル!A12,$X$19=+テーブル!A13,$X$19=+テーブル!A16)</xm:f>
            <x14:dxf>
              <font>
                <color rgb="FFFF0000"/>
              </font>
            </x14:dxf>
          </x14:cfRule>
          <xm:sqref>D19:E19</xm:sqref>
        </x14:conditionalFormatting>
        <x14:conditionalFormatting xmlns:xm="http://schemas.microsoft.com/office/excel/2006/main">
          <x14:cfRule type="expression" priority="86" stopIfTrue="1" id="{28B58FA6-835C-4E94-B3BD-C16F8EA0BDF2}">
            <xm:f xml:space="preserve"> OR($X$19=+テーブル!A2,$X$19=+テーブル!A4,$X$19=+テーブル!A9,$X$19=+テーブル!A11,$X$19=+テーブル!A12,$X$19=+テーブル!A14,$X$19=+テーブル!A16)</xm:f>
            <x14:dxf>
              <font>
                <color rgb="FFFF0000"/>
              </font>
            </x14:dxf>
          </x14:cfRule>
          <xm:sqref>F19:G19</xm:sqref>
        </x14:conditionalFormatting>
        <x14:conditionalFormatting xmlns:xm="http://schemas.microsoft.com/office/excel/2006/main">
          <x14:cfRule type="expression" priority="85" stopIfTrue="1" id="{C04A7F03-F65C-4B74-81BE-8BDC262DF787}">
            <xm:f xml:space="preserve"> OR($X$19=+テーブル!A2,$X$19=+テーブル!A3,$X$19=+テーブル!A4,$X$19=+テーブル!A9,$X$19=+テーブル!A10,$X$19=+テーブル!A11,$X$19=+テーブル!A12,$X$19=+テーブル!A13,$X$19=+テーブル!A14,$X$19=+テーブル!A16)</xm:f>
            <x14:dxf>
              <font>
                <color rgb="FFFF0000"/>
              </font>
            </x14:dxf>
          </x14:cfRule>
          <xm:sqref>H19:I19</xm:sqref>
        </x14:conditionalFormatting>
        <x14:conditionalFormatting xmlns:xm="http://schemas.microsoft.com/office/excel/2006/main">
          <x14:cfRule type="expression" priority="84" stopIfTrue="1" id="{E17D8C54-D127-4016-B8FD-2BCF254E4733}">
            <xm:f xml:space="preserve"> OR($X$20=+テーブル!A2,$X$20=+テーブル!A3,$X$20=+テーブル!A9,$X$20=+テーブル!A10,$X$20=+テーブル!A12,$X$20=+テーブル!A13,$X$20=+テーブル!A16)</xm:f>
            <x14:dxf>
              <font>
                <color rgb="FFFF000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83" stopIfTrue="1" id="{F7C27348-FB18-493A-ADCF-F521B4CE1435}">
            <xm:f xml:space="preserve"> OR($X$20=+テーブル!A2,$X$20=+テーブル!A4,$X$20=+テーブル!A9,$X$20=+テーブル!A11,$X$20=+テーブル!A12,$X$20=+テーブル!A14,$X$20=+テーブル!A16)</xm:f>
            <x14:dxf>
              <font>
                <color rgb="FFFF0000"/>
              </font>
            </x14:dxf>
          </x14:cfRule>
          <xm:sqref>F20:G20</xm:sqref>
        </x14:conditionalFormatting>
        <x14:conditionalFormatting xmlns:xm="http://schemas.microsoft.com/office/excel/2006/main">
          <x14:cfRule type="expression" priority="82" stopIfTrue="1" id="{6CBC14C6-7D18-400D-A23C-2851DFA0FC0F}">
            <xm:f xml:space="preserve"> OR($X$20=+テーブル!A2,$X$20=+テーブル!A3,$X$20=+テーブル!A4,$X$20=+テーブル!A9,$X$20=+テーブル!A10,$X$20=+テーブル!A11,$X$20=+テーブル!A12,$X$20=+テーブル!A13,$X$20=+テーブル!A14,$X$20=+テーブル!A16)</xm:f>
            <x14:dxf>
              <font>
                <color rgb="FFFF0000"/>
              </font>
            </x14:dxf>
          </x14:cfRule>
          <xm:sqref>H20:I20</xm:sqref>
        </x14:conditionalFormatting>
        <x14:conditionalFormatting xmlns:xm="http://schemas.microsoft.com/office/excel/2006/main">
          <x14:cfRule type="expression" priority="81" stopIfTrue="1" id="{83982A47-910D-415B-8016-1A5F35B23046}">
            <xm:f xml:space="preserve"> OR($X$21=+テーブル!A2,$X$21=+テーブル!A3,$X$21=+テーブル!A9,$X$21=+テーブル!A10,$X$21=+テーブル!A12,$X$21=+テーブル!A13,$X$21=+テーブル!A16)</xm:f>
            <x14:dxf>
              <font>
                <color rgb="FFFF0000"/>
              </font>
            </x14:dxf>
          </x14:cfRule>
          <xm:sqref>D21:E21</xm:sqref>
        </x14:conditionalFormatting>
        <x14:conditionalFormatting xmlns:xm="http://schemas.microsoft.com/office/excel/2006/main">
          <x14:cfRule type="expression" priority="80" stopIfTrue="1" id="{B46AB64F-2414-4E4B-8468-027BDAC875AD}">
            <xm:f xml:space="preserve"> OR($X$21=+テーブル!A2,$X$21=+テーブル!A4,$X$21=+テーブル!A9,$X$21=+テーブル!A11,$X$21=+テーブル!A12,$X$21=+テーブル!A14,$X$21=+テーブル!A16)</xm:f>
            <x14:dxf>
              <font>
                <color rgb="FFFF0000"/>
              </font>
            </x14:dxf>
          </x14:cfRule>
          <xm:sqref>F21:G21</xm:sqref>
        </x14:conditionalFormatting>
        <x14:conditionalFormatting xmlns:xm="http://schemas.microsoft.com/office/excel/2006/main">
          <x14:cfRule type="expression" priority="79" stopIfTrue="1" id="{8C8D9CB5-0FA5-4170-A371-27BD5E5DB428}">
            <xm:f xml:space="preserve"> OR($X$21=+テーブル!A2,$X$21=+テーブル!A3,$X$21=+テーブル!A4,$X$21=+テーブル!A9,$X$21=+テーブル!A10,$X$21=+テーブル!A11,$X$21=+テーブル!A12,$X$21=+テーブル!A13,$X$21=+テーブル!A14,$X$21=+テーブル!A16)</xm:f>
            <x14:dxf>
              <font>
                <color rgb="FFFF0000"/>
              </font>
            </x14:dxf>
          </x14:cfRule>
          <xm:sqref>H21:I21</xm:sqref>
        </x14:conditionalFormatting>
        <x14:conditionalFormatting xmlns:xm="http://schemas.microsoft.com/office/excel/2006/main">
          <x14:cfRule type="expression" priority="78" stopIfTrue="1" id="{B79B37CE-AC11-4114-8C8E-10FEEEC91734}">
            <xm:f xml:space="preserve"> OR($X$22=+テーブル!A2,$X$22=+テーブル!A3,$X$22=+テーブル!A9,$X$22=+テーブル!A10,$X$22=+テーブル!A12,$X$22=+テーブル!A13,$X$22=+テーブル!A16)</xm:f>
            <x14:dxf>
              <font>
                <color rgb="FFFF0000"/>
              </font>
            </x14:dxf>
          </x14:cfRule>
          <xm:sqref>D22:E22</xm:sqref>
        </x14:conditionalFormatting>
        <x14:conditionalFormatting xmlns:xm="http://schemas.microsoft.com/office/excel/2006/main">
          <x14:cfRule type="expression" priority="77" stopIfTrue="1" id="{3D04502B-84B7-4B0F-BAFD-0E63F0D78A49}">
            <xm:f xml:space="preserve"> OR($X$22=+テーブル!A2,$X$22=+テーブル!A4,$X$22=+テーブル!A9,$X$22=+テーブル!A11,$X$22=+テーブル!A12,$X$22=+テーブル!A14,$X$22=+テーブル!A16)</xm:f>
            <x14:dxf>
              <font>
                <color rgb="FFFF0000"/>
              </font>
            </x14:dxf>
          </x14:cfRule>
          <xm:sqref>F22:G22</xm:sqref>
        </x14:conditionalFormatting>
        <x14:conditionalFormatting xmlns:xm="http://schemas.microsoft.com/office/excel/2006/main">
          <x14:cfRule type="expression" priority="76" stopIfTrue="1" id="{1EBA04EF-3BD9-4DB8-9562-92D3228E324C}">
            <xm:f xml:space="preserve"> OR($X$22=+テーブル!A2,$X$22=+テーブル!A3,$X$22=+テーブル!A4,$X$22=+テーブル!A9,$X$22=+テーブル!A10,$X$22=+テーブル!A11,$X$22=+テーブル!A12,$X$22=+テーブル!A13,$X$22=+テーブル!A14,$X$22=+テーブル!A16)</xm:f>
            <x14:dxf>
              <font>
                <color rgb="FFFF0000"/>
              </font>
            </x14:dxf>
          </x14:cfRule>
          <xm:sqref>H22:I22</xm:sqref>
        </x14:conditionalFormatting>
        <x14:conditionalFormatting xmlns:xm="http://schemas.microsoft.com/office/excel/2006/main">
          <x14:cfRule type="expression" priority="75" stopIfTrue="1" id="{D3BD102A-F5D1-4EEC-99A7-03F080CA525A}">
            <xm:f xml:space="preserve"> OR($X$23=+テーブル!A2,$X$23=+テーブル!A3,$X$23=+テーブル!A9,$X$23=+テーブル!A10,$X$23=+テーブル!A12,$X$23=+テーブル!A13,$X$23=+テーブル!A16)</xm:f>
            <x14:dxf>
              <font>
                <color rgb="FFFF0000"/>
              </font>
            </x14:dxf>
          </x14:cfRule>
          <xm:sqref>D23:E23</xm:sqref>
        </x14:conditionalFormatting>
        <x14:conditionalFormatting xmlns:xm="http://schemas.microsoft.com/office/excel/2006/main">
          <x14:cfRule type="expression" priority="74" stopIfTrue="1" id="{85E344AF-3DDD-4E93-8D5C-3B195081108F}">
            <xm:f xml:space="preserve"> OR($X$23=+テーブル!A2,$X$23=+テーブル!A4,$X$23=+テーブル!A9,$X$23=+テーブル!A11,$X$23=+テーブル!A12,$X$23=+テーブル!A14,$X$23=+テーブル!A16)</xm:f>
            <x14:dxf>
              <font>
                <color rgb="FFFF0000"/>
              </font>
            </x14:dxf>
          </x14:cfRule>
          <xm:sqref>F23:G23</xm:sqref>
        </x14:conditionalFormatting>
        <x14:conditionalFormatting xmlns:xm="http://schemas.microsoft.com/office/excel/2006/main">
          <x14:cfRule type="expression" priority="73" stopIfTrue="1" id="{799BDAE3-CEA6-4FC7-BAA4-4C8796A0C2FD}">
            <xm:f xml:space="preserve"> OR($X$23=+テーブル!A2,$X$23=+テーブル!A3,$X$23=+テーブル!A4,$X$23=+テーブル!A9,$X$23=+テーブル!A10,$X$23=+テーブル!A11,$X$23=+テーブル!A12,$X$23=+テーブル!A13,$X$23=+テーブル!A14,$X$23=+テーブル!A16)</xm:f>
            <x14:dxf>
              <font>
                <color rgb="FFFF0000"/>
              </font>
            </x14:dxf>
          </x14:cfRule>
          <xm:sqref>H23:I23</xm:sqref>
        </x14:conditionalFormatting>
        <x14:conditionalFormatting xmlns:xm="http://schemas.microsoft.com/office/excel/2006/main">
          <x14:cfRule type="expression" priority="72" stopIfTrue="1" id="{A9D2A35D-8F77-4835-ACB8-45800CC74C95}">
            <xm:f xml:space="preserve"> OR($X$24=+テーブル!A2,$X$24=+テーブル!A3,$X$24=+テーブル!A9,$X$24=+テーブル!A10,$X$24=+テーブル!A12,$X$24=+テーブル!A13,$X$24=+テーブル!A16)</xm:f>
            <x14:dxf>
              <font>
                <color rgb="FFFF0000"/>
              </font>
            </x14:dxf>
          </x14:cfRule>
          <xm:sqref>D24:E24</xm:sqref>
        </x14:conditionalFormatting>
        <x14:conditionalFormatting xmlns:xm="http://schemas.microsoft.com/office/excel/2006/main">
          <x14:cfRule type="expression" priority="71" stopIfTrue="1" id="{5A0831AA-694E-415B-8B83-B486A36F8D35}">
            <xm:f xml:space="preserve"> OR($X$24=+テーブル!A2,$X$24=+テーブル!A4,$X$24=+テーブル!A9,$X$24=+テーブル!A11,$X$24=+テーブル!A12,$X$24=+テーブル!A14,$X$24=+テーブル!A16)</xm:f>
            <x14:dxf>
              <font>
                <color rgb="FFFF0000"/>
              </font>
            </x14:dxf>
          </x14:cfRule>
          <xm:sqref>F24:G24</xm:sqref>
        </x14:conditionalFormatting>
        <x14:conditionalFormatting xmlns:xm="http://schemas.microsoft.com/office/excel/2006/main">
          <x14:cfRule type="expression" priority="70" stopIfTrue="1" id="{C9905820-C9A5-4B1E-845D-2F5CC7C89DAF}">
            <xm:f xml:space="preserve"> OR($X$24=+テーブル!A2,$X$24=+テーブル!A3,$X$24=+テーブル!A4,$X$24=+テーブル!A9,$X$24=+テーブル!A10,$X$24=+テーブル!A11,$X$24=+テーブル!A12,$X$24=+テーブル!A13,$X$24=+テーブル!A14,$X$24=+テーブル!A16)</xm:f>
            <x14:dxf>
              <font>
                <color rgb="FFFF0000"/>
              </font>
            </x14:dxf>
          </x14:cfRule>
          <xm:sqref>H24:I24</xm:sqref>
        </x14:conditionalFormatting>
        <x14:conditionalFormatting xmlns:xm="http://schemas.microsoft.com/office/excel/2006/main">
          <x14:cfRule type="expression" priority="69" stopIfTrue="1" id="{83F95E39-F826-49C1-BAF2-850127F51621}">
            <xm:f xml:space="preserve"> OR($X$25=+テーブル!A2,$X$25=+テーブル!A3,$X$25=+テーブル!A9,$X$25=+テーブル!A10,$X$25=+テーブル!A12,$X$25=+テーブル!A13,$X$25=+テーブル!A16)</xm:f>
            <x14:dxf>
              <font>
                <color rgb="FFFF0000"/>
              </font>
            </x14:dxf>
          </x14:cfRule>
          <xm:sqref>D25:E25</xm:sqref>
        </x14:conditionalFormatting>
        <x14:conditionalFormatting xmlns:xm="http://schemas.microsoft.com/office/excel/2006/main">
          <x14:cfRule type="expression" priority="68" stopIfTrue="1" id="{197BE488-CC65-4C44-AADE-B667A01DFA68}">
            <xm:f xml:space="preserve"> OR($X$25=+テーブル!A2,$X$25=+テーブル!A4,$X$25=+テーブル!A9,$X$25=+テーブル!A11,$X$25=+テーブル!A12,$X$25=+テーブル!A14,$X$25=+テーブル!A16)</xm:f>
            <x14:dxf>
              <font>
                <color rgb="FFFF0000"/>
              </font>
            </x14:dxf>
          </x14:cfRule>
          <xm:sqref>F25:G25</xm:sqref>
        </x14:conditionalFormatting>
        <x14:conditionalFormatting xmlns:xm="http://schemas.microsoft.com/office/excel/2006/main">
          <x14:cfRule type="expression" priority="67" stopIfTrue="1" id="{22F02C78-072C-477D-A614-2B23466F7FE9}">
            <xm:f xml:space="preserve"> OR($X$25=+テーブル!A2,$X$25=+テーブル!A3,$X$25=+テーブル!A4,$X$25=+テーブル!A9,$X$25=+テーブル!A10,$X$25=+テーブル!A11,$X$25=+テーブル!A12,$X$25=+テーブル!A13,$X$25=+テーブル!A14,$X$25=+テーブル!A16)</xm:f>
            <x14:dxf>
              <font>
                <color rgb="FFFF0000"/>
              </font>
            </x14:dxf>
          </x14:cfRule>
          <xm:sqref>H25:I25</xm:sqref>
        </x14:conditionalFormatting>
        <x14:conditionalFormatting xmlns:xm="http://schemas.microsoft.com/office/excel/2006/main">
          <x14:cfRule type="expression" priority="66" stopIfTrue="1" id="{34956325-55DF-429D-818F-3A8A1D0596EC}">
            <xm:f xml:space="preserve"> OR($X$26=+テーブル!A2,$X$26=+テーブル!A3,$X$26=+テーブル!A9,$X$26=+テーブル!A10,$X$26=+テーブル!A12,$X$26=+テーブル!A13,$X$26=+テーブル!A16)</xm:f>
            <x14:dxf>
              <font>
                <color rgb="FFFF0000"/>
              </font>
            </x14:dxf>
          </x14:cfRule>
          <xm:sqref>D26:E26</xm:sqref>
        </x14:conditionalFormatting>
        <x14:conditionalFormatting xmlns:xm="http://schemas.microsoft.com/office/excel/2006/main">
          <x14:cfRule type="expression" priority="65" stopIfTrue="1" id="{1049E21D-8F7C-4D82-8157-AE1EF9A840E9}">
            <xm:f xml:space="preserve"> OR($X$26=+テーブル!A2,$X$26=+テーブル!A4,$X$26=+テーブル!A9,$X$26=+テーブル!A11,$X$26=+テーブル!A12,$X$26=+テーブル!A14,$X$26=+テーブル!A16)</xm:f>
            <x14:dxf>
              <font>
                <color rgb="FFFF0000"/>
              </font>
            </x14:dxf>
          </x14:cfRule>
          <xm:sqref>F26:G26</xm:sqref>
        </x14:conditionalFormatting>
        <x14:conditionalFormatting xmlns:xm="http://schemas.microsoft.com/office/excel/2006/main">
          <x14:cfRule type="expression" priority="64" stopIfTrue="1" id="{5149772D-02D2-4FD4-B8A3-8F1F1E5832EA}">
            <xm:f xml:space="preserve"> OR($X$26=+テーブル!A2,$X$26=+テーブル!A3,$X$26=+テーブル!A4,$X$26=+テーブル!A9,$X$26=+テーブル!A10,$X$26=+テーブル!A11,$X$26=+テーブル!A12,$X$26=+テーブル!A13,$X$26=+テーブル!A14,$X$26=+テーブル!A16)</xm:f>
            <x14:dxf>
              <font>
                <color rgb="FFFF0000"/>
              </font>
            </x14:dxf>
          </x14:cfRule>
          <xm:sqref>H26:I26</xm:sqref>
        </x14:conditionalFormatting>
        <x14:conditionalFormatting xmlns:xm="http://schemas.microsoft.com/office/excel/2006/main">
          <x14:cfRule type="expression" priority="63" stopIfTrue="1" id="{88811DA5-03B5-415A-9E51-AF6C800D5530}">
            <xm:f xml:space="preserve"> OR($X$27=+テーブル!A2,$X$27=+テーブル!A3,$X$27=+テーブル!A9,$X$27=+テーブル!A10,$X$27=+テーブル!A12,$X$27=+テーブル!A13,$X$27=+テーブル!A16)</xm:f>
            <x14:dxf>
              <font>
                <color rgb="FFFF0000"/>
              </font>
            </x14:dxf>
          </x14:cfRule>
          <xm:sqref>D27:E27</xm:sqref>
        </x14:conditionalFormatting>
        <x14:conditionalFormatting xmlns:xm="http://schemas.microsoft.com/office/excel/2006/main">
          <x14:cfRule type="expression" priority="62" stopIfTrue="1" id="{692D09CF-4BBE-48E2-B4BB-6A704FC946B3}">
            <xm:f xml:space="preserve"> OR($X$27=+テーブル!A2,$X$27=+テーブル!A4,$X$27=+テーブル!A9,$X$27=+テーブル!A11,$X$27=+テーブル!A12,$X$27=+テーブル!A14,$X$27=+テーブル!A16)</xm:f>
            <x14:dxf>
              <font>
                <color rgb="FFFF0000"/>
              </font>
            </x14:dxf>
          </x14:cfRule>
          <xm:sqref>F27:G27</xm:sqref>
        </x14:conditionalFormatting>
        <x14:conditionalFormatting xmlns:xm="http://schemas.microsoft.com/office/excel/2006/main">
          <x14:cfRule type="expression" priority="61" stopIfTrue="1" id="{DC926D98-529B-4F57-B461-E933BD49FB38}">
            <xm:f xml:space="preserve"> OR($X$27=+テーブル!A2,$X$27=+テーブル!A3,$X$27=+テーブル!A4,$X$27=+テーブル!A9,$X$27=+テーブル!A10,$X$27=+テーブル!A11,$X$27=+テーブル!A12,$X$27=+テーブル!A13,$X$27=+テーブル!A14,$X$27=+テーブル!A16)</xm:f>
            <x14:dxf>
              <font>
                <color rgb="FFFF0000"/>
              </font>
            </x14:dxf>
          </x14:cfRule>
          <xm:sqref>H27:I27</xm:sqref>
        </x14:conditionalFormatting>
        <x14:conditionalFormatting xmlns:xm="http://schemas.microsoft.com/office/excel/2006/main">
          <x14:cfRule type="expression" priority="60" stopIfTrue="1" id="{9ACBA8E4-054C-4F80-9B60-FA1E004B11AE}">
            <xm:f xml:space="preserve"> OR($X$28=+テーブル!A2,$X$28=+テーブル!A3,$X$28=+テーブル!A9,$X$28=+テーブル!A10,$X$28=+テーブル!A12,$X$28=+テーブル!A13,$X$28=+テーブル!A16)</xm:f>
            <x14:dxf>
              <font>
                <color rgb="FFFF0000"/>
              </font>
            </x14:dxf>
          </x14:cfRule>
          <xm:sqref>D28:E28</xm:sqref>
        </x14:conditionalFormatting>
        <x14:conditionalFormatting xmlns:xm="http://schemas.microsoft.com/office/excel/2006/main">
          <x14:cfRule type="expression" priority="59" stopIfTrue="1" id="{B58C228A-FC9A-4AB4-88DF-992330E7B7FA}">
            <xm:f xml:space="preserve"> OR($X$28=+テーブル!A2,$X$28=+テーブル!A4,$X$28=+テーブル!A9,$X$28=+テーブル!A11,$X$28=+テーブル!A12,$X$28=+テーブル!A14,$X$28=+テーブル!A16)</xm:f>
            <x14:dxf>
              <font>
                <color rgb="FFFF0000"/>
              </font>
            </x14:dxf>
          </x14:cfRule>
          <xm:sqref>F28:G28</xm:sqref>
        </x14:conditionalFormatting>
        <x14:conditionalFormatting xmlns:xm="http://schemas.microsoft.com/office/excel/2006/main">
          <x14:cfRule type="expression" priority="58" stopIfTrue="1" id="{CA500885-027B-4CE2-BCBE-9A8559AAE762}">
            <xm:f xml:space="preserve"> OR($X$28=+テーブル!A2,$X$28=+テーブル!A3,$X$28=+テーブル!A4,$X$28=+テーブル!A9,$X$28=+テーブル!A10,$X$28=+テーブル!A11,$X$28=+テーブル!A12,$X$28=+テーブル!A13,$X$28=+テーブル!A14,$X$28=+テーブル!A16)</xm:f>
            <x14:dxf>
              <font>
                <color rgb="FFFF0000"/>
              </font>
            </x14:dxf>
          </x14:cfRule>
          <xm:sqref>H28:I28</xm:sqref>
        </x14:conditionalFormatting>
        <x14:conditionalFormatting xmlns:xm="http://schemas.microsoft.com/office/excel/2006/main">
          <x14:cfRule type="expression" priority="57" stopIfTrue="1" id="{488614B7-F059-471D-A389-85A4540324F6}">
            <xm:f xml:space="preserve"> OR($X$29=+テーブル!A2,$X$29=+テーブル!A3,$X$29=+テーブル!A9,$X$29=+テーブル!A10,$X$29=+テーブル!A12,$X$29=+テーブル!A13,$X$29=+テーブル!A16)</xm:f>
            <x14:dxf>
              <font>
                <color rgb="FFFF0000"/>
              </font>
            </x14:dxf>
          </x14:cfRule>
          <xm:sqref>D29:E29</xm:sqref>
        </x14:conditionalFormatting>
        <x14:conditionalFormatting xmlns:xm="http://schemas.microsoft.com/office/excel/2006/main">
          <x14:cfRule type="expression" priority="56" stopIfTrue="1" id="{08C32E85-B378-4BBE-A2B9-FD75B557AFE6}">
            <xm:f xml:space="preserve"> OR($X$29=+テーブル!A2,$X$29=+テーブル!A4,$X$29=+テーブル!A9,$X$29=+テーブル!A11,$X$29=+テーブル!A12,$X$29=+テーブル!A14,$X$29=+テーブル!A16)</xm:f>
            <x14:dxf>
              <font>
                <color rgb="FFFF0000"/>
              </font>
            </x14:dxf>
          </x14:cfRule>
          <xm:sqref>F29:G29</xm:sqref>
        </x14:conditionalFormatting>
        <x14:conditionalFormatting xmlns:xm="http://schemas.microsoft.com/office/excel/2006/main">
          <x14:cfRule type="expression" priority="55" stopIfTrue="1" id="{FC27D328-3725-4DCC-A292-CB350AD3FB74}">
            <xm:f xml:space="preserve"> OR($X$29=+テーブル!A2,$X$29=+テーブル!A3,$X$29=+テーブル!A4,$X$29=+テーブル!A9,$X$29=+テーブル!A10,$X$29=+テーブル!A11,$X$29=+テーブル!A12,$X$29=+テーブル!A13,$X$29=+テーブル!A14,$X$29=+テーブル!A16)</xm:f>
            <x14:dxf>
              <font>
                <color rgb="FFFF0000"/>
              </font>
            </x14:dxf>
          </x14:cfRule>
          <xm:sqref>H29:I29</xm:sqref>
        </x14:conditionalFormatting>
        <x14:conditionalFormatting xmlns:xm="http://schemas.microsoft.com/office/excel/2006/main">
          <x14:cfRule type="expression" priority="54" stopIfTrue="1" id="{15E219A5-B8A4-4B37-87D6-7D521B75E4F6}">
            <xm:f xml:space="preserve"> OR($X$30=+テーブル!A2,$X$30=+テーブル!A3,$X$30=+テーブル!A9,$X$30=+テーブル!A10,$X$30=+テーブル!A12,$X$30=+テーブル!A13,$X$30=+テーブル!A16)</xm:f>
            <x14:dxf>
              <font>
                <color rgb="FFFF0000"/>
              </font>
            </x14:dxf>
          </x14:cfRule>
          <xm:sqref>D30:E30</xm:sqref>
        </x14:conditionalFormatting>
        <x14:conditionalFormatting xmlns:xm="http://schemas.microsoft.com/office/excel/2006/main">
          <x14:cfRule type="expression" priority="53" stopIfTrue="1" id="{FB0B21F9-3E1B-405B-9430-189C549CEC96}">
            <xm:f xml:space="preserve"> OR($X$30=+テーブル!A2,$X$30=+テーブル!A4,$X$30=+テーブル!A9,$X$30=+テーブル!A11,$X$30=+テーブル!A12,$X$30=+テーブル!A14,$X$30=+テーブル!A16)</xm:f>
            <x14:dxf>
              <font>
                <color rgb="FFFF0000"/>
              </font>
            </x14:dxf>
          </x14:cfRule>
          <xm:sqref>F30:G30</xm:sqref>
        </x14:conditionalFormatting>
        <x14:conditionalFormatting xmlns:xm="http://schemas.microsoft.com/office/excel/2006/main">
          <x14:cfRule type="expression" priority="52" stopIfTrue="1" id="{5741694D-E58E-4E31-A466-A34D085FFBDF}">
            <xm:f xml:space="preserve"> OR($X$30=+テーブル!A2,$X$30=+テーブル!A3,$X$30=+テーブル!A4,$X$30=+テーブル!A9,$X$30=+テーブル!A10,$X$30=+テーブル!A11,$X$30=+テーブル!A12,$X$30=+テーブル!A13,$X$30=+テーブル!A14,$X$30=+テーブル!A16)</xm:f>
            <x14:dxf>
              <font>
                <color rgb="FFFF0000"/>
              </font>
            </x14:dxf>
          </x14:cfRule>
          <xm:sqref>H30:I30</xm:sqref>
        </x14:conditionalFormatting>
        <x14:conditionalFormatting xmlns:xm="http://schemas.microsoft.com/office/excel/2006/main">
          <x14:cfRule type="expression" priority="51" stopIfTrue="1" id="{4048F6B2-0278-4F1C-8D03-E5FCE2475B63}">
            <xm:f xml:space="preserve"> OR($X$31=+テーブル!A2,$X$31=+テーブル!A3,$X$31=+テーブル!A9,$X$31=+テーブル!A10,$X$31=+テーブル!A12,$X$31=+テーブル!A13,$X$31=+テーブル!A16)</xm:f>
            <x14:dxf>
              <font>
                <color rgb="FFFF0000"/>
              </font>
            </x14:dxf>
          </x14:cfRule>
          <xm:sqref>D31:E31</xm:sqref>
        </x14:conditionalFormatting>
        <x14:conditionalFormatting xmlns:xm="http://schemas.microsoft.com/office/excel/2006/main">
          <x14:cfRule type="expression" priority="50" stopIfTrue="1" id="{0280E154-6EA0-44A7-926F-CB6A40BA1348}">
            <xm:f xml:space="preserve"> OR($X$31=+テーブル!A2,$X$31=+テーブル!A4,$X$31=+テーブル!A9,$X$31=+テーブル!A11,$X$31=+テーブル!A12,$X$31=+テーブル!A14,$X$31=+テーブル!A16)</xm:f>
            <x14:dxf>
              <font>
                <color rgb="FFFF0000"/>
              </font>
            </x14:dxf>
          </x14:cfRule>
          <xm:sqref>F31:G31</xm:sqref>
        </x14:conditionalFormatting>
        <x14:conditionalFormatting xmlns:xm="http://schemas.microsoft.com/office/excel/2006/main">
          <x14:cfRule type="expression" priority="49" stopIfTrue="1" id="{D0BE010E-D335-450A-9A85-C99507861DEB}">
            <xm:f xml:space="preserve"> OR($X$31=+テーブル!A2,$X$31=+テーブル!A3,$X$31=+テーブル!A4,$X$31=+テーブル!A9,$X$31=+テーブル!A10,$X$31=+テーブル!A11,$X$31=+テーブル!A12,$X$31=+テーブル!A13,$X$31=+テーブル!A14,$X$31=+テーブル!A16)</xm:f>
            <x14:dxf>
              <font>
                <color rgb="FFFF0000"/>
              </font>
            </x14:dxf>
          </x14:cfRule>
          <xm:sqref>H31:I31</xm:sqref>
        </x14:conditionalFormatting>
        <x14:conditionalFormatting xmlns:xm="http://schemas.microsoft.com/office/excel/2006/main">
          <x14:cfRule type="expression" priority="48" stopIfTrue="1" id="{EE000F11-6DAF-413F-83AA-66918BE1D6AF}">
            <xm:f xml:space="preserve"> OR($X$32=+テーブル!A2,$X$32=+テーブル!A3,$X$32=+テーブル!A9,$X$32=+テーブル!A10,$X$32=+テーブル!A12,$X$32=+テーブル!A13,$X$32=+テーブル!A16)</xm:f>
            <x14:dxf>
              <font>
                <color rgb="FFFF0000"/>
              </font>
            </x14:dxf>
          </x14:cfRule>
          <xm:sqref>D32:E32</xm:sqref>
        </x14:conditionalFormatting>
        <x14:conditionalFormatting xmlns:xm="http://schemas.microsoft.com/office/excel/2006/main">
          <x14:cfRule type="expression" priority="47" stopIfTrue="1" id="{B9F0C581-78CB-4CC7-9BCA-0A297C8C2D7A}">
            <xm:f xml:space="preserve"> OR($X$32=+テーブル!A2,$X$32=+テーブル!A4,$X$32=+テーブル!A9,$X$32=+テーブル!A11,$X$32=+テーブル!A12,$X$32=+テーブル!A14,$X$32=+テーブル!A16)</xm:f>
            <x14:dxf>
              <font>
                <color rgb="FFFF0000"/>
              </font>
            </x14:dxf>
          </x14:cfRule>
          <xm:sqref>F32:G32</xm:sqref>
        </x14:conditionalFormatting>
        <x14:conditionalFormatting xmlns:xm="http://schemas.microsoft.com/office/excel/2006/main">
          <x14:cfRule type="expression" priority="46" stopIfTrue="1" id="{8A28364E-E003-4F0C-88C7-E24DABB34C6C}">
            <xm:f xml:space="preserve"> OR($X$32=+テーブル!A2,$X$32=+テーブル!A3,$X$32=+テーブル!A4,$X$32=+テーブル!A9,$X$32=+テーブル!A10,$X$32=+テーブル!A11,$X$32=+テーブル!A12,$X$32=+テーブル!A13,$X$32=+テーブル!A14,$X$32=+テーブル!A16)</xm:f>
            <x14:dxf>
              <font>
                <color rgb="FFFF0000"/>
              </font>
            </x14:dxf>
          </x14:cfRule>
          <xm:sqref>H32:I32</xm:sqref>
        </x14:conditionalFormatting>
        <x14:conditionalFormatting xmlns:xm="http://schemas.microsoft.com/office/excel/2006/main">
          <x14:cfRule type="expression" priority="45" stopIfTrue="1" id="{40E50956-EC30-4ED8-8C35-4F3FD6E77745}">
            <xm:f xml:space="preserve"> OR($X$33=+テーブル!A2,$X$33=+テーブル!A3,$X$33=+テーブル!A9,$X$33=+テーブル!A10,$X$33=+テーブル!A12,$X$33=+テーブル!A13,$X$33=+テーブル!A16)</xm:f>
            <x14:dxf>
              <font>
                <color rgb="FFFF0000"/>
              </font>
            </x14:dxf>
          </x14:cfRule>
          <xm:sqref>D33:E33</xm:sqref>
        </x14:conditionalFormatting>
        <x14:conditionalFormatting xmlns:xm="http://schemas.microsoft.com/office/excel/2006/main">
          <x14:cfRule type="expression" priority="44" stopIfTrue="1" id="{D9E8D8C6-2820-43A1-97C6-1774855EDBFB}">
            <xm:f xml:space="preserve"> OR($X$33=+テーブル!A2,$X$33=+テーブル!A4,$X$33=+テーブル!A9,$X$33=+テーブル!A11,$X$33=+テーブル!A12,$X$33=+テーブル!A14,$X$33=+テーブル!A16)</xm:f>
            <x14:dxf>
              <font>
                <color rgb="FFFF0000"/>
              </font>
            </x14:dxf>
          </x14:cfRule>
          <xm:sqref>F33:G33</xm:sqref>
        </x14:conditionalFormatting>
        <x14:conditionalFormatting xmlns:xm="http://schemas.microsoft.com/office/excel/2006/main">
          <x14:cfRule type="expression" priority="43" stopIfTrue="1" id="{BA02BA81-2BBC-460B-95AF-BBD8B81611E6}">
            <xm:f xml:space="preserve"> OR($X$33=+テーブル!A2,$X$33=+テーブル!A3,$X$33=+テーブル!A4,$X$33=+テーブル!A9,$X$33=+テーブル!A10,$X$33=+テーブル!A11,$X$33=+テーブル!A12,$X$33=+テーブル!A13,$X$33=+テーブル!A14,$X$33=+テーブル!A16)</xm:f>
            <x14:dxf>
              <font>
                <color rgb="FFFF0000"/>
              </font>
            </x14:dxf>
          </x14:cfRule>
          <xm:sqref>H33:I33</xm:sqref>
        </x14:conditionalFormatting>
        <x14:conditionalFormatting xmlns:xm="http://schemas.microsoft.com/office/excel/2006/main">
          <x14:cfRule type="expression" priority="42" stopIfTrue="1" id="{C7213730-BDFF-4C80-82C1-1CBADEFBA6BD}">
            <xm:f xml:space="preserve"> OR($X$34=+テーブル!A2,$X$34=+テーブル!A3,$X$34=+テーブル!A9,$X$34=+テーブル!A10,$X$34=+テーブル!A12,$X$34=+テーブル!A13,$X$34=+テーブル!A16)</xm:f>
            <x14:dxf>
              <font>
                <color rgb="FFFF0000"/>
              </font>
            </x14:dxf>
          </x14:cfRule>
          <xm:sqref>D34:E34</xm:sqref>
        </x14:conditionalFormatting>
        <x14:conditionalFormatting xmlns:xm="http://schemas.microsoft.com/office/excel/2006/main">
          <x14:cfRule type="expression" priority="41" stopIfTrue="1" id="{95C598AE-2825-4DEA-A0BF-11A0500F54B0}">
            <xm:f xml:space="preserve"> OR($X$34=+テーブル!A2,$X$34=+テーブル!A4,$X$34=+テーブル!A9,$X$34=+テーブル!A11,$X$34=+テーブル!A12,$X$34=+テーブル!A14,$X$34=+テーブル!A16)</xm:f>
            <x14:dxf>
              <font>
                <color rgb="FFFF0000"/>
              </font>
            </x14:dxf>
          </x14:cfRule>
          <xm:sqref>F34:G34</xm:sqref>
        </x14:conditionalFormatting>
        <x14:conditionalFormatting xmlns:xm="http://schemas.microsoft.com/office/excel/2006/main">
          <x14:cfRule type="expression" priority="40" stopIfTrue="1" id="{BB840791-3388-4534-BE8E-964F7576C1D8}">
            <xm:f xml:space="preserve"> OR($X$34=+テーブル!A2,$X$34=+テーブル!A3,$X$34=+テーブル!A4,$X$34=+テーブル!A9,$X$34=+テーブル!A10,$X$34=+テーブル!A11,$X$34=+テーブル!A12,$X$34=+テーブル!A13,$X$34=+テーブル!A14,$X$34=+テーブル!A16)</xm:f>
            <x14:dxf>
              <font>
                <color rgb="FFFF0000"/>
              </font>
            </x14:dxf>
          </x14:cfRule>
          <xm:sqref>H34:I34</xm:sqref>
        </x14:conditionalFormatting>
        <x14:conditionalFormatting xmlns:xm="http://schemas.microsoft.com/office/excel/2006/main">
          <x14:cfRule type="expression" priority="39" stopIfTrue="1" id="{3EE6A310-9809-40EA-B588-560DC454A16F}">
            <xm:f xml:space="preserve"> OR($X$35=+テーブル!A2,$X$35=+テーブル!A3,$X$35=+テーブル!A9,$X$35=+テーブル!A10,$X$35=+テーブル!A12,$X$35=+テーブル!A13,$X$35=+テーブル!A16)</xm:f>
            <x14:dxf>
              <font>
                <color rgb="FFFF0000"/>
              </font>
            </x14:dxf>
          </x14:cfRule>
          <xm:sqref>D35:E35</xm:sqref>
        </x14:conditionalFormatting>
        <x14:conditionalFormatting xmlns:xm="http://schemas.microsoft.com/office/excel/2006/main">
          <x14:cfRule type="expression" priority="38" stopIfTrue="1" id="{D0FB3D32-7DAF-4129-9E51-ABA72FD791BA}">
            <xm:f xml:space="preserve"> OR($X$35=+テーブル!A2,$X$35=+テーブル!A4,$X$35=+テーブル!A9,$X$35=+テーブル!A11,$X$35=+テーブル!A12,$X$35=+テーブル!A14,$X$35=+テーブル!A16)</xm:f>
            <x14:dxf>
              <font>
                <color rgb="FFFF0000"/>
              </font>
            </x14:dxf>
          </x14:cfRule>
          <xm:sqref>F35:G35</xm:sqref>
        </x14:conditionalFormatting>
        <x14:conditionalFormatting xmlns:xm="http://schemas.microsoft.com/office/excel/2006/main">
          <x14:cfRule type="expression" priority="37" stopIfTrue="1" id="{AA298E02-2D5B-47B8-B9F2-E13A8FDD7688}">
            <xm:f xml:space="preserve"> OR($X$35=+テーブル!A2,$X$35=+テーブル!A3,$X$35=+テーブル!A4,$X$35=+テーブル!A9,$X$35=+テーブル!A10,$X$35=+テーブル!A11,$X$35=+テーブル!A12,$X$35=+テーブル!A13,$X$35=+テーブル!A14,$X$35=+テーブル!A16)</xm:f>
            <x14:dxf>
              <font>
                <color rgb="FFFF0000"/>
              </font>
            </x14:dxf>
          </x14:cfRule>
          <xm:sqref>H35:I35</xm:sqref>
        </x14:conditionalFormatting>
        <x14:conditionalFormatting xmlns:xm="http://schemas.microsoft.com/office/excel/2006/main">
          <x14:cfRule type="expression" priority="36" stopIfTrue="1" id="{3ACE5DD2-CAA1-4AA8-865D-A0127BD79DD8}">
            <xm:f xml:space="preserve"> OR($X$36=+テーブル!A2,$X$36=+テーブル!A3,$X$36=+テーブル!A9,$X$36=+テーブル!A10,$X$36=+テーブル!A12,$X$36=+テーブル!A13,$X$36=+テーブル!A16)</xm:f>
            <x14:dxf>
              <font>
                <color rgb="FFFF0000"/>
              </font>
            </x14:dxf>
          </x14:cfRule>
          <xm:sqref>D36:E36</xm:sqref>
        </x14:conditionalFormatting>
        <x14:conditionalFormatting xmlns:xm="http://schemas.microsoft.com/office/excel/2006/main">
          <x14:cfRule type="expression" priority="35" stopIfTrue="1" id="{3320AE72-3A09-42E5-B0BB-841E675825EA}">
            <xm:f xml:space="preserve"> OR($X$36=+テーブル!A2,$X$36=+テーブル!A4,$X$36=+テーブル!A9,$X$36=+テーブル!A11,$X$36=+テーブル!A12,$X$36=+テーブル!A14,$X$36=+テーブル!A16)</xm:f>
            <x14:dxf>
              <font>
                <color rgb="FFFF0000"/>
              </font>
            </x14:dxf>
          </x14:cfRule>
          <xm:sqref>F36:G36</xm:sqref>
        </x14:conditionalFormatting>
        <x14:conditionalFormatting xmlns:xm="http://schemas.microsoft.com/office/excel/2006/main">
          <x14:cfRule type="expression" priority="34" stopIfTrue="1" id="{5E1306E4-1278-4426-981D-504FDC1D6533}">
            <xm:f xml:space="preserve"> OR($X$36=+テーブル!A2,$X$36=+テーブル!A3,$X$36=+テーブル!A4,$X$36=+テーブル!A9,$X$36=+テーブル!A10,$X$36=+テーブル!A11,$X$36=+テーブル!A12,$X$36=+テーブル!A13,$X$36=+テーブル!A14,$X$36=+テーブル!A16)</xm:f>
            <x14:dxf>
              <font>
                <color rgb="FFFF0000"/>
              </font>
            </x14:dxf>
          </x14:cfRule>
          <xm:sqref>H36:I36</xm:sqref>
        </x14:conditionalFormatting>
        <x14:conditionalFormatting xmlns:xm="http://schemas.microsoft.com/office/excel/2006/main">
          <x14:cfRule type="expression" priority="33" stopIfTrue="1" id="{7FCE4D7E-1426-4DEE-89E6-7CAB19DF4209}">
            <xm:f xml:space="preserve"> OR($X$37=+テーブル!A2,$X$37=+テーブル!A3,$X$37=+テーブル!A9,$X$37=+テーブル!A10,$X$37=+テーブル!A12,$X$37=+テーブル!A13,$X$37=+テーブル!A16)</xm:f>
            <x14:dxf>
              <font>
                <color rgb="FFFF0000"/>
              </font>
            </x14:dxf>
          </x14:cfRule>
          <xm:sqref>D37:E37</xm:sqref>
        </x14:conditionalFormatting>
        <x14:conditionalFormatting xmlns:xm="http://schemas.microsoft.com/office/excel/2006/main">
          <x14:cfRule type="expression" priority="32" stopIfTrue="1" id="{13013630-A1C6-4A12-8EAF-714DAE7A83A2}">
            <xm:f xml:space="preserve"> OR($X$37=+テーブル!A2,$X$37=+テーブル!A4,$X$37=+テーブル!A9,$X$37=+テーブル!A11,$X$37=+テーブル!A12,$X$37=+テーブル!A14,$X$37=+テーブル!A16)</xm:f>
            <x14:dxf>
              <font>
                <color rgb="FFFF0000"/>
              </font>
            </x14:dxf>
          </x14:cfRule>
          <xm:sqref>F37:G37</xm:sqref>
        </x14:conditionalFormatting>
        <x14:conditionalFormatting xmlns:xm="http://schemas.microsoft.com/office/excel/2006/main">
          <x14:cfRule type="expression" priority="31" stopIfTrue="1" id="{ECBB0EB4-5FAA-431A-A98A-C6E1CE1E4585}">
            <xm:f xml:space="preserve"> OR($X$37=+テーブル!A2,$X$37=+テーブル!A3,$X$37=+テーブル!A4,$X$37=+テーブル!A9,$X$37=+テーブル!A10,$X$37=+テーブル!A11,$X$37=+テーブル!A12,$X$37=+テーブル!A13,$X$37=+テーブル!A14,$X$37=+テーブル!A16)</xm:f>
            <x14:dxf>
              <font>
                <color rgb="FFFF0000"/>
              </font>
            </x14:dxf>
          </x14:cfRule>
          <xm:sqref>H37:I37</xm:sqref>
        </x14:conditionalFormatting>
        <x14:conditionalFormatting xmlns:xm="http://schemas.microsoft.com/office/excel/2006/main">
          <x14:cfRule type="expression" priority="30" stopIfTrue="1" id="{39431B03-68F9-46F7-B063-571D98440374}">
            <xm:f xml:space="preserve"> OR($X$38=+テーブル!A2,$X$38=+テーブル!A3,$X$38=+テーブル!A9,$X$38=+テーブル!A10,$X$38=+テーブル!A12,$X$38=+テーブル!A13,$X$38=+テーブル!A16)</xm:f>
            <x14:dxf>
              <font>
                <color rgb="FFFF0000"/>
              </font>
            </x14:dxf>
          </x14:cfRule>
          <xm:sqref>D38:E38</xm:sqref>
        </x14:conditionalFormatting>
        <x14:conditionalFormatting xmlns:xm="http://schemas.microsoft.com/office/excel/2006/main">
          <x14:cfRule type="expression" priority="29" stopIfTrue="1" id="{05804459-C722-4DEE-BAF3-3E7D8E392F5B}">
            <xm:f xml:space="preserve"> OR($X$38=+テーブル!A2,$X$38=+テーブル!A4,$X$38=+テーブル!A9,$X$38=+テーブル!A11,$X$38=+テーブル!A12,$X$38=+テーブル!A14,$X$38=+テーブル!A16)</xm:f>
            <x14:dxf>
              <font>
                <color rgb="FFFF0000"/>
              </font>
            </x14:dxf>
          </x14:cfRule>
          <xm:sqref>F38:G38</xm:sqref>
        </x14:conditionalFormatting>
        <x14:conditionalFormatting xmlns:xm="http://schemas.microsoft.com/office/excel/2006/main">
          <x14:cfRule type="expression" priority="28" stopIfTrue="1" id="{03824FC6-3A0E-4D6E-A910-71753E01022C}">
            <xm:f xml:space="preserve"> OR($X$38=+テーブル!A2,$X$38=+テーブル!A3,$X$38=+テーブル!A4,$X$38=+テーブル!A9,$X$38=+テーブル!A10,$X$38=+テーブル!A11,$X$38=+テーブル!A12,$X$38=+テーブル!A13,$X$38=+テーブル!A14,$X$38=+テーブル!A16)</xm:f>
            <x14:dxf>
              <font>
                <color rgb="FFFF0000"/>
              </font>
            </x14:dxf>
          </x14:cfRule>
          <xm:sqref>H38:I38</xm:sqref>
        </x14:conditionalFormatting>
        <x14:conditionalFormatting xmlns:xm="http://schemas.microsoft.com/office/excel/2006/main">
          <x14:cfRule type="expression" priority="27" stopIfTrue="1" id="{33C661CE-CCBE-4DB2-997F-7B923A42BC6F}">
            <xm:f xml:space="preserve"> OR($X$39=+テーブル!A2,$X$39=+テーブル!A3,$X$39=+テーブル!A9,$X$39=+テーブル!A10,$X$39=+テーブル!A12,$X$39=+テーブル!A13,$X$39=+テーブル!A16)</xm:f>
            <x14:dxf>
              <font>
                <color rgb="FFFF0000"/>
              </font>
            </x14:dxf>
          </x14:cfRule>
          <xm:sqref>D39:E39</xm:sqref>
        </x14:conditionalFormatting>
        <x14:conditionalFormatting xmlns:xm="http://schemas.microsoft.com/office/excel/2006/main">
          <x14:cfRule type="expression" priority="26" stopIfTrue="1" id="{1DF94882-D23A-49EE-BB68-0494EAFB5982}">
            <xm:f xml:space="preserve"> OR($X$39=+テーブル!A2,$X$39=+テーブル!A4,$X$39=+テーブル!A9,$X$39=+テーブル!A11,$X$39=+テーブル!A12,$X$39=+テーブル!A14,$X$39=+テーブル!A16)</xm:f>
            <x14:dxf>
              <font>
                <color rgb="FFFF0000"/>
              </font>
            </x14:dxf>
          </x14:cfRule>
          <xm:sqref>F39:G39</xm:sqref>
        </x14:conditionalFormatting>
        <x14:conditionalFormatting xmlns:xm="http://schemas.microsoft.com/office/excel/2006/main">
          <x14:cfRule type="expression" priority="25" stopIfTrue="1" id="{08B48911-F31D-41AD-9DBC-C87E2AB546DE}">
            <xm:f xml:space="preserve"> OR($X$39=+テーブル!A2,$X$39=+テーブル!A3,$X$39=+テーブル!A4,$X$39=+テーブル!A9,$X$39=+テーブル!A10,$X$39=+テーブル!A11,$X$39=+テーブル!A12,$X$39=+テーブル!A13,$X$39=+テーブル!A14,$X$39=+テーブル!A16)</xm:f>
            <x14:dxf>
              <font>
                <color rgb="FFFF0000"/>
              </font>
            </x14:dxf>
          </x14:cfRule>
          <xm:sqref>H39:I39</xm:sqref>
        </x14:conditionalFormatting>
        <x14:conditionalFormatting xmlns:xm="http://schemas.microsoft.com/office/excel/2006/main">
          <x14:cfRule type="expression" priority="24" stopIfTrue="1" id="{0A1FA95A-F59F-4252-8371-E45798581570}">
            <xm:f xml:space="preserve"> OR($X$40=+テーブル!A2,$X$40=+テーブル!A3,$X$40=+テーブル!A9,$X$40=+テーブル!A10,$X$40=+テーブル!A12,$X$40=+テーブル!A13,$X$40=+テーブル!A16)</xm:f>
            <x14:dxf>
              <font>
                <color rgb="FFFF0000"/>
              </font>
            </x14:dxf>
          </x14:cfRule>
          <xm:sqref>D40:E40</xm:sqref>
        </x14:conditionalFormatting>
        <x14:conditionalFormatting xmlns:xm="http://schemas.microsoft.com/office/excel/2006/main">
          <x14:cfRule type="expression" priority="23" stopIfTrue="1" id="{9FC64776-8313-4431-9C32-FED88415A620}">
            <xm:f xml:space="preserve"> OR($X$40=+テーブル!A2,$X$40=+テーブル!A4,$X$40=+テーブル!A9,$X$40=+テーブル!A11,$X$40=+テーブル!A12,$X$40=+テーブル!A14,$X$40=+テーブル!A16)</xm:f>
            <x14:dxf>
              <font>
                <color rgb="FFFF0000"/>
              </font>
            </x14:dxf>
          </x14:cfRule>
          <xm:sqref>F40:G40</xm:sqref>
        </x14:conditionalFormatting>
        <x14:conditionalFormatting xmlns:xm="http://schemas.microsoft.com/office/excel/2006/main">
          <x14:cfRule type="expression" priority="22" stopIfTrue="1" id="{65CAC510-1E45-4689-910B-99BA2B7A006B}">
            <xm:f xml:space="preserve"> OR($X$40=+テーブル!A2,$X$40=+テーブル!A3,$X$40=+テーブル!A4,$X$40=+テーブル!A9,$X$40=+テーブル!A10,$X$40=+テーブル!A11,$X$40=+テーブル!A12,$X$40=+テーブル!A13,$X$40=+テーブル!A14,$X$40=+テーブル!A16)</xm:f>
            <x14:dxf>
              <font>
                <color rgb="FFFF0000"/>
              </font>
            </x14:dxf>
          </x14:cfRule>
          <xm:sqref>H40:I40</xm:sqref>
        </x14:conditionalFormatting>
        <x14:conditionalFormatting xmlns:xm="http://schemas.microsoft.com/office/excel/2006/main">
          <x14:cfRule type="expression" priority="21" stopIfTrue="1" id="{09E5DFF8-39AF-4C15-85F5-4E5B8C9A9699}">
            <xm:f xml:space="preserve"> OR($X$41=+テーブル!A2,$X$41=+テーブル!A3,$X$41=+テーブル!A9,$X$41=+テーブル!A10,$X$41=+テーブル!A12,$X$41=+テーブル!A13,$X$41=+テーブル!A16)</xm:f>
            <x14:dxf>
              <font>
                <color rgb="FFFF0000"/>
              </font>
            </x14:dxf>
          </x14:cfRule>
          <xm:sqref>D41:E41</xm:sqref>
        </x14:conditionalFormatting>
        <x14:conditionalFormatting xmlns:xm="http://schemas.microsoft.com/office/excel/2006/main">
          <x14:cfRule type="expression" priority="20" stopIfTrue="1" id="{86EB3D48-D1EB-4098-918F-7F76EAAB9721}">
            <xm:f xml:space="preserve"> OR($X$41=+テーブル!A2,$X$41=+テーブル!A4,$X$41=+テーブル!A9,$X$41=+テーブル!A11,$X$41=+テーブル!A12,$X$41=+テーブル!A14,$X$41=+テーブル!A16)</xm:f>
            <x14:dxf>
              <font>
                <color rgb="FFFF0000"/>
              </font>
            </x14:dxf>
          </x14:cfRule>
          <xm:sqref>F41:G41</xm:sqref>
        </x14:conditionalFormatting>
        <x14:conditionalFormatting xmlns:xm="http://schemas.microsoft.com/office/excel/2006/main">
          <x14:cfRule type="expression" priority="19" stopIfTrue="1" id="{A47CF3DD-F79F-4F2B-8474-FC02976422DF}">
            <xm:f xml:space="preserve"> OR($X$41=+テーブル!A2,$X$41=+テーブル!A3,$X$41=+テーブル!A4,$X$41=+テーブル!A9,$X$41=+テーブル!A10,$X$41=+テーブル!A11,$X$41=+テーブル!A12,$X$41=+テーブル!A13,$X$41=+テーブル!A14,$X$41=+テーブル!A16)</xm:f>
            <x14:dxf>
              <font>
                <color rgb="FFFF0000"/>
              </font>
            </x14:dxf>
          </x14:cfRule>
          <xm:sqref>H41:I41</xm:sqref>
        </x14:conditionalFormatting>
        <x14:conditionalFormatting xmlns:xm="http://schemas.microsoft.com/office/excel/2006/main">
          <x14:cfRule type="expression" priority="18" stopIfTrue="1" id="{3D9E2105-0816-4696-A3C7-05546E9C30B5}">
            <xm:f xml:space="preserve"> OR($X$42=+テーブル!A2,$X$42=+テーブル!A3,$X$42=+テーブル!A9,$X$42=+テーブル!A10,$X$42=+テーブル!A12,$X$42=+テーブル!A13,$X$42=+テーブル!A16)</xm:f>
            <x14:dxf>
              <font>
                <color rgb="FFFF0000"/>
              </font>
            </x14:dxf>
          </x14:cfRule>
          <xm:sqref>D42:E42</xm:sqref>
        </x14:conditionalFormatting>
        <x14:conditionalFormatting xmlns:xm="http://schemas.microsoft.com/office/excel/2006/main">
          <x14:cfRule type="expression" priority="17" stopIfTrue="1" id="{A0FE5B27-1DC6-4873-B2E5-AF597649F5CE}">
            <xm:f xml:space="preserve"> OR($X$42=+テーブル!A2,$X$42=+テーブル!A4,$X$42=+テーブル!A9,$X$42=+テーブル!A11,$X$42=+テーブル!A12,$X$42=+テーブル!A14,$X$42=+テーブル!A16)</xm:f>
            <x14:dxf>
              <font>
                <color rgb="FFFF0000"/>
              </font>
            </x14:dxf>
          </x14:cfRule>
          <xm:sqref>F42:G42</xm:sqref>
        </x14:conditionalFormatting>
        <x14:conditionalFormatting xmlns:xm="http://schemas.microsoft.com/office/excel/2006/main">
          <x14:cfRule type="expression" priority="16" stopIfTrue="1" id="{ABE6BB6D-E72F-439C-BF3B-E210A7272AAB}">
            <xm:f xml:space="preserve"> OR($X$42=+テーブル!A2,$X$42=+テーブル!A3,$X$42=+テーブル!A4,$X$42=+テーブル!A9,$X$42=+テーブル!A10,$X$42=+テーブル!A11,$X$42=+テーブル!A12,$X$42=+テーブル!A13,$X$42=+テーブル!A14,$X$42=+テーブル!A16)</xm:f>
            <x14:dxf>
              <font>
                <color rgb="FFFF0000"/>
              </font>
            </x14:dxf>
          </x14:cfRule>
          <xm:sqref>H42:I42</xm:sqref>
        </x14:conditionalFormatting>
        <x14:conditionalFormatting xmlns:xm="http://schemas.microsoft.com/office/excel/2006/main">
          <x14:cfRule type="expression" priority="15" stopIfTrue="1" id="{EDB33970-55C3-4B9E-8E9F-8A68053E4C49}">
            <xm:f xml:space="preserve"> OR($X$43=+テーブル!A2,$X$43=+テーブル!A3,$X$43=+テーブル!A9,$X$43=+テーブル!A10,$X$43=+テーブル!A12,$X$43=+テーブル!A13,$X$43=+テーブル!A16)</xm:f>
            <x14:dxf>
              <font>
                <color rgb="FFFF0000"/>
              </font>
            </x14:dxf>
          </x14:cfRule>
          <xm:sqref>D43:E43</xm:sqref>
        </x14:conditionalFormatting>
        <x14:conditionalFormatting xmlns:xm="http://schemas.microsoft.com/office/excel/2006/main">
          <x14:cfRule type="expression" priority="14" stopIfTrue="1" id="{D6812742-21B4-46EC-8186-8DE031C21AB2}">
            <xm:f xml:space="preserve"> OR($X$43=+テーブル!A2,$X$43=+テーブル!A4,$X$43=+テーブル!A9,$X$43=+テーブル!A11,$X$43=+テーブル!A12,$X$43=+テーブル!A14,$X$43=+テーブル!A16)</xm:f>
            <x14:dxf>
              <font>
                <color rgb="FFFF0000"/>
              </font>
            </x14:dxf>
          </x14:cfRule>
          <xm:sqref>F43:G43</xm:sqref>
        </x14:conditionalFormatting>
        <x14:conditionalFormatting xmlns:xm="http://schemas.microsoft.com/office/excel/2006/main">
          <x14:cfRule type="expression" priority="13" stopIfTrue="1" id="{676D50DB-376E-4049-AC5E-7CECC479B710}">
            <xm:f xml:space="preserve"> OR($X$43=+テーブル!A2,$X$43=+テーブル!A3,$X$43=+テーブル!A4,$X$43=+テーブル!A9,$X$43=+テーブル!A10,$X$43=+テーブル!A11,$X$43=+テーブル!A12,$X$43=+テーブル!A13,$X$43=+テーブル!A14,$X$43=+テーブル!A16)</xm:f>
            <x14:dxf>
              <font>
                <color rgb="FFFF0000"/>
              </font>
            </x14:dxf>
          </x14:cfRule>
          <xm:sqref>H43:I43</xm:sqref>
        </x14:conditionalFormatting>
        <x14:conditionalFormatting xmlns:xm="http://schemas.microsoft.com/office/excel/2006/main">
          <x14:cfRule type="expression" priority="12" stopIfTrue="1" id="{92E9F280-C94C-43A2-B21D-FFE82A3198CD}">
            <xm:f xml:space="preserve"> OR($X$44=+テーブル!A2,$X$44=+テーブル!A3,$X$44=+テーブル!A9,$X$44=+テーブル!A10,$X$44=+テーブル!A12,$X$44=+テーブル!A13,$X$44=+テーブル!A16)</xm:f>
            <x14:dxf>
              <font>
                <color rgb="FFFF0000"/>
              </font>
            </x14:dxf>
          </x14:cfRule>
          <xm:sqref>D44:E44</xm:sqref>
        </x14:conditionalFormatting>
        <x14:conditionalFormatting xmlns:xm="http://schemas.microsoft.com/office/excel/2006/main">
          <x14:cfRule type="expression" priority="11" stopIfTrue="1" id="{A05D3CEA-C200-4590-9749-F1829C319CC4}">
            <xm:f xml:space="preserve"> OR($X$44=+テーブル!A2,$X$44=+テーブル!A4,$X$44=+テーブル!A9,$X$44=+テーブル!A11,$X$44=+テーブル!A12,$X$44=+テーブル!A14,$X$44=+テーブル!A16)</xm:f>
            <x14:dxf>
              <font>
                <color rgb="FFFF0000"/>
              </font>
            </x14:dxf>
          </x14:cfRule>
          <xm:sqref>F44:G44</xm:sqref>
        </x14:conditionalFormatting>
        <x14:conditionalFormatting xmlns:xm="http://schemas.microsoft.com/office/excel/2006/main">
          <x14:cfRule type="expression" priority="10" stopIfTrue="1" id="{3DB7ADC5-D59A-4286-8E7A-EEC7A8E2A7A5}">
            <xm:f xml:space="preserve"> OR($X$44=+テーブル!A2,$X$44=+テーブル!A3,$X$44=+テーブル!A4,$X$44=+テーブル!A9,$X$44=+テーブル!A10,$X$44=+テーブル!A11,$X$44=+テーブル!A12,$X$44=+テーブル!A13,$X$44=+テーブル!A14,$X$44=+テーブル!A16)</xm:f>
            <x14:dxf>
              <font>
                <color rgb="FFFF0000"/>
              </font>
            </x14:dxf>
          </x14:cfRule>
          <xm:sqref>H44:I44</xm:sqref>
        </x14:conditionalFormatting>
        <x14:conditionalFormatting xmlns:xm="http://schemas.microsoft.com/office/excel/2006/main">
          <x14:cfRule type="expression" priority="9" stopIfTrue="1" id="{49F9922B-450F-4D11-AE31-B2C2A544D17B}">
            <xm:f xml:space="preserve"> OR($X$45=+テーブル!A2,$X$45=+テーブル!A3,$X$45=+テーブル!A9,$X$45=+テーブル!A10,$X$45=+テーブル!A12,$X$45=+テーブル!A13,$X$45=+テーブル!A16)</xm:f>
            <x14:dxf>
              <font>
                <color rgb="FFFF0000"/>
              </font>
            </x14:dxf>
          </x14:cfRule>
          <xm:sqref>D45:E45</xm:sqref>
        </x14:conditionalFormatting>
        <x14:conditionalFormatting xmlns:xm="http://schemas.microsoft.com/office/excel/2006/main">
          <x14:cfRule type="expression" priority="8" stopIfTrue="1" id="{BCDCFED3-FE84-4B1D-8590-A983D061AE06}">
            <xm:f xml:space="preserve"> OR($X$45=+テーブル!A2,$X$45=+テーブル!A4,$X$45=+テーブル!A9,$X$45=+テーブル!A11,$X$45=+テーブル!A12,$X$45=+テーブル!A14,$X$45=+テーブル!A16)</xm:f>
            <x14:dxf>
              <font>
                <color rgb="FFFF0000"/>
              </font>
            </x14:dxf>
          </x14:cfRule>
          <xm:sqref>F45:G45</xm:sqref>
        </x14:conditionalFormatting>
        <x14:conditionalFormatting xmlns:xm="http://schemas.microsoft.com/office/excel/2006/main">
          <x14:cfRule type="expression" priority="7" stopIfTrue="1" id="{60509A0D-4213-44F8-86EF-B29849037B0F}">
            <xm:f xml:space="preserve"> OR($X$45=+テーブル!A2,$X$45=+テーブル!A3,$X$45=+テーブル!A4,$X$45=+テーブル!A9,$X$45=+テーブル!A10,$X$45=+テーブル!A11,$X$45=+テーブル!A12,$X$45=+テーブル!A13,$X$45=+テーブル!A14,$X$45=+テーブル!A16)</xm:f>
            <x14:dxf>
              <font>
                <color rgb="FFFF0000"/>
              </font>
            </x14:dxf>
          </x14:cfRule>
          <xm:sqref>H45:I45</xm:sqref>
        </x14:conditionalFormatting>
        <x14:conditionalFormatting xmlns:xm="http://schemas.microsoft.com/office/excel/2006/main">
          <x14:cfRule type="expression" priority="6" stopIfTrue="1" id="{CEB3C4D2-8E35-45FE-994A-5639F378571E}">
            <xm:f xml:space="preserve"> OR($X$46=+テーブル!A2,$X$46=+テーブル!A3,$X$46=+テーブル!A9,$X$46=+テーブル!A10,$X$46=+テーブル!A12,$X$46=+テーブル!A13,$X$46=+テーブル!A16)</xm:f>
            <x14:dxf>
              <font>
                <color rgb="FFFF0000"/>
              </font>
            </x14:dxf>
          </x14:cfRule>
          <xm:sqref>D46:E46</xm:sqref>
        </x14:conditionalFormatting>
        <x14:conditionalFormatting xmlns:xm="http://schemas.microsoft.com/office/excel/2006/main">
          <x14:cfRule type="expression" priority="5" stopIfTrue="1" id="{D4B2E5D5-75A3-44E6-B4F4-617561AFF04C}">
            <xm:f xml:space="preserve"> OR($X$46=+テーブル!A2,$X$46=+テーブル!A4,$X$46=+テーブル!A9,$X$46=+テーブル!A11,$X$46=+テーブル!A12,$X$46=+テーブル!A14,$X$46=+テーブル!A16)</xm:f>
            <x14:dxf>
              <font>
                <color rgb="FFFF0000"/>
              </font>
            </x14:dxf>
          </x14:cfRule>
          <xm:sqref>F46:G46</xm:sqref>
        </x14:conditionalFormatting>
        <x14:conditionalFormatting xmlns:xm="http://schemas.microsoft.com/office/excel/2006/main">
          <x14:cfRule type="expression" priority="4" stopIfTrue="1" id="{16331FAF-80C0-4B11-80D1-F8E67DCC3A30}">
            <xm:f xml:space="preserve"> OR($X$46=+テーブル!A2,$X$46=+テーブル!A3,$X$46=+テーブル!A4,$X$46=+テーブル!A9,$X$46=+テーブル!A10,$X$46=+テーブル!A11,$X$46=+テーブル!A12,$X$46=+テーブル!A13,$X$46=+テーブル!A14,$X$46=+テーブル!A16)</xm:f>
            <x14:dxf>
              <font>
                <color rgb="FFFF0000"/>
              </font>
            </x14:dxf>
          </x14:cfRule>
          <xm:sqref>H46:I46</xm:sqref>
        </x14:conditionalFormatting>
        <x14:conditionalFormatting xmlns:xm="http://schemas.microsoft.com/office/excel/2006/main">
          <x14:cfRule type="expression" priority="3" stopIfTrue="1" id="{40921D3B-CA63-4F12-894B-EFD3E1A3972D}">
            <xm:f xml:space="preserve"> OR($X$47=+テーブル!A2,$X$47=+テーブル!A3,$X$47=+テーブル!A9,$X$47=+テーブル!A10,$X$47=+テーブル!A12,$X$47=+テーブル!A13,$X$47=+テーブル!A16)</xm:f>
            <x14:dxf>
              <font>
                <color rgb="FFFF0000"/>
              </font>
            </x14:dxf>
          </x14:cfRule>
          <xm:sqref>D47:E47</xm:sqref>
        </x14:conditionalFormatting>
        <x14:conditionalFormatting xmlns:xm="http://schemas.microsoft.com/office/excel/2006/main">
          <x14:cfRule type="expression" priority="2" stopIfTrue="1" id="{C037C98E-439C-4D5C-9056-C1BC302249D1}">
            <xm:f xml:space="preserve"> OR($X$47=+テーブル!A2,$X$47=+テーブル!A4,$X$47=+テーブル!A9,$X$47=+テーブル!A11,$X$47=+テーブル!A12,$X$47=+テーブル!A14,$X$47=+テーブル!A16)</xm:f>
            <x14:dxf>
              <font>
                <color rgb="FFFF0000"/>
              </font>
            </x14:dxf>
          </x14:cfRule>
          <xm:sqref>F47:G47</xm:sqref>
        </x14:conditionalFormatting>
        <x14:conditionalFormatting xmlns:xm="http://schemas.microsoft.com/office/excel/2006/main">
          <x14:cfRule type="expression" priority="1" stopIfTrue="1" id="{3A2F3F45-B71B-4F46-8862-2C20B25C2D75}">
            <xm:f xml:space="preserve"> OR($X$47=+テーブル!A2,$X$47=+テーブル!A3,$X$47=+テーブル!A4,$X$47=+テーブル!A9,$X$47=+テーブル!A10,$X$47=+テーブル!A11,$X$47=+テーブル!A12,$X$47=+テーブル!A13,$X$47=+テーブル!A14,$X$47=+テーブル!A16)</xm:f>
            <x14:dxf>
              <font>
                <color rgb="FFFF0000"/>
              </font>
            </x14:dxf>
          </x14:cfRule>
          <xm:sqref>H47:I47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18989C9-F915-444B-86A4-EB296C8ABC48}">
          <x14:formula1>
            <xm:f>テーブル!$Q:$Q</xm:f>
          </x14:formula1>
          <xm:sqref>D62:I64</xm:sqref>
        </x14:dataValidation>
        <x14:dataValidation type="list" allowBlank="1" showInputMessage="1" showErrorMessage="1" xr:uid="{1F939A5F-FE46-4A43-8EC4-DBF613A879A8}">
          <x14:formula1>
            <xm:f>テーブル!$P:$P</xm:f>
          </x14:formula1>
          <xm:sqref>D61:I61</xm:sqref>
        </x14:dataValidation>
        <x14:dataValidation type="list" allowBlank="1" showInputMessage="1" showErrorMessage="1" xr:uid="{978CC215-3C04-40D0-8AB4-F08BABD31C13}">
          <x14:formula1>
            <xm:f>テーブル!$B:$B</xm:f>
          </x14:formula1>
          <xm:sqref>P57:W57</xm:sqref>
        </x14:dataValidation>
        <x14:dataValidation type="list" allowBlank="1" showInputMessage="1" showErrorMessage="1" xr:uid="{233D1260-5F4E-4F50-A1D2-CAA459DCD94F}">
          <x14:formula1>
            <xm:f>テーブル!$A:$A</xm:f>
          </x14:formula1>
          <xm:sqref>X17:Z47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58A44-1A2C-4643-B71B-34A89E1127BC}">
  <sheetPr codeName="Sheet29">
    <pageSetUpPr fitToPage="1"/>
  </sheetPr>
  <dimension ref="A1:AH83"/>
  <sheetViews>
    <sheetView view="pageBreakPreview" zoomScaleNormal="130" zoomScaleSheetLayoutView="100" workbookViewId="0">
      <pane ySplit="16" topLeftCell="A17" activePane="bottomLeft" state="frozen"/>
      <selection activeCell="AC46" sqref="AC46"/>
      <selection pane="bottomLeft" activeCell="AC46" sqref="AC46"/>
    </sheetView>
  </sheetViews>
  <sheetFormatPr defaultRowHeight="13" x14ac:dyDescent="0.2"/>
  <cols>
    <col min="1" max="1" width="5.36328125" customWidth="1"/>
    <col min="2" max="7" width="3.6328125" customWidth="1"/>
    <col min="8" max="8" width="4.36328125" customWidth="1"/>
    <col min="9" max="12" width="3.6328125" customWidth="1"/>
    <col min="13" max="15" width="3.90625" customWidth="1"/>
    <col min="16" max="26" width="3.6328125" customWidth="1"/>
    <col min="27" max="28" width="10.453125" bestFit="1" customWidth="1"/>
    <col min="257" max="282" width="3.6328125" customWidth="1"/>
    <col min="513" max="538" width="3.6328125" customWidth="1"/>
    <col min="769" max="794" width="3.6328125" customWidth="1"/>
    <col min="1025" max="1050" width="3.6328125" customWidth="1"/>
    <col min="1281" max="1306" width="3.6328125" customWidth="1"/>
    <col min="1537" max="1562" width="3.6328125" customWidth="1"/>
    <col min="1793" max="1818" width="3.6328125" customWidth="1"/>
    <col min="2049" max="2074" width="3.6328125" customWidth="1"/>
    <col min="2305" max="2330" width="3.6328125" customWidth="1"/>
    <col min="2561" max="2586" width="3.6328125" customWidth="1"/>
    <col min="2817" max="2842" width="3.6328125" customWidth="1"/>
    <col min="3073" max="3098" width="3.6328125" customWidth="1"/>
    <col min="3329" max="3354" width="3.6328125" customWidth="1"/>
    <col min="3585" max="3610" width="3.6328125" customWidth="1"/>
    <col min="3841" max="3866" width="3.6328125" customWidth="1"/>
    <col min="4097" max="4122" width="3.6328125" customWidth="1"/>
    <col min="4353" max="4378" width="3.6328125" customWidth="1"/>
    <col min="4609" max="4634" width="3.6328125" customWidth="1"/>
    <col min="4865" max="4890" width="3.6328125" customWidth="1"/>
    <col min="5121" max="5146" width="3.6328125" customWidth="1"/>
    <col min="5377" max="5402" width="3.6328125" customWidth="1"/>
    <col min="5633" max="5658" width="3.6328125" customWidth="1"/>
    <col min="5889" max="5914" width="3.6328125" customWidth="1"/>
    <col min="6145" max="6170" width="3.6328125" customWidth="1"/>
    <col min="6401" max="6426" width="3.6328125" customWidth="1"/>
    <col min="6657" max="6682" width="3.6328125" customWidth="1"/>
    <col min="6913" max="6938" width="3.6328125" customWidth="1"/>
    <col min="7169" max="7194" width="3.6328125" customWidth="1"/>
    <col min="7425" max="7450" width="3.6328125" customWidth="1"/>
    <col min="7681" max="7706" width="3.6328125" customWidth="1"/>
    <col min="7937" max="7962" width="3.6328125" customWidth="1"/>
    <col min="8193" max="8218" width="3.6328125" customWidth="1"/>
    <col min="8449" max="8474" width="3.6328125" customWidth="1"/>
    <col min="8705" max="8730" width="3.6328125" customWidth="1"/>
    <col min="8961" max="8986" width="3.6328125" customWidth="1"/>
    <col min="9217" max="9242" width="3.6328125" customWidth="1"/>
    <col min="9473" max="9498" width="3.6328125" customWidth="1"/>
    <col min="9729" max="9754" width="3.6328125" customWidth="1"/>
    <col min="9985" max="10010" width="3.6328125" customWidth="1"/>
    <col min="10241" max="10266" width="3.6328125" customWidth="1"/>
    <col min="10497" max="10522" width="3.6328125" customWidth="1"/>
    <col min="10753" max="10778" width="3.6328125" customWidth="1"/>
    <col min="11009" max="11034" width="3.6328125" customWidth="1"/>
    <col min="11265" max="11290" width="3.6328125" customWidth="1"/>
    <col min="11521" max="11546" width="3.6328125" customWidth="1"/>
    <col min="11777" max="11802" width="3.6328125" customWidth="1"/>
    <col min="12033" max="12058" width="3.6328125" customWidth="1"/>
    <col min="12289" max="12314" width="3.6328125" customWidth="1"/>
    <col min="12545" max="12570" width="3.6328125" customWidth="1"/>
    <col min="12801" max="12826" width="3.6328125" customWidth="1"/>
    <col min="13057" max="13082" width="3.6328125" customWidth="1"/>
    <col min="13313" max="13338" width="3.6328125" customWidth="1"/>
    <col min="13569" max="13594" width="3.6328125" customWidth="1"/>
    <col min="13825" max="13850" width="3.6328125" customWidth="1"/>
    <col min="14081" max="14106" width="3.6328125" customWidth="1"/>
    <col min="14337" max="14362" width="3.6328125" customWidth="1"/>
    <col min="14593" max="14618" width="3.6328125" customWidth="1"/>
    <col min="14849" max="14874" width="3.6328125" customWidth="1"/>
    <col min="15105" max="15130" width="3.6328125" customWidth="1"/>
    <col min="15361" max="15386" width="3.6328125" customWidth="1"/>
    <col min="15617" max="15642" width="3.6328125" customWidth="1"/>
    <col min="15873" max="15898" width="3.6328125" customWidth="1"/>
    <col min="16129" max="16154" width="3.6328125" customWidth="1"/>
  </cols>
  <sheetData>
    <row r="1" spans="1:32" ht="8" customHeight="1" x14ac:dyDescent="0.2">
      <c r="A1" s="55">
        <v>45444</v>
      </c>
      <c r="B1" s="85">
        <v>45444</v>
      </c>
      <c r="AB1" s="55"/>
      <c r="AC1" s="57"/>
    </row>
    <row r="2" spans="1:32" ht="8" customHeight="1" x14ac:dyDescent="0.2">
      <c r="A2" s="3"/>
      <c r="B2" s="3"/>
      <c r="C2" s="3"/>
      <c r="D2" s="3"/>
      <c r="E2" s="3"/>
      <c r="F2" s="3"/>
      <c r="G2" s="3"/>
      <c r="H2" s="3"/>
      <c r="I2" s="3"/>
      <c r="J2" s="4"/>
      <c r="K2" s="4"/>
      <c r="L2" s="5"/>
      <c r="M2" s="6"/>
      <c r="N2" s="6"/>
      <c r="O2" s="6"/>
      <c r="P2" s="4"/>
      <c r="X2" t="s">
        <v>66</v>
      </c>
      <c r="Y2" s="361">
        <f>LOOKUP(10^10,Ver管理!C3:C33)</f>
        <v>6</v>
      </c>
      <c r="Z2" s="361"/>
    </row>
    <row r="3" spans="1:32" ht="10" customHeight="1" thickBot="1" x14ac:dyDescent="0.25">
      <c r="A3" s="362">
        <f ca="1">+VLOOKUP(AB5,テーブル!L:M,2,0)</f>
        <v>46174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2"/>
      <c r="R3" s="362"/>
      <c r="S3" s="362"/>
      <c r="T3" s="362"/>
      <c r="U3" s="362"/>
      <c r="V3" s="362"/>
      <c r="W3" s="362"/>
      <c r="X3" s="362"/>
      <c r="Y3" s="362"/>
      <c r="Z3" s="362"/>
    </row>
    <row r="4" spans="1:32" ht="10" customHeight="1" x14ac:dyDescent="0.2">
      <c r="A4" s="362"/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B4" s="68"/>
      <c r="AC4" s="69"/>
      <c r="AD4" s="70"/>
    </row>
    <row r="5" spans="1:32" ht="14.15" customHeight="1" x14ac:dyDescent="0.2">
      <c r="A5" s="363" t="s">
        <v>202</v>
      </c>
      <c r="B5" s="363"/>
      <c r="C5" s="363"/>
      <c r="D5" s="363"/>
      <c r="E5" s="364" t="str">
        <f>+'5月'!$E$5</f>
        <v>NMHT　社員</v>
      </c>
      <c r="F5" s="364"/>
      <c r="G5" s="364"/>
      <c r="H5" s="364"/>
      <c r="I5" s="364"/>
      <c r="J5" s="7"/>
      <c r="K5" s="7"/>
      <c r="L5" s="7"/>
      <c r="M5" s="7"/>
      <c r="N5" s="7"/>
      <c r="O5" s="7"/>
      <c r="P5" s="7" t="str">
        <f ca="1">IF(_xlfn.XLOOKUP(当月,テーブル!U:U,テーブル!V:V,0,FALSE)+_xlfn.XLOOKUP(当月,テーブル!U:U,テーブル!W:W,0,FALSE)&lt;&gt;_xlfn.XLOOKUP(AB6,テーブル!U:U,テーブル!V:V,0,FALSE)+_xlfn.XLOOKUP(AB6,テーブル!U:U,テーブル!W:W,0,FALSE),"基給+手当1に前月と差異があります。","")</f>
        <v/>
      </c>
      <c r="Q5" s="7"/>
      <c r="R5" s="8"/>
      <c r="S5" s="8"/>
      <c r="T5" s="8"/>
      <c r="U5" s="8"/>
      <c r="AB5" s="71" t="str" cm="1">
        <f t="array" aca="1" ref="AB5" ca="1">RIGHT(CELL("filename",A1),LEN(CELL("filename",A1))-FIND("]",CELL("filename",A1)))</f>
        <v>6月</v>
      </c>
      <c r="AC5" t="s">
        <v>158</v>
      </c>
      <c r="AD5" s="72"/>
    </row>
    <row r="6" spans="1:32" ht="14" customHeight="1" x14ac:dyDescent="0.25">
      <c r="A6" s="366">
        <f>+'5月'!$A$6</f>
        <v>2000002</v>
      </c>
      <c r="B6" s="366"/>
      <c r="C6" s="366"/>
      <c r="D6" s="366"/>
      <c r="E6" s="365"/>
      <c r="F6" s="365"/>
      <c r="G6" s="365"/>
      <c r="H6" s="365"/>
      <c r="I6" s="365"/>
      <c r="J6" s="9" t="s">
        <v>98</v>
      </c>
      <c r="K6" s="108" t="str">
        <f ca="1">HYPERLINK(LEFT(TEXT(CELL("filename",B2),0),SEARCH("\[",TEXT(CELL("filename",B2),0),1)-1)&amp;"\")</f>
        <v>Z:\マクロ保管場所谷津用\2月控除分\</v>
      </c>
      <c r="L6" s="5"/>
      <c r="M6" s="6"/>
      <c r="N6" s="6"/>
      <c r="O6" s="6"/>
      <c r="P6" s="4"/>
      <c r="AB6" s="71" t="str">
        <f ca="1">+IF(SUBSTITUTE(当月,"月","")-1=0,12,SUBSTITUTE(当月,"月","")-1) &amp; "月"</f>
        <v>5月</v>
      </c>
      <c r="AC6" s="74" t="s">
        <v>170</v>
      </c>
      <c r="AD6" s="72"/>
    </row>
    <row r="7" spans="1:32" ht="14.15" customHeight="1" x14ac:dyDescent="0.2">
      <c r="I7" s="3"/>
      <c r="K7" s="11"/>
      <c r="N7" s="368"/>
      <c r="O7" s="368"/>
      <c r="P7" s="367" t="s">
        <v>272</v>
      </c>
      <c r="Q7" s="358"/>
      <c r="R7" s="358"/>
      <c r="S7" s="358"/>
      <c r="T7" s="358"/>
      <c r="U7" s="358"/>
      <c r="V7" s="358"/>
      <c r="W7" s="358"/>
      <c r="X7" s="358"/>
      <c r="Y7" s="358"/>
      <c r="Z7" s="358"/>
      <c r="AB7" s="73"/>
      <c r="AC7" s="56">
        <v>0.91666666666666663</v>
      </c>
      <c r="AD7" s="72"/>
    </row>
    <row r="8" spans="1:32" ht="14.15" hidden="1" customHeight="1" thickBot="1" x14ac:dyDescent="0.25">
      <c r="A8" s="163" t="s">
        <v>99</v>
      </c>
      <c r="B8" s="120"/>
      <c r="C8" s="350" t="str">
        <f>+'5月'!C8</f>
        <v>株式会社エヌエム・ヒューマテック</v>
      </c>
      <c r="D8" s="351"/>
      <c r="E8" s="351"/>
      <c r="F8" s="351"/>
      <c r="G8" s="351"/>
      <c r="H8" s="351"/>
      <c r="I8" s="352"/>
      <c r="J8" s="353"/>
      <c r="K8" s="11"/>
      <c r="L8" s="1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B8" s="75">
        <f ca="1">+IF(給与体系="管理監督者",0,IF(給与体系="月給制",1,2))</f>
        <v>2</v>
      </c>
      <c r="AC8" s="76">
        <v>0.20833333333333334</v>
      </c>
      <c r="AD8" s="77"/>
    </row>
    <row r="9" spans="1:32" ht="14.15" hidden="1" customHeight="1" x14ac:dyDescent="0.2">
      <c r="A9" s="166"/>
      <c r="B9" s="123"/>
      <c r="C9" s="354"/>
      <c r="D9" s="355"/>
      <c r="E9" s="355"/>
      <c r="F9" s="355"/>
      <c r="G9" s="355"/>
      <c r="H9" s="355"/>
      <c r="I9" s="356"/>
      <c r="J9" s="357"/>
      <c r="K9" s="13"/>
      <c r="P9" s="53"/>
      <c r="Q9" s="54" t="s">
        <v>269</v>
      </c>
      <c r="R9" s="52"/>
      <c r="S9" s="52"/>
      <c r="T9" s="358" t="s">
        <v>270</v>
      </c>
      <c r="U9" s="358"/>
      <c r="V9" s="358"/>
      <c r="W9" s="358"/>
      <c r="X9" s="358"/>
      <c r="Y9" s="358"/>
      <c r="Z9" s="358"/>
    </row>
    <row r="10" spans="1:32" ht="14.15" hidden="1" customHeight="1" x14ac:dyDescent="0.2">
      <c r="A10" s="163" t="s">
        <v>100</v>
      </c>
      <c r="B10" s="120"/>
      <c r="C10" s="359" t="str">
        <f>+'5月'!C10</f>
        <v>管理部</v>
      </c>
      <c r="D10" s="332"/>
      <c r="E10" s="332"/>
      <c r="F10" s="332"/>
      <c r="G10" s="332"/>
      <c r="H10" s="332"/>
      <c r="I10" s="333"/>
      <c r="J10" s="334"/>
      <c r="K10" s="13"/>
      <c r="P10" s="53"/>
      <c r="Q10" s="52"/>
      <c r="R10" s="52"/>
      <c r="S10" s="52"/>
      <c r="T10" s="360" t="s">
        <v>271</v>
      </c>
      <c r="U10" s="360"/>
      <c r="V10" s="360"/>
      <c r="W10" s="360"/>
      <c r="X10" s="360"/>
      <c r="Y10" s="360"/>
      <c r="Z10" s="360"/>
    </row>
    <row r="11" spans="1:32" ht="14.15" hidden="1" customHeight="1" x14ac:dyDescent="0.2">
      <c r="A11" s="166"/>
      <c r="B11" s="123"/>
      <c r="C11" s="335"/>
      <c r="D11" s="336"/>
      <c r="E11" s="336"/>
      <c r="F11" s="336"/>
      <c r="G11" s="336"/>
      <c r="H11" s="336"/>
      <c r="I11" s="337"/>
      <c r="J11" s="338"/>
      <c r="K11" s="4"/>
      <c r="L11" s="4"/>
      <c r="P11" s="52"/>
      <c r="Q11" s="54" t="s">
        <v>96</v>
      </c>
      <c r="R11" s="54"/>
      <c r="S11" s="53"/>
      <c r="T11" s="54"/>
      <c r="U11" s="53"/>
      <c r="V11" s="54" t="s">
        <v>97</v>
      </c>
      <c r="W11" s="54"/>
      <c r="X11" s="52"/>
      <c r="Y11" s="52"/>
      <c r="Z11" s="52"/>
      <c r="AE11" t="s">
        <v>178</v>
      </c>
    </row>
    <row r="12" spans="1:32" ht="14.15" hidden="1" customHeight="1" x14ac:dyDescent="0.2">
      <c r="A12" s="163" t="s">
        <v>101</v>
      </c>
      <c r="B12" s="120"/>
      <c r="C12" s="331"/>
      <c r="D12" s="332"/>
      <c r="E12" s="332"/>
      <c r="F12" s="332"/>
      <c r="G12" s="332"/>
      <c r="H12" s="332"/>
      <c r="I12" s="333"/>
      <c r="J12" s="334"/>
      <c r="K12" s="13"/>
      <c r="M12" s="15"/>
      <c r="N12" s="15"/>
      <c r="O12" s="14"/>
      <c r="P12" s="14"/>
      <c r="Q12" s="14"/>
      <c r="R12" s="14"/>
      <c r="S12" s="14"/>
      <c r="T12" s="14"/>
      <c r="U12" s="14"/>
      <c r="V12" s="8"/>
      <c r="W12" s="8"/>
      <c r="AF12">
        <f ca="1">+IFERROR(((MAX(0,超過勤務時間計+深夜残業時間計-60)*1.5+MIN(60,超過勤務時間計+深夜残業時間計)*1.25))/(超過勤務時間計),0)</f>
        <v>0</v>
      </c>
    </row>
    <row r="13" spans="1:32" ht="14.15" hidden="1" customHeight="1" x14ac:dyDescent="0.2">
      <c r="A13" s="166"/>
      <c r="B13" s="123"/>
      <c r="C13" s="335"/>
      <c r="D13" s="336"/>
      <c r="E13" s="336"/>
      <c r="F13" s="336"/>
      <c r="G13" s="336"/>
      <c r="H13" s="336"/>
      <c r="I13" s="337"/>
      <c r="J13" s="338"/>
      <c r="K13" s="13"/>
      <c r="M13" s="16"/>
      <c r="N13" s="15"/>
      <c r="O13" s="14"/>
      <c r="P13" s="14"/>
      <c r="S13">
        <f>+'5月'!S13</f>
        <v>0</v>
      </c>
    </row>
    <row r="14" spans="1:32" ht="14.15" hidden="1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4"/>
      <c r="K14" s="4"/>
      <c r="L14" s="4"/>
      <c r="M14" s="4"/>
      <c r="N14" s="17"/>
      <c r="O14" s="4"/>
      <c r="P14" s="4"/>
      <c r="U14" s="18"/>
    </row>
    <row r="15" spans="1:32" ht="14.15" customHeight="1" x14ac:dyDescent="0.2">
      <c r="A15" s="339" t="s">
        <v>5</v>
      </c>
      <c r="B15" s="340"/>
      <c r="C15" s="339" t="s">
        <v>6</v>
      </c>
      <c r="D15" s="312" t="s">
        <v>36</v>
      </c>
      <c r="E15" s="343"/>
      <c r="F15" s="343"/>
      <c r="G15" s="313"/>
      <c r="H15" s="344" t="s">
        <v>37</v>
      </c>
      <c r="I15" s="345"/>
      <c r="J15" s="345" t="s">
        <v>7</v>
      </c>
      <c r="K15" s="348"/>
      <c r="L15" s="314" t="s">
        <v>8</v>
      </c>
      <c r="M15" s="325"/>
      <c r="N15" s="328" t="s">
        <v>9</v>
      </c>
      <c r="O15" s="315"/>
      <c r="P15" s="314" t="s">
        <v>10</v>
      </c>
      <c r="Q15" s="315"/>
      <c r="R15" s="314" t="s">
        <v>11</v>
      </c>
      <c r="S15" s="315"/>
      <c r="T15" s="314" t="s">
        <v>12</v>
      </c>
      <c r="U15" s="315"/>
      <c r="V15" s="314" t="s">
        <v>43</v>
      </c>
      <c r="W15" s="315"/>
      <c r="X15" s="304" t="s">
        <v>122</v>
      </c>
      <c r="Y15" s="305"/>
      <c r="Z15" s="306"/>
      <c r="AA15" s="310" t="s">
        <v>107</v>
      </c>
      <c r="AB15" t="s">
        <v>32</v>
      </c>
    </row>
    <row r="16" spans="1:32" ht="14.15" customHeight="1" x14ac:dyDescent="0.2">
      <c r="A16" s="341"/>
      <c r="B16" s="342"/>
      <c r="C16" s="341"/>
      <c r="D16" s="312" t="s">
        <v>14</v>
      </c>
      <c r="E16" s="313"/>
      <c r="F16" s="312" t="s">
        <v>15</v>
      </c>
      <c r="G16" s="313"/>
      <c r="H16" s="346"/>
      <c r="I16" s="347"/>
      <c r="J16" s="347"/>
      <c r="K16" s="349"/>
      <c r="L16" s="326"/>
      <c r="M16" s="327"/>
      <c r="N16" s="329"/>
      <c r="O16" s="317"/>
      <c r="P16" s="316"/>
      <c r="Q16" s="317"/>
      <c r="R16" s="316"/>
      <c r="S16" s="317"/>
      <c r="T16" s="316"/>
      <c r="U16" s="317"/>
      <c r="V16" s="316"/>
      <c r="W16" s="317"/>
      <c r="X16" s="307"/>
      <c r="Y16" s="308"/>
      <c r="Z16" s="309"/>
      <c r="AA16" s="311"/>
      <c r="AB16" t="s">
        <v>210</v>
      </c>
      <c r="AC16" s="59"/>
    </row>
    <row r="17" spans="1:30" s="59" customFormat="1" ht="14.15" customHeight="1" x14ac:dyDescent="0.2">
      <c r="A17" s="318">
        <f ca="1">A3</f>
        <v>46174</v>
      </c>
      <c r="B17" s="319"/>
      <c r="C17" s="78">
        <f ca="1">IF(A17="","",IF(WEEKDAY(A17,1)=1,1,IF(COUNTIF(祝日管理!B:B,A17)=1,"祝",WEEKDAY(A17,1))))</f>
        <v>2</v>
      </c>
      <c r="D17" s="320"/>
      <c r="E17" s="320"/>
      <c r="F17" s="320"/>
      <c r="G17" s="320"/>
      <c r="H17" s="320"/>
      <c r="I17" s="321"/>
      <c r="J17" s="322">
        <f>IF(OR(D17="",F17="",H17=""),0,IF(F17&gt;D17,F17,F17+24)-D17-H17)</f>
        <v>0</v>
      </c>
      <c r="K17" s="323"/>
      <c r="L17" s="299">
        <f>IF(J17="",0,(HOUR(J17))+(ROUNDDOWN(MINUTE(J17)/60,2)*1))</f>
        <v>0</v>
      </c>
      <c r="M17" s="324"/>
      <c r="N17" s="330">
        <v>0</v>
      </c>
      <c r="O17" s="300"/>
      <c r="P17" s="299">
        <v>0</v>
      </c>
      <c r="Q17" s="300"/>
      <c r="R17" s="299">
        <f ca="1">+IF(A17="",0,IF(X17="法休",0,NOT(OR(D17="",F17=""))*MIN(7,(MAX(0,MIN(F17,$AC$8)-D17)+MAX(0,F17-$AC$7+(D17&gt;F17)))*24)))</f>
        <v>0</v>
      </c>
      <c r="S17" s="300"/>
      <c r="T17" s="299">
        <f t="shared" ref="T17" ca="1" si="0">+IF(A17="",0,IF(X17="法休",L17-V17,0))</f>
        <v>0</v>
      </c>
      <c r="U17" s="300"/>
      <c r="V17" s="299">
        <f t="shared" ref="V17" ca="1" si="1">+IF(A17="",0,IF(X17&lt;&gt;"法休",0,NOT(OR(D17="",F17=""))*MIN(7,(MAX(0,MIN(F17,$AC$8)-D17)+MAX(0,F17-$AC$7+(D17&gt;F17)))*24)))</f>
        <v>0</v>
      </c>
      <c r="W17" s="300"/>
      <c r="X17" s="301" t="s">
        <v>185</v>
      </c>
      <c r="Y17" s="302"/>
      <c r="Z17" s="303"/>
      <c r="AA17" s="79"/>
      <c r="AB17" s="93">
        <f t="shared" ref="AB17:AB46" si="2">IF(ISERROR((X17="")*(7.5-N17)),0,(X17="")*(7.5-N17))</f>
        <v>0</v>
      </c>
      <c r="AD17" s="67"/>
    </row>
    <row r="18" spans="1:30" ht="14.15" customHeight="1" x14ac:dyDescent="0.2">
      <c r="A18" s="290">
        <f t="shared" ref="A18:A44" ca="1" si="3">A17+1</f>
        <v>46175</v>
      </c>
      <c r="B18" s="291"/>
      <c r="C18" s="80">
        <f ca="1">IF(A18="","",IF(WEEKDAY(A18,1)=1,1,IF(COUNTIF(祝日管理!B:B,A18)=1,"祝",WEEKDAY(A18,1))))</f>
        <v>3</v>
      </c>
      <c r="D18" s="292"/>
      <c r="E18" s="292"/>
      <c r="F18" s="292"/>
      <c r="G18" s="292"/>
      <c r="H18" s="292"/>
      <c r="I18" s="293"/>
      <c r="J18" s="298">
        <f t="shared" ref="J18:J47" si="4">IF(OR(D18="",F18="",H18=""),0,IF(F18&gt;D18,F18,F18+24)-D18-H18)</f>
        <v>0</v>
      </c>
      <c r="K18" s="294"/>
      <c r="L18" s="285">
        <f t="shared" ref="L18:L47" si="5">IF(J18="",0,(HOUR(J18))+(ROUNDDOWN(MINUTE(J18)/60,2)*1))</f>
        <v>0</v>
      </c>
      <c r="M18" s="296"/>
      <c r="N18" s="297">
        <v>0</v>
      </c>
      <c r="O18" s="286"/>
      <c r="P18" s="285">
        <v>0</v>
      </c>
      <c r="Q18" s="286"/>
      <c r="R18" s="285">
        <f t="shared" ref="R18:R47" ca="1" si="6">+IF(A18="",0,IF(X18="法休",0,NOT(OR(D18="",F18=""))*MIN(7,(MAX(0,MIN(F18,$AC$8)-D18)+MAX(0,F18-$AC$7+(D18&gt;F18)))*24)))</f>
        <v>0</v>
      </c>
      <c r="S18" s="286"/>
      <c r="T18" s="285">
        <f t="shared" ref="T18:T47" ca="1" si="7">+IF(A18="",0,IF(X18="法休",L18-V18,0))</f>
        <v>0</v>
      </c>
      <c r="U18" s="286"/>
      <c r="V18" s="285">
        <f t="shared" ref="V18:V47" ca="1" si="8">+IF(A18="",0,IF(X18&lt;&gt;"法休",0,NOT(OR(D18="",F18=""))*MIN(7,(MAX(0,MIN(F18,$AC$8)-D18)+MAX(0,F18-$AC$7+(D18&gt;F18)))*24)))</f>
        <v>0</v>
      </c>
      <c r="W18" s="286"/>
      <c r="X18" s="287"/>
      <c r="Y18" s="288"/>
      <c r="Z18" s="289"/>
      <c r="AA18" s="81"/>
      <c r="AB18" s="93">
        <f t="shared" si="2"/>
        <v>7.5</v>
      </c>
      <c r="AC18" s="59"/>
      <c r="AD18" t="s">
        <v>175</v>
      </c>
    </row>
    <row r="19" spans="1:30" ht="14.15" customHeight="1" x14ac:dyDescent="0.2">
      <c r="A19" s="290">
        <f t="shared" ca="1" si="3"/>
        <v>46176</v>
      </c>
      <c r="B19" s="291"/>
      <c r="C19" s="80">
        <f ca="1">IF(A19="","",IF(WEEKDAY(A19,1)=1,1,IF(COUNTIF(祝日管理!B:B,A19)=1,"祝",WEEKDAY(A19,1))))</f>
        <v>4</v>
      </c>
      <c r="D19" s="292"/>
      <c r="E19" s="292"/>
      <c r="F19" s="292"/>
      <c r="G19" s="292"/>
      <c r="H19" s="292"/>
      <c r="I19" s="293"/>
      <c r="J19" s="298">
        <f t="shared" si="4"/>
        <v>0</v>
      </c>
      <c r="K19" s="294"/>
      <c r="L19" s="285">
        <f t="shared" si="5"/>
        <v>0</v>
      </c>
      <c r="M19" s="296"/>
      <c r="N19" s="297">
        <v>0</v>
      </c>
      <c r="O19" s="286"/>
      <c r="P19" s="285">
        <v>0</v>
      </c>
      <c r="Q19" s="286"/>
      <c r="R19" s="285">
        <f t="shared" ca="1" si="6"/>
        <v>0</v>
      </c>
      <c r="S19" s="286"/>
      <c r="T19" s="285">
        <f t="shared" ca="1" si="7"/>
        <v>0</v>
      </c>
      <c r="U19" s="286"/>
      <c r="V19" s="285">
        <f t="shared" ca="1" si="8"/>
        <v>0</v>
      </c>
      <c r="W19" s="286"/>
      <c r="X19" s="287"/>
      <c r="Y19" s="288"/>
      <c r="Z19" s="289"/>
      <c r="AA19" s="81"/>
      <c r="AB19" s="93">
        <f t="shared" si="2"/>
        <v>7.5</v>
      </c>
      <c r="AC19" s="59"/>
    </row>
    <row r="20" spans="1:30" ht="14.15" customHeight="1" x14ac:dyDescent="0.2">
      <c r="A20" s="290">
        <f t="shared" ca="1" si="3"/>
        <v>46177</v>
      </c>
      <c r="B20" s="291"/>
      <c r="C20" s="80">
        <f ca="1">IF(A20="","",IF(WEEKDAY(A20,1)=1,1,IF(COUNTIF(祝日管理!B:B,A20)=1,"祝",WEEKDAY(A20,1))))</f>
        <v>5</v>
      </c>
      <c r="D20" s="292"/>
      <c r="E20" s="292"/>
      <c r="F20" s="292"/>
      <c r="G20" s="292"/>
      <c r="H20" s="292"/>
      <c r="I20" s="293"/>
      <c r="J20" s="298">
        <f t="shared" si="4"/>
        <v>0</v>
      </c>
      <c r="K20" s="294"/>
      <c r="L20" s="285">
        <f t="shared" si="5"/>
        <v>0</v>
      </c>
      <c r="M20" s="296"/>
      <c r="N20" s="297">
        <v>0</v>
      </c>
      <c r="O20" s="286"/>
      <c r="P20" s="285">
        <v>0</v>
      </c>
      <c r="Q20" s="286"/>
      <c r="R20" s="285">
        <f t="shared" ca="1" si="6"/>
        <v>0</v>
      </c>
      <c r="S20" s="286"/>
      <c r="T20" s="285">
        <f t="shared" ca="1" si="7"/>
        <v>0</v>
      </c>
      <c r="U20" s="286"/>
      <c r="V20" s="285">
        <f t="shared" ca="1" si="8"/>
        <v>0</v>
      </c>
      <c r="W20" s="286"/>
      <c r="X20" s="287"/>
      <c r="Y20" s="288"/>
      <c r="Z20" s="289"/>
      <c r="AA20" s="81"/>
      <c r="AB20" s="93">
        <f t="shared" si="2"/>
        <v>7.5</v>
      </c>
      <c r="AC20" s="59"/>
    </row>
    <row r="21" spans="1:30" ht="14.15" customHeight="1" x14ac:dyDescent="0.2">
      <c r="A21" s="290">
        <f t="shared" ca="1" si="3"/>
        <v>46178</v>
      </c>
      <c r="B21" s="291"/>
      <c r="C21" s="80">
        <f ca="1">IF(A21="","",IF(WEEKDAY(A21,1)=1,1,IF(COUNTIF(祝日管理!B:B,A21)=1,"祝",WEEKDAY(A21,1))))</f>
        <v>6</v>
      </c>
      <c r="D21" s="292"/>
      <c r="E21" s="292"/>
      <c r="F21" s="292"/>
      <c r="G21" s="292"/>
      <c r="H21" s="292"/>
      <c r="I21" s="293"/>
      <c r="J21" s="298">
        <f t="shared" si="4"/>
        <v>0</v>
      </c>
      <c r="K21" s="294"/>
      <c r="L21" s="285">
        <f t="shared" si="5"/>
        <v>0</v>
      </c>
      <c r="M21" s="296"/>
      <c r="N21" s="297">
        <v>0</v>
      </c>
      <c r="O21" s="286"/>
      <c r="P21" s="285">
        <v>0</v>
      </c>
      <c r="Q21" s="286"/>
      <c r="R21" s="285">
        <f t="shared" ca="1" si="6"/>
        <v>0</v>
      </c>
      <c r="S21" s="286"/>
      <c r="T21" s="285">
        <f t="shared" ca="1" si="7"/>
        <v>0</v>
      </c>
      <c r="U21" s="286"/>
      <c r="V21" s="285">
        <f t="shared" ca="1" si="8"/>
        <v>0</v>
      </c>
      <c r="W21" s="286"/>
      <c r="X21" s="287"/>
      <c r="Y21" s="288"/>
      <c r="Z21" s="289"/>
      <c r="AA21" s="81"/>
      <c r="AB21" s="93">
        <f t="shared" si="2"/>
        <v>7.5</v>
      </c>
      <c r="AC21" s="59"/>
      <c r="AD21" t="s">
        <v>176</v>
      </c>
    </row>
    <row r="22" spans="1:30" s="59" customFormat="1" ht="14.15" customHeight="1" x14ac:dyDescent="0.2">
      <c r="A22" s="290">
        <f t="shared" ca="1" si="3"/>
        <v>46179</v>
      </c>
      <c r="B22" s="291"/>
      <c r="C22" s="80">
        <f ca="1">IF(A22="","",IF(WEEKDAY(A22,1)=1,1,IF(COUNTIF(祝日管理!B:B,A22)=1,"祝",WEEKDAY(A22,1))))</f>
        <v>7</v>
      </c>
      <c r="D22" s="292"/>
      <c r="E22" s="292"/>
      <c r="F22" s="292"/>
      <c r="G22" s="292"/>
      <c r="H22" s="292"/>
      <c r="I22" s="293"/>
      <c r="J22" s="298">
        <f t="shared" si="4"/>
        <v>0</v>
      </c>
      <c r="K22" s="294"/>
      <c r="L22" s="285">
        <f t="shared" si="5"/>
        <v>0</v>
      </c>
      <c r="M22" s="296"/>
      <c r="N22" s="297">
        <v>0</v>
      </c>
      <c r="O22" s="286"/>
      <c r="P22" s="285">
        <v>0</v>
      </c>
      <c r="Q22" s="286"/>
      <c r="R22" s="285">
        <f t="shared" ca="1" si="6"/>
        <v>0</v>
      </c>
      <c r="S22" s="286"/>
      <c r="T22" s="285">
        <f t="shared" ca="1" si="7"/>
        <v>0</v>
      </c>
      <c r="U22" s="286"/>
      <c r="V22" s="285">
        <f t="shared" ca="1" si="8"/>
        <v>0</v>
      </c>
      <c r="W22" s="286"/>
      <c r="X22" s="287"/>
      <c r="Y22" s="288"/>
      <c r="Z22" s="289"/>
      <c r="AA22" s="81"/>
      <c r="AB22" s="93">
        <f t="shared" si="2"/>
        <v>7.5</v>
      </c>
    </row>
    <row r="23" spans="1:30" ht="14.15" customHeight="1" x14ac:dyDescent="0.2">
      <c r="A23" s="290">
        <f t="shared" ca="1" si="3"/>
        <v>46180</v>
      </c>
      <c r="B23" s="291"/>
      <c r="C23" s="80">
        <f ca="1">IF(A23="","",IF(WEEKDAY(A23,1)=1,1,IF(COUNTIF(祝日管理!B:B,A23)=1,"祝",WEEKDAY(A23,1))))</f>
        <v>1</v>
      </c>
      <c r="D23" s="292"/>
      <c r="E23" s="292"/>
      <c r="F23" s="292"/>
      <c r="G23" s="292"/>
      <c r="H23" s="292"/>
      <c r="I23" s="293"/>
      <c r="J23" s="298">
        <f t="shared" si="4"/>
        <v>0</v>
      </c>
      <c r="K23" s="294"/>
      <c r="L23" s="285">
        <f t="shared" si="5"/>
        <v>0</v>
      </c>
      <c r="M23" s="296"/>
      <c r="N23" s="297">
        <v>0</v>
      </c>
      <c r="O23" s="286"/>
      <c r="P23" s="285">
        <v>0</v>
      </c>
      <c r="Q23" s="286"/>
      <c r="R23" s="285">
        <f t="shared" ca="1" si="6"/>
        <v>0</v>
      </c>
      <c r="S23" s="286"/>
      <c r="T23" s="285">
        <f t="shared" ca="1" si="7"/>
        <v>0</v>
      </c>
      <c r="U23" s="286"/>
      <c r="V23" s="285">
        <f t="shared" ca="1" si="8"/>
        <v>0</v>
      </c>
      <c r="W23" s="286"/>
      <c r="X23" s="287" t="s">
        <v>187</v>
      </c>
      <c r="Y23" s="288"/>
      <c r="Z23" s="289"/>
      <c r="AA23" s="81"/>
      <c r="AB23" s="93">
        <f t="shared" si="2"/>
        <v>0</v>
      </c>
    </row>
    <row r="24" spans="1:30" ht="14.15" customHeight="1" x14ac:dyDescent="0.2">
      <c r="A24" s="290">
        <f t="shared" ca="1" si="3"/>
        <v>46181</v>
      </c>
      <c r="B24" s="291"/>
      <c r="C24" s="80">
        <f ca="1">IF(A24="","",IF(WEEKDAY(A24,1)=1,1,IF(COUNTIF(祝日管理!B:B,A24)=1,"祝",WEEKDAY(A24,1))))</f>
        <v>2</v>
      </c>
      <c r="D24" s="292"/>
      <c r="E24" s="292"/>
      <c r="F24" s="292"/>
      <c r="G24" s="292"/>
      <c r="H24" s="292"/>
      <c r="I24" s="293"/>
      <c r="J24" s="298">
        <f t="shared" si="4"/>
        <v>0</v>
      </c>
      <c r="K24" s="294"/>
      <c r="L24" s="285">
        <f t="shared" si="5"/>
        <v>0</v>
      </c>
      <c r="M24" s="296"/>
      <c r="N24" s="297">
        <v>0</v>
      </c>
      <c r="O24" s="286"/>
      <c r="P24" s="285">
        <v>0</v>
      </c>
      <c r="Q24" s="286"/>
      <c r="R24" s="285">
        <f t="shared" ca="1" si="6"/>
        <v>0</v>
      </c>
      <c r="S24" s="286"/>
      <c r="T24" s="285">
        <f t="shared" ca="1" si="7"/>
        <v>0</v>
      </c>
      <c r="U24" s="286"/>
      <c r="V24" s="285">
        <f t="shared" ca="1" si="8"/>
        <v>0</v>
      </c>
      <c r="W24" s="286"/>
      <c r="X24" s="287" t="s">
        <v>185</v>
      </c>
      <c r="Y24" s="288"/>
      <c r="Z24" s="289"/>
      <c r="AA24" s="81"/>
      <c r="AB24" s="93">
        <f t="shared" si="2"/>
        <v>0</v>
      </c>
      <c r="AD24" t="s">
        <v>177</v>
      </c>
    </row>
    <row r="25" spans="1:30" ht="14.15" customHeight="1" x14ac:dyDescent="0.2">
      <c r="A25" s="290">
        <f t="shared" ca="1" si="3"/>
        <v>46182</v>
      </c>
      <c r="B25" s="291"/>
      <c r="C25" s="80">
        <f ca="1">IF(A25="","",IF(WEEKDAY(A25,1)=1,1,IF(COUNTIF(祝日管理!B:B,A25)=1,"祝",WEEKDAY(A25,1))))</f>
        <v>3</v>
      </c>
      <c r="D25" s="292"/>
      <c r="E25" s="292"/>
      <c r="F25" s="292"/>
      <c r="G25" s="292"/>
      <c r="H25" s="292"/>
      <c r="I25" s="293"/>
      <c r="J25" s="298">
        <f t="shared" si="4"/>
        <v>0</v>
      </c>
      <c r="K25" s="294"/>
      <c r="L25" s="285">
        <f t="shared" si="5"/>
        <v>0</v>
      </c>
      <c r="M25" s="296"/>
      <c r="N25" s="297">
        <v>0</v>
      </c>
      <c r="O25" s="286"/>
      <c r="P25" s="285">
        <v>0</v>
      </c>
      <c r="Q25" s="286"/>
      <c r="R25" s="285">
        <f t="shared" ca="1" si="6"/>
        <v>0</v>
      </c>
      <c r="S25" s="286"/>
      <c r="T25" s="285">
        <f t="shared" ca="1" si="7"/>
        <v>0</v>
      </c>
      <c r="U25" s="286"/>
      <c r="V25" s="285">
        <f t="shared" ca="1" si="8"/>
        <v>0</v>
      </c>
      <c r="W25" s="286"/>
      <c r="X25" s="287"/>
      <c r="Y25" s="288"/>
      <c r="Z25" s="289"/>
      <c r="AA25" s="81"/>
      <c r="AB25" s="93">
        <f t="shared" si="2"/>
        <v>7.5</v>
      </c>
    </row>
    <row r="26" spans="1:30" ht="14.15" customHeight="1" x14ac:dyDescent="0.2">
      <c r="A26" s="290">
        <f t="shared" ca="1" si="3"/>
        <v>46183</v>
      </c>
      <c r="B26" s="291"/>
      <c r="C26" s="80">
        <f ca="1">IF(A26="","",IF(WEEKDAY(A26,1)=1,1,IF(COUNTIF(祝日管理!B:B,A26)=1,"祝",WEEKDAY(A26,1))))</f>
        <v>4</v>
      </c>
      <c r="D26" s="292"/>
      <c r="E26" s="292"/>
      <c r="F26" s="292"/>
      <c r="G26" s="292"/>
      <c r="H26" s="292"/>
      <c r="I26" s="293"/>
      <c r="J26" s="298">
        <f t="shared" si="4"/>
        <v>0</v>
      </c>
      <c r="K26" s="294"/>
      <c r="L26" s="285">
        <f t="shared" si="5"/>
        <v>0</v>
      </c>
      <c r="M26" s="296"/>
      <c r="N26" s="297">
        <v>0</v>
      </c>
      <c r="O26" s="286"/>
      <c r="P26" s="285">
        <v>0</v>
      </c>
      <c r="Q26" s="286"/>
      <c r="R26" s="285">
        <f t="shared" ca="1" si="6"/>
        <v>0</v>
      </c>
      <c r="S26" s="286"/>
      <c r="T26" s="285">
        <f t="shared" ca="1" si="7"/>
        <v>0</v>
      </c>
      <c r="U26" s="286"/>
      <c r="V26" s="285">
        <f t="shared" ca="1" si="8"/>
        <v>0</v>
      </c>
      <c r="W26" s="286"/>
      <c r="X26" s="287"/>
      <c r="Y26" s="288"/>
      <c r="Z26" s="289"/>
      <c r="AA26" s="81"/>
      <c r="AB26" s="93">
        <f t="shared" si="2"/>
        <v>7.5</v>
      </c>
      <c r="AD26" t="s">
        <v>213</v>
      </c>
    </row>
    <row r="27" spans="1:30" ht="14.15" customHeight="1" x14ac:dyDescent="0.2">
      <c r="A27" s="290">
        <f t="shared" ca="1" si="3"/>
        <v>46184</v>
      </c>
      <c r="B27" s="291"/>
      <c r="C27" s="80">
        <f ca="1">IF(A27="","",IF(WEEKDAY(A27,1)=1,1,IF(COUNTIF(祝日管理!B:B,A27)=1,"祝",WEEKDAY(A27,1))))</f>
        <v>5</v>
      </c>
      <c r="D27" s="292"/>
      <c r="E27" s="292"/>
      <c r="F27" s="292"/>
      <c r="G27" s="292"/>
      <c r="H27" s="292"/>
      <c r="I27" s="293"/>
      <c r="J27" s="298">
        <f t="shared" si="4"/>
        <v>0</v>
      </c>
      <c r="K27" s="294"/>
      <c r="L27" s="285">
        <f t="shared" si="5"/>
        <v>0</v>
      </c>
      <c r="M27" s="296"/>
      <c r="N27" s="297">
        <v>0</v>
      </c>
      <c r="O27" s="286"/>
      <c r="P27" s="285">
        <v>0</v>
      </c>
      <c r="Q27" s="286"/>
      <c r="R27" s="285">
        <f t="shared" ca="1" si="6"/>
        <v>0</v>
      </c>
      <c r="S27" s="286"/>
      <c r="T27" s="285">
        <f t="shared" ca="1" si="7"/>
        <v>0</v>
      </c>
      <c r="U27" s="286"/>
      <c r="V27" s="285">
        <f t="shared" ca="1" si="8"/>
        <v>0</v>
      </c>
      <c r="W27" s="286"/>
      <c r="X27" s="287"/>
      <c r="Y27" s="288"/>
      <c r="Z27" s="289"/>
      <c r="AA27" s="81"/>
      <c r="AB27" s="93">
        <f t="shared" si="2"/>
        <v>7.5</v>
      </c>
    </row>
    <row r="28" spans="1:30" ht="14.15" customHeight="1" x14ac:dyDescent="0.2">
      <c r="A28" s="290">
        <f t="shared" ca="1" si="3"/>
        <v>46185</v>
      </c>
      <c r="B28" s="291"/>
      <c r="C28" s="80">
        <f ca="1">IF(A28="","",IF(WEEKDAY(A28,1)=1,1,IF(COUNTIF(祝日管理!B:B,A28)=1,"祝",WEEKDAY(A28,1))))</f>
        <v>6</v>
      </c>
      <c r="D28" s="292"/>
      <c r="E28" s="292"/>
      <c r="F28" s="292"/>
      <c r="G28" s="292"/>
      <c r="H28" s="292"/>
      <c r="I28" s="293"/>
      <c r="J28" s="298">
        <f t="shared" si="4"/>
        <v>0</v>
      </c>
      <c r="K28" s="294"/>
      <c r="L28" s="285">
        <f t="shared" si="5"/>
        <v>0</v>
      </c>
      <c r="M28" s="296"/>
      <c r="N28" s="297">
        <v>0</v>
      </c>
      <c r="O28" s="286"/>
      <c r="P28" s="285">
        <v>0</v>
      </c>
      <c r="Q28" s="286"/>
      <c r="R28" s="285">
        <f t="shared" ca="1" si="6"/>
        <v>0</v>
      </c>
      <c r="S28" s="286"/>
      <c r="T28" s="285">
        <f t="shared" ca="1" si="7"/>
        <v>0</v>
      </c>
      <c r="U28" s="286"/>
      <c r="V28" s="285">
        <f t="shared" ca="1" si="8"/>
        <v>0</v>
      </c>
      <c r="W28" s="286"/>
      <c r="X28" s="287"/>
      <c r="Y28" s="288"/>
      <c r="Z28" s="289"/>
      <c r="AA28" s="81"/>
      <c r="AB28" s="93">
        <f t="shared" si="2"/>
        <v>7.5</v>
      </c>
    </row>
    <row r="29" spans="1:30" s="59" customFormat="1" ht="14.15" customHeight="1" x14ac:dyDescent="0.2">
      <c r="A29" s="290">
        <f t="shared" ca="1" si="3"/>
        <v>46186</v>
      </c>
      <c r="B29" s="291"/>
      <c r="C29" s="80">
        <f ca="1">IF(A29="","",IF(WEEKDAY(A29,1)=1,1,IF(COUNTIF(祝日管理!B:B,A29)=1,"祝",WEEKDAY(A29,1))))</f>
        <v>7</v>
      </c>
      <c r="D29" s="292"/>
      <c r="E29" s="292"/>
      <c r="F29" s="292"/>
      <c r="G29" s="292"/>
      <c r="H29" s="292"/>
      <c r="I29" s="293"/>
      <c r="J29" s="298">
        <f t="shared" si="4"/>
        <v>0</v>
      </c>
      <c r="K29" s="294"/>
      <c r="L29" s="285">
        <f t="shared" si="5"/>
        <v>0</v>
      </c>
      <c r="M29" s="296"/>
      <c r="N29" s="297">
        <v>0</v>
      </c>
      <c r="O29" s="286"/>
      <c r="P29" s="285">
        <v>0</v>
      </c>
      <c r="Q29" s="286"/>
      <c r="R29" s="285">
        <f t="shared" ca="1" si="6"/>
        <v>0</v>
      </c>
      <c r="S29" s="286"/>
      <c r="T29" s="285">
        <f t="shared" ca="1" si="7"/>
        <v>0</v>
      </c>
      <c r="U29" s="286"/>
      <c r="V29" s="285">
        <f t="shared" ca="1" si="8"/>
        <v>0</v>
      </c>
      <c r="W29" s="286"/>
      <c r="X29" s="287"/>
      <c r="Y29" s="288"/>
      <c r="Z29" s="289"/>
      <c r="AA29" s="81"/>
      <c r="AB29" s="93">
        <f t="shared" si="2"/>
        <v>7.5</v>
      </c>
      <c r="AC29" s="59" t="s">
        <v>207</v>
      </c>
    </row>
    <row r="30" spans="1:30" ht="14.15" customHeight="1" x14ac:dyDescent="0.2">
      <c r="A30" s="290">
        <f t="shared" ca="1" si="3"/>
        <v>46187</v>
      </c>
      <c r="B30" s="291"/>
      <c r="C30" s="80">
        <f ca="1">IF(A30="","",IF(WEEKDAY(A30,1)=1,1,IF(COUNTIF(祝日管理!B:B,A30)=1,"祝",WEEKDAY(A30,1))))</f>
        <v>1</v>
      </c>
      <c r="D30" s="292"/>
      <c r="E30" s="292"/>
      <c r="F30" s="292"/>
      <c r="G30" s="292"/>
      <c r="H30" s="292"/>
      <c r="I30" s="293"/>
      <c r="J30" s="298">
        <f t="shared" si="4"/>
        <v>0</v>
      </c>
      <c r="K30" s="294"/>
      <c r="L30" s="285">
        <f t="shared" si="5"/>
        <v>0</v>
      </c>
      <c r="M30" s="296"/>
      <c r="N30" s="297">
        <v>0</v>
      </c>
      <c r="O30" s="286"/>
      <c r="P30" s="285">
        <v>0</v>
      </c>
      <c r="Q30" s="286"/>
      <c r="R30" s="285">
        <f t="shared" ca="1" si="6"/>
        <v>0</v>
      </c>
      <c r="S30" s="286"/>
      <c r="T30" s="285">
        <f t="shared" ca="1" si="7"/>
        <v>0</v>
      </c>
      <c r="U30" s="286"/>
      <c r="V30" s="285">
        <f t="shared" ca="1" si="8"/>
        <v>0</v>
      </c>
      <c r="W30" s="286"/>
      <c r="X30" s="287" t="s">
        <v>187</v>
      </c>
      <c r="Y30" s="288"/>
      <c r="Z30" s="289"/>
      <c r="AA30" s="81"/>
      <c r="AB30" s="93">
        <f t="shared" si="2"/>
        <v>0</v>
      </c>
      <c r="AC30" t="s">
        <v>208</v>
      </c>
    </row>
    <row r="31" spans="1:30" ht="14.15" customHeight="1" x14ac:dyDescent="0.2">
      <c r="A31" s="290">
        <f t="shared" ca="1" si="3"/>
        <v>46188</v>
      </c>
      <c r="B31" s="291"/>
      <c r="C31" s="80">
        <f ca="1">IF(A31="","",IF(WEEKDAY(A31,1)=1,1,IF(COUNTIF(祝日管理!B:B,A31)=1,"祝",WEEKDAY(A31,1))))</f>
        <v>2</v>
      </c>
      <c r="D31" s="292"/>
      <c r="E31" s="292"/>
      <c r="F31" s="292"/>
      <c r="G31" s="292"/>
      <c r="H31" s="292"/>
      <c r="I31" s="293"/>
      <c r="J31" s="298">
        <f t="shared" si="4"/>
        <v>0</v>
      </c>
      <c r="K31" s="294"/>
      <c r="L31" s="285">
        <f t="shared" si="5"/>
        <v>0</v>
      </c>
      <c r="M31" s="296"/>
      <c r="N31" s="297">
        <v>0</v>
      </c>
      <c r="O31" s="286"/>
      <c r="P31" s="285">
        <v>0</v>
      </c>
      <c r="Q31" s="286"/>
      <c r="R31" s="285">
        <f t="shared" ca="1" si="6"/>
        <v>0</v>
      </c>
      <c r="S31" s="286"/>
      <c r="T31" s="285">
        <f t="shared" ca="1" si="7"/>
        <v>0</v>
      </c>
      <c r="U31" s="286"/>
      <c r="V31" s="285">
        <f t="shared" ca="1" si="8"/>
        <v>0</v>
      </c>
      <c r="W31" s="286"/>
      <c r="X31" s="287" t="s">
        <v>185</v>
      </c>
      <c r="Y31" s="288"/>
      <c r="Z31" s="289"/>
      <c r="AA31" s="81"/>
      <c r="AB31" s="93">
        <f t="shared" si="2"/>
        <v>0</v>
      </c>
      <c r="AC31" t="s">
        <v>209</v>
      </c>
    </row>
    <row r="32" spans="1:30" ht="14.15" customHeight="1" x14ac:dyDescent="0.2">
      <c r="A32" s="290">
        <f t="shared" ca="1" si="3"/>
        <v>46189</v>
      </c>
      <c r="B32" s="291"/>
      <c r="C32" s="80">
        <f ca="1">IF(A32="","",IF(WEEKDAY(A32,1)=1,1,IF(COUNTIF(祝日管理!B:B,A32)=1,"祝",WEEKDAY(A32,1))))</f>
        <v>3</v>
      </c>
      <c r="D32" s="292"/>
      <c r="E32" s="292"/>
      <c r="F32" s="292"/>
      <c r="G32" s="292"/>
      <c r="H32" s="292"/>
      <c r="I32" s="293"/>
      <c r="J32" s="298">
        <f t="shared" si="4"/>
        <v>0</v>
      </c>
      <c r="K32" s="294"/>
      <c r="L32" s="285">
        <f t="shared" si="5"/>
        <v>0</v>
      </c>
      <c r="M32" s="296"/>
      <c r="N32" s="297">
        <v>0</v>
      </c>
      <c r="O32" s="286"/>
      <c r="P32" s="285">
        <v>0</v>
      </c>
      <c r="Q32" s="286"/>
      <c r="R32" s="285">
        <f t="shared" ca="1" si="6"/>
        <v>0</v>
      </c>
      <c r="S32" s="286"/>
      <c r="T32" s="285">
        <f t="shared" ca="1" si="7"/>
        <v>0</v>
      </c>
      <c r="U32" s="286"/>
      <c r="V32" s="285">
        <f t="shared" ca="1" si="8"/>
        <v>0</v>
      </c>
      <c r="W32" s="286"/>
      <c r="X32" s="287"/>
      <c r="Y32" s="288"/>
      <c r="Z32" s="289"/>
      <c r="AA32" s="81"/>
      <c r="AB32" s="93">
        <f t="shared" si="2"/>
        <v>7.5</v>
      </c>
    </row>
    <row r="33" spans="1:32" ht="14.15" customHeight="1" x14ac:dyDescent="0.2">
      <c r="A33" s="290">
        <f t="shared" ca="1" si="3"/>
        <v>46190</v>
      </c>
      <c r="B33" s="291"/>
      <c r="C33" s="80">
        <f ca="1">IF(A33="","",IF(WEEKDAY(A33,1)=1,1,IF(COUNTIF(祝日管理!B:B,A33)=1,"祝",WEEKDAY(A33,1))))</f>
        <v>4</v>
      </c>
      <c r="D33" s="292"/>
      <c r="E33" s="292"/>
      <c r="F33" s="292"/>
      <c r="G33" s="292"/>
      <c r="H33" s="292"/>
      <c r="I33" s="293"/>
      <c r="J33" s="298">
        <f t="shared" si="4"/>
        <v>0</v>
      </c>
      <c r="K33" s="294"/>
      <c r="L33" s="285">
        <f t="shared" si="5"/>
        <v>0</v>
      </c>
      <c r="M33" s="296"/>
      <c r="N33" s="297">
        <v>0</v>
      </c>
      <c r="O33" s="286"/>
      <c r="P33" s="285">
        <v>0</v>
      </c>
      <c r="Q33" s="286"/>
      <c r="R33" s="285">
        <f t="shared" ca="1" si="6"/>
        <v>0</v>
      </c>
      <c r="S33" s="286"/>
      <c r="T33" s="285">
        <f t="shared" ca="1" si="7"/>
        <v>0</v>
      </c>
      <c r="U33" s="286"/>
      <c r="V33" s="285">
        <f t="shared" ca="1" si="8"/>
        <v>0</v>
      </c>
      <c r="W33" s="286"/>
      <c r="X33" s="287"/>
      <c r="Y33" s="288"/>
      <c r="Z33" s="289"/>
      <c r="AA33" s="81"/>
      <c r="AB33" s="93">
        <f t="shared" si="2"/>
        <v>7.5</v>
      </c>
      <c r="AD33" t="s">
        <v>214</v>
      </c>
    </row>
    <row r="34" spans="1:32" ht="14.15" customHeight="1" x14ac:dyDescent="0.2">
      <c r="A34" s="290">
        <f t="shared" ca="1" si="3"/>
        <v>46191</v>
      </c>
      <c r="B34" s="291"/>
      <c r="C34" s="80">
        <f ca="1">IF(A34="","",IF(WEEKDAY(A34,1)=1,1,IF(COUNTIF(祝日管理!B:B,A34)=1,"祝",WEEKDAY(A34,1))))</f>
        <v>5</v>
      </c>
      <c r="D34" s="292"/>
      <c r="E34" s="292"/>
      <c r="F34" s="292"/>
      <c r="G34" s="292"/>
      <c r="H34" s="292"/>
      <c r="I34" s="293"/>
      <c r="J34" s="298">
        <f t="shared" si="4"/>
        <v>0</v>
      </c>
      <c r="K34" s="294"/>
      <c r="L34" s="285">
        <f t="shared" si="5"/>
        <v>0</v>
      </c>
      <c r="M34" s="296"/>
      <c r="N34" s="297">
        <v>0</v>
      </c>
      <c r="O34" s="286"/>
      <c r="P34" s="285">
        <v>0</v>
      </c>
      <c r="Q34" s="286"/>
      <c r="R34" s="285">
        <f t="shared" ca="1" si="6"/>
        <v>0</v>
      </c>
      <c r="S34" s="286"/>
      <c r="T34" s="285">
        <f t="shared" ca="1" si="7"/>
        <v>0</v>
      </c>
      <c r="U34" s="286"/>
      <c r="V34" s="285">
        <f t="shared" ca="1" si="8"/>
        <v>0</v>
      </c>
      <c r="W34" s="286"/>
      <c r="X34" s="287"/>
      <c r="Y34" s="288"/>
      <c r="Z34" s="289"/>
      <c r="AA34" s="81"/>
      <c r="AB34" s="93">
        <f>IF(ISERROR((X34="")*(7.5-N34)),0,(X34="")*(7.5-N34))</f>
        <v>7.5</v>
      </c>
      <c r="AD34" t="s">
        <v>215</v>
      </c>
    </row>
    <row r="35" spans="1:32" ht="14.15" customHeight="1" x14ac:dyDescent="0.2">
      <c r="A35" s="290">
        <f t="shared" ca="1" si="3"/>
        <v>46192</v>
      </c>
      <c r="B35" s="291"/>
      <c r="C35" s="80">
        <f ca="1">IF(A35="","",IF(WEEKDAY(A35,1)=1,1,IF(COUNTIF(祝日管理!B:B,A35)=1,"祝",WEEKDAY(A35,1))))</f>
        <v>6</v>
      </c>
      <c r="D35" s="292"/>
      <c r="E35" s="292"/>
      <c r="F35" s="292"/>
      <c r="G35" s="292"/>
      <c r="H35" s="292"/>
      <c r="I35" s="293"/>
      <c r="J35" s="298">
        <f t="shared" si="4"/>
        <v>0</v>
      </c>
      <c r="K35" s="294"/>
      <c r="L35" s="285">
        <f t="shared" si="5"/>
        <v>0</v>
      </c>
      <c r="M35" s="296"/>
      <c r="N35" s="297">
        <v>0</v>
      </c>
      <c r="O35" s="286"/>
      <c r="P35" s="285">
        <v>0</v>
      </c>
      <c r="Q35" s="286"/>
      <c r="R35" s="285">
        <f t="shared" ca="1" si="6"/>
        <v>0</v>
      </c>
      <c r="S35" s="286"/>
      <c r="T35" s="285">
        <f t="shared" ca="1" si="7"/>
        <v>0</v>
      </c>
      <c r="U35" s="286"/>
      <c r="V35" s="285">
        <f t="shared" ca="1" si="8"/>
        <v>0</v>
      </c>
      <c r="W35" s="286"/>
      <c r="X35" s="287"/>
      <c r="Y35" s="288"/>
      <c r="Z35" s="289"/>
      <c r="AA35" s="81"/>
      <c r="AB35" s="93">
        <f>IF(ISERROR((X35="")*(7.5-N35)),0,(X35="")*(7.5-N35))</f>
        <v>7.5</v>
      </c>
    </row>
    <row r="36" spans="1:32" ht="14.15" customHeight="1" x14ac:dyDescent="0.2">
      <c r="A36" s="290">
        <f t="shared" ca="1" si="3"/>
        <v>46193</v>
      </c>
      <c r="B36" s="291"/>
      <c r="C36" s="80">
        <f ca="1">IF(A36="","",IF(WEEKDAY(A36,1)=1,1,IF(COUNTIF(祝日管理!B:B,A36)=1,"祝",WEEKDAY(A36,1))))</f>
        <v>7</v>
      </c>
      <c r="D36" s="292"/>
      <c r="E36" s="292"/>
      <c r="F36" s="292"/>
      <c r="G36" s="292"/>
      <c r="H36" s="292"/>
      <c r="I36" s="293"/>
      <c r="J36" s="298">
        <f t="shared" si="4"/>
        <v>0</v>
      </c>
      <c r="K36" s="294"/>
      <c r="L36" s="285">
        <f t="shared" si="5"/>
        <v>0</v>
      </c>
      <c r="M36" s="296"/>
      <c r="N36" s="297">
        <v>0</v>
      </c>
      <c r="O36" s="286"/>
      <c r="P36" s="285">
        <v>0</v>
      </c>
      <c r="Q36" s="286"/>
      <c r="R36" s="285">
        <f t="shared" ca="1" si="6"/>
        <v>0</v>
      </c>
      <c r="S36" s="286"/>
      <c r="T36" s="285">
        <f t="shared" ca="1" si="7"/>
        <v>0</v>
      </c>
      <c r="U36" s="286"/>
      <c r="V36" s="285">
        <f t="shared" ca="1" si="8"/>
        <v>0</v>
      </c>
      <c r="W36" s="286"/>
      <c r="X36" s="287"/>
      <c r="Y36" s="288"/>
      <c r="Z36" s="289"/>
      <c r="AA36" s="81"/>
      <c r="AB36" s="93">
        <f t="shared" si="2"/>
        <v>7.5</v>
      </c>
    </row>
    <row r="37" spans="1:32" ht="14.15" customHeight="1" x14ac:dyDescent="0.2">
      <c r="A37" s="290">
        <f t="shared" ca="1" si="3"/>
        <v>46194</v>
      </c>
      <c r="B37" s="291"/>
      <c r="C37" s="80">
        <f ca="1">IF(A37="","",IF(WEEKDAY(A37,1)=1,1,IF(COUNTIF(祝日管理!B:B,A37)=1,"祝",WEEKDAY(A37,1))))</f>
        <v>1</v>
      </c>
      <c r="D37" s="292"/>
      <c r="E37" s="292"/>
      <c r="F37" s="292"/>
      <c r="G37" s="292"/>
      <c r="H37" s="292"/>
      <c r="I37" s="293"/>
      <c r="J37" s="298">
        <f t="shared" si="4"/>
        <v>0</v>
      </c>
      <c r="K37" s="294"/>
      <c r="L37" s="285">
        <f t="shared" si="5"/>
        <v>0</v>
      </c>
      <c r="M37" s="296"/>
      <c r="N37" s="297">
        <v>0</v>
      </c>
      <c r="O37" s="286"/>
      <c r="P37" s="285">
        <v>0</v>
      </c>
      <c r="Q37" s="286"/>
      <c r="R37" s="285">
        <f t="shared" ca="1" si="6"/>
        <v>0</v>
      </c>
      <c r="S37" s="286"/>
      <c r="T37" s="285">
        <f t="shared" ca="1" si="7"/>
        <v>0</v>
      </c>
      <c r="U37" s="286"/>
      <c r="V37" s="285">
        <f t="shared" ca="1" si="8"/>
        <v>0</v>
      </c>
      <c r="W37" s="286"/>
      <c r="X37" s="287" t="s">
        <v>187</v>
      </c>
      <c r="Y37" s="288"/>
      <c r="Z37" s="289"/>
      <c r="AA37" s="81"/>
      <c r="AB37" s="93">
        <f t="shared" si="2"/>
        <v>0</v>
      </c>
    </row>
    <row r="38" spans="1:32" ht="14.15" customHeight="1" x14ac:dyDescent="0.2">
      <c r="A38" s="290">
        <f t="shared" ca="1" si="3"/>
        <v>46195</v>
      </c>
      <c r="B38" s="291"/>
      <c r="C38" s="80">
        <f ca="1">IF(A38="","",IF(WEEKDAY(A38,1)=1,1,IF(COUNTIF(祝日管理!B:B,A38)=1,"祝",WEEKDAY(A38,1))))</f>
        <v>2</v>
      </c>
      <c r="D38" s="292"/>
      <c r="E38" s="292"/>
      <c r="F38" s="292"/>
      <c r="G38" s="292"/>
      <c r="H38" s="292"/>
      <c r="I38" s="293"/>
      <c r="J38" s="298">
        <f t="shared" si="4"/>
        <v>0</v>
      </c>
      <c r="K38" s="294"/>
      <c r="L38" s="285">
        <f t="shared" si="5"/>
        <v>0</v>
      </c>
      <c r="M38" s="296"/>
      <c r="N38" s="297">
        <v>0</v>
      </c>
      <c r="O38" s="286"/>
      <c r="P38" s="285">
        <v>0</v>
      </c>
      <c r="Q38" s="286"/>
      <c r="R38" s="285">
        <f t="shared" ca="1" si="6"/>
        <v>0</v>
      </c>
      <c r="S38" s="286"/>
      <c r="T38" s="285">
        <f t="shared" ca="1" si="7"/>
        <v>0</v>
      </c>
      <c r="U38" s="286"/>
      <c r="V38" s="285">
        <f t="shared" ca="1" si="8"/>
        <v>0</v>
      </c>
      <c r="W38" s="286"/>
      <c r="X38" s="287" t="s">
        <v>185</v>
      </c>
      <c r="Y38" s="288"/>
      <c r="Z38" s="289"/>
      <c r="AA38" s="81"/>
      <c r="AB38" s="93">
        <f t="shared" si="2"/>
        <v>0</v>
      </c>
    </row>
    <row r="39" spans="1:32" ht="14.15" customHeight="1" x14ac:dyDescent="0.2">
      <c r="A39" s="290">
        <f t="shared" ca="1" si="3"/>
        <v>46196</v>
      </c>
      <c r="B39" s="291"/>
      <c r="C39" s="80">
        <f ca="1">IF(A39="","",IF(WEEKDAY(A39,1)=1,1,IF(COUNTIF(祝日管理!B:B,A39)=1,"祝",WEEKDAY(A39,1))))</f>
        <v>3</v>
      </c>
      <c r="D39" s="292"/>
      <c r="E39" s="292"/>
      <c r="F39" s="292"/>
      <c r="G39" s="292"/>
      <c r="H39" s="292"/>
      <c r="I39" s="293"/>
      <c r="J39" s="298">
        <f t="shared" si="4"/>
        <v>0</v>
      </c>
      <c r="K39" s="294"/>
      <c r="L39" s="285">
        <f t="shared" si="5"/>
        <v>0</v>
      </c>
      <c r="M39" s="296"/>
      <c r="N39" s="297">
        <v>0</v>
      </c>
      <c r="O39" s="286"/>
      <c r="P39" s="285">
        <v>0</v>
      </c>
      <c r="Q39" s="286"/>
      <c r="R39" s="285">
        <f t="shared" ca="1" si="6"/>
        <v>0</v>
      </c>
      <c r="S39" s="286"/>
      <c r="T39" s="285">
        <f t="shared" ca="1" si="7"/>
        <v>0</v>
      </c>
      <c r="U39" s="286"/>
      <c r="V39" s="285">
        <f t="shared" ca="1" si="8"/>
        <v>0</v>
      </c>
      <c r="W39" s="286"/>
      <c r="X39" s="287"/>
      <c r="Y39" s="288"/>
      <c r="Z39" s="289"/>
      <c r="AA39" s="81"/>
      <c r="AB39" s="93">
        <f t="shared" si="2"/>
        <v>7.5</v>
      </c>
    </row>
    <row r="40" spans="1:32" ht="14.15" customHeight="1" x14ac:dyDescent="0.2">
      <c r="A40" s="290">
        <f t="shared" ca="1" si="3"/>
        <v>46197</v>
      </c>
      <c r="B40" s="291"/>
      <c r="C40" s="80">
        <f ca="1">IF(A40="","",IF(WEEKDAY(A40,1)=1,1,IF(COUNTIF(祝日管理!B:B,A40)=1,"祝",WEEKDAY(A40,1))))</f>
        <v>4</v>
      </c>
      <c r="D40" s="292"/>
      <c r="E40" s="292"/>
      <c r="F40" s="292"/>
      <c r="G40" s="292"/>
      <c r="H40" s="292"/>
      <c r="I40" s="293"/>
      <c r="J40" s="298">
        <f t="shared" si="4"/>
        <v>0</v>
      </c>
      <c r="K40" s="294"/>
      <c r="L40" s="285">
        <f t="shared" si="5"/>
        <v>0</v>
      </c>
      <c r="M40" s="296"/>
      <c r="N40" s="297">
        <v>0</v>
      </c>
      <c r="O40" s="286"/>
      <c r="P40" s="285">
        <v>0</v>
      </c>
      <c r="Q40" s="286"/>
      <c r="R40" s="285">
        <f t="shared" ca="1" si="6"/>
        <v>0</v>
      </c>
      <c r="S40" s="286"/>
      <c r="T40" s="285">
        <f t="shared" ca="1" si="7"/>
        <v>0</v>
      </c>
      <c r="U40" s="286"/>
      <c r="V40" s="285">
        <f t="shared" ca="1" si="8"/>
        <v>0</v>
      </c>
      <c r="W40" s="286"/>
      <c r="X40" s="287"/>
      <c r="Y40" s="288"/>
      <c r="Z40" s="289"/>
      <c r="AA40" s="81"/>
      <c r="AB40" s="93">
        <f t="shared" si="2"/>
        <v>7.5</v>
      </c>
    </row>
    <row r="41" spans="1:32" ht="14.15" customHeight="1" x14ac:dyDescent="0.2">
      <c r="A41" s="290">
        <f t="shared" ca="1" si="3"/>
        <v>46198</v>
      </c>
      <c r="B41" s="291"/>
      <c r="C41" s="80">
        <f ca="1">IF(A41="","",IF(WEEKDAY(A41,1)=1,1,IF(COUNTIF(祝日管理!B:B,A41)=1,"祝",WEEKDAY(A41,1))))</f>
        <v>5</v>
      </c>
      <c r="D41" s="292"/>
      <c r="E41" s="292"/>
      <c r="F41" s="292"/>
      <c r="G41" s="292"/>
      <c r="H41" s="292"/>
      <c r="I41" s="293"/>
      <c r="J41" s="298">
        <f t="shared" si="4"/>
        <v>0</v>
      </c>
      <c r="K41" s="294"/>
      <c r="L41" s="285">
        <f t="shared" si="5"/>
        <v>0</v>
      </c>
      <c r="M41" s="296"/>
      <c r="N41" s="297">
        <v>0</v>
      </c>
      <c r="O41" s="286"/>
      <c r="P41" s="285">
        <v>0</v>
      </c>
      <c r="Q41" s="286"/>
      <c r="R41" s="285">
        <f t="shared" ca="1" si="6"/>
        <v>0</v>
      </c>
      <c r="S41" s="286"/>
      <c r="T41" s="285">
        <f t="shared" ca="1" si="7"/>
        <v>0</v>
      </c>
      <c r="U41" s="286"/>
      <c r="V41" s="285">
        <f t="shared" ca="1" si="8"/>
        <v>0</v>
      </c>
      <c r="W41" s="286"/>
      <c r="X41" s="287"/>
      <c r="Y41" s="288"/>
      <c r="Z41" s="289"/>
      <c r="AA41" s="81"/>
      <c r="AB41" s="93">
        <f t="shared" si="2"/>
        <v>7.5</v>
      </c>
    </row>
    <row r="42" spans="1:32" ht="14.15" customHeight="1" x14ac:dyDescent="0.2">
      <c r="A42" s="290">
        <f t="shared" ca="1" si="3"/>
        <v>46199</v>
      </c>
      <c r="B42" s="291"/>
      <c r="C42" s="80">
        <f ca="1">IF(A42="","",IF(WEEKDAY(A42,1)=1,1,IF(COUNTIF(祝日管理!B:B,A42)=1,"祝",WEEKDAY(A42,1))))</f>
        <v>6</v>
      </c>
      <c r="D42" s="292"/>
      <c r="E42" s="292"/>
      <c r="F42" s="292"/>
      <c r="G42" s="292"/>
      <c r="H42" s="292"/>
      <c r="I42" s="293"/>
      <c r="J42" s="298">
        <f t="shared" si="4"/>
        <v>0</v>
      </c>
      <c r="K42" s="294"/>
      <c r="L42" s="285">
        <f t="shared" si="5"/>
        <v>0</v>
      </c>
      <c r="M42" s="296"/>
      <c r="N42" s="297">
        <v>0</v>
      </c>
      <c r="O42" s="286"/>
      <c r="P42" s="285">
        <v>0</v>
      </c>
      <c r="Q42" s="286"/>
      <c r="R42" s="285">
        <f t="shared" ca="1" si="6"/>
        <v>0</v>
      </c>
      <c r="S42" s="286"/>
      <c r="T42" s="285">
        <f t="shared" ca="1" si="7"/>
        <v>0</v>
      </c>
      <c r="U42" s="286"/>
      <c r="V42" s="285">
        <f t="shared" ca="1" si="8"/>
        <v>0</v>
      </c>
      <c r="W42" s="286"/>
      <c r="X42" s="287"/>
      <c r="Y42" s="288"/>
      <c r="Z42" s="289"/>
      <c r="AA42" s="81"/>
      <c r="AB42" s="93">
        <f t="shared" si="2"/>
        <v>7.5</v>
      </c>
    </row>
    <row r="43" spans="1:32" ht="14.15" customHeight="1" x14ac:dyDescent="0.2">
      <c r="A43" s="290">
        <f t="shared" ca="1" si="3"/>
        <v>46200</v>
      </c>
      <c r="B43" s="291"/>
      <c r="C43" s="80">
        <f ca="1">IF(A43="","",IF(WEEKDAY(A43,1)=1,1,IF(COUNTIF(祝日管理!B:B,A43)=1,"祝",WEEKDAY(A43,1))))</f>
        <v>7</v>
      </c>
      <c r="D43" s="292"/>
      <c r="E43" s="292"/>
      <c r="F43" s="292"/>
      <c r="G43" s="292"/>
      <c r="H43" s="292"/>
      <c r="I43" s="293"/>
      <c r="J43" s="298">
        <f t="shared" si="4"/>
        <v>0</v>
      </c>
      <c r="K43" s="294"/>
      <c r="L43" s="285">
        <f t="shared" si="5"/>
        <v>0</v>
      </c>
      <c r="M43" s="296"/>
      <c r="N43" s="297">
        <v>0</v>
      </c>
      <c r="O43" s="286"/>
      <c r="P43" s="285">
        <v>0</v>
      </c>
      <c r="Q43" s="286"/>
      <c r="R43" s="285">
        <f t="shared" ca="1" si="6"/>
        <v>0</v>
      </c>
      <c r="S43" s="286"/>
      <c r="T43" s="285">
        <f t="shared" ca="1" si="7"/>
        <v>0</v>
      </c>
      <c r="U43" s="286"/>
      <c r="V43" s="285">
        <f t="shared" ca="1" si="8"/>
        <v>0</v>
      </c>
      <c r="W43" s="286"/>
      <c r="X43" s="287"/>
      <c r="Y43" s="288"/>
      <c r="Z43" s="289"/>
      <c r="AA43" s="81"/>
      <c r="AB43" s="93">
        <f t="shared" si="2"/>
        <v>7.5</v>
      </c>
    </row>
    <row r="44" spans="1:32" ht="14.15" customHeight="1" x14ac:dyDescent="0.2">
      <c r="A44" s="290">
        <f t="shared" ca="1" si="3"/>
        <v>46201</v>
      </c>
      <c r="B44" s="291"/>
      <c r="C44" s="80">
        <f ca="1">IF(A44="","",IF(WEEKDAY(A44,1)=1,1,IF(COUNTIF(祝日管理!B:B,A44)=1,"祝",WEEKDAY(A44,1))))</f>
        <v>1</v>
      </c>
      <c r="D44" s="292"/>
      <c r="E44" s="292"/>
      <c r="F44" s="292"/>
      <c r="G44" s="292"/>
      <c r="H44" s="292"/>
      <c r="I44" s="293"/>
      <c r="J44" s="298">
        <f t="shared" si="4"/>
        <v>0</v>
      </c>
      <c r="K44" s="294"/>
      <c r="L44" s="285">
        <f t="shared" si="5"/>
        <v>0</v>
      </c>
      <c r="M44" s="296"/>
      <c r="N44" s="297">
        <v>0</v>
      </c>
      <c r="O44" s="286"/>
      <c r="P44" s="285">
        <v>0</v>
      </c>
      <c r="Q44" s="286"/>
      <c r="R44" s="285">
        <f t="shared" ca="1" si="6"/>
        <v>0</v>
      </c>
      <c r="S44" s="286"/>
      <c r="T44" s="285">
        <f t="shared" ca="1" si="7"/>
        <v>0</v>
      </c>
      <c r="U44" s="286"/>
      <c r="V44" s="285">
        <f t="shared" ca="1" si="8"/>
        <v>0</v>
      </c>
      <c r="W44" s="286"/>
      <c r="X44" s="287" t="s">
        <v>187</v>
      </c>
      <c r="Y44" s="288"/>
      <c r="Z44" s="289"/>
      <c r="AA44" s="81"/>
      <c r="AB44" s="93">
        <f t="shared" si="2"/>
        <v>0</v>
      </c>
    </row>
    <row r="45" spans="1:32" ht="14.15" customHeight="1" x14ac:dyDescent="0.2">
      <c r="A45" s="290">
        <f ca="1">IF(DAY(A44+1)=29,A44+1,"")</f>
        <v>46202</v>
      </c>
      <c r="B45" s="291"/>
      <c r="C45" s="80">
        <f ca="1">IF(A45="","",IF(WEEKDAY(A45,1)=1,1,IF(COUNTIF(祝日管理!B:B,A45)=1,"祝",WEEKDAY(A45,1))))</f>
        <v>2</v>
      </c>
      <c r="D45" s="292"/>
      <c r="E45" s="292"/>
      <c r="F45" s="292"/>
      <c r="G45" s="292"/>
      <c r="H45" s="292"/>
      <c r="I45" s="293"/>
      <c r="J45" s="298">
        <f t="shared" si="4"/>
        <v>0</v>
      </c>
      <c r="K45" s="294"/>
      <c r="L45" s="285">
        <f t="shared" si="5"/>
        <v>0</v>
      </c>
      <c r="M45" s="296"/>
      <c r="N45" s="297">
        <v>0</v>
      </c>
      <c r="O45" s="286"/>
      <c r="P45" s="285">
        <v>0</v>
      </c>
      <c r="Q45" s="286"/>
      <c r="R45" s="285">
        <f t="shared" ca="1" si="6"/>
        <v>0</v>
      </c>
      <c r="S45" s="286"/>
      <c r="T45" s="285">
        <f t="shared" ca="1" si="7"/>
        <v>0</v>
      </c>
      <c r="U45" s="286"/>
      <c r="V45" s="285">
        <f t="shared" ca="1" si="8"/>
        <v>0</v>
      </c>
      <c r="W45" s="286"/>
      <c r="X45" s="287" t="s">
        <v>185</v>
      </c>
      <c r="Y45" s="288"/>
      <c r="Z45" s="289"/>
      <c r="AA45" s="82"/>
      <c r="AB45" s="93">
        <f t="shared" si="2"/>
        <v>0</v>
      </c>
    </row>
    <row r="46" spans="1:32" ht="14.15" customHeight="1" x14ac:dyDescent="0.2">
      <c r="A46" s="290">
        <f ca="1">IF(A45="","",IF(DAY(A45+1)=30,A45+1,""))</f>
        <v>46203</v>
      </c>
      <c r="B46" s="291"/>
      <c r="C46" s="80">
        <f ca="1">IF(A46="","",IF(WEEKDAY(A46,1)=1,1,IF(COUNTIF(祝日管理!B:B,A46)=1,"祝",WEEKDAY(A46,1))))</f>
        <v>3</v>
      </c>
      <c r="D46" s="292"/>
      <c r="E46" s="292"/>
      <c r="F46" s="292"/>
      <c r="G46" s="292"/>
      <c r="H46" s="292"/>
      <c r="I46" s="293"/>
      <c r="J46" s="298">
        <f t="shared" si="4"/>
        <v>0</v>
      </c>
      <c r="K46" s="294"/>
      <c r="L46" s="285">
        <f t="shared" si="5"/>
        <v>0</v>
      </c>
      <c r="M46" s="296"/>
      <c r="N46" s="297">
        <v>0</v>
      </c>
      <c r="O46" s="286"/>
      <c r="P46" s="285">
        <v>0</v>
      </c>
      <c r="Q46" s="286"/>
      <c r="R46" s="285">
        <f t="shared" ca="1" si="6"/>
        <v>0</v>
      </c>
      <c r="S46" s="286"/>
      <c r="T46" s="285">
        <f t="shared" ca="1" si="7"/>
        <v>0</v>
      </c>
      <c r="U46" s="286"/>
      <c r="V46" s="285">
        <f t="shared" ca="1" si="8"/>
        <v>0</v>
      </c>
      <c r="W46" s="286"/>
      <c r="X46" s="287"/>
      <c r="Y46" s="288"/>
      <c r="Z46" s="289"/>
      <c r="AA46" s="81"/>
      <c r="AB46" s="93">
        <f t="shared" si="2"/>
        <v>7.5</v>
      </c>
      <c r="AF46">
        <f>+時間・月額</f>
        <v>250000</v>
      </c>
    </row>
    <row r="47" spans="1:32" ht="14.15" customHeight="1" thickBot="1" x14ac:dyDescent="0.25">
      <c r="A47" s="290" t="str">
        <f ca="1">IF(A46="","",IF(DAY(A46+1)=31,A46+1,""))</f>
        <v/>
      </c>
      <c r="B47" s="291"/>
      <c r="C47" s="80" t="str">
        <f ca="1">IF(A47="","",IF(WEEKDAY(A47,1)=1,1,IF(COUNTIF(祝日管理!B:B,A47)=1,"祝",WEEKDAY(A47,1))))</f>
        <v/>
      </c>
      <c r="D47" s="292"/>
      <c r="E47" s="292"/>
      <c r="F47" s="292"/>
      <c r="G47" s="292"/>
      <c r="H47" s="292"/>
      <c r="I47" s="293"/>
      <c r="J47" s="294">
        <f t="shared" si="4"/>
        <v>0</v>
      </c>
      <c r="K47" s="295"/>
      <c r="L47" s="285">
        <f t="shared" si="5"/>
        <v>0</v>
      </c>
      <c r="M47" s="296"/>
      <c r="N47" s="283">
        <v>0</v>
      </c>
      <c r="O47" s="284"/>
      <c r="P47" s="285">
        <v>0</v>
      </c>
      <c r="Q47" s="286"/>
      <c r="R47" s="285">
        <f t="shared" ca="1" si="6"/>
        <v>0</v>
      </c>
      <c r="S47" s="286"/>
      <c r="T47" s="285">
        <f t="shared" ca="1" si="7"/>
        <v>0</v>
      </c>
      <c r="U47" s="286"/>
      <c r="V47" s="285">
        <f t="shared" ca="1" si="8"/>
        <v>0</v>
      </c>
      <c r="W47" s="286"/>
      <c r="X47" s="287"/>
      <c r="Y47" s="288"/>
      <c r="Z47" s="289"/>
      <c r="AA47" s="81"/>
      <c r="AB47" s="93">
        <f>IF(ISERROR((X47="")*(7.5-N47)),0,(X47="")*(7.5-N47))</f>
        <v>7.5</v>
      </c>
    </row>
    <row r="48" spans="1:32" ht="14.15" customHeight="1" thickBot="1" x14ac:dyDescent="0.25">
      <c r="A48" s="274" t="s">
        <v>56</v>
      </c>
      <c r="B48" s="275"/>
      <c r="C48" s="35"/>
      <c r="D48" s="276"/>
      <c r="E48" s="277"/>
      <c r="F48" s="276"/>
      <c r="G48" s="277"/>
      <c r="H48" s="276"/>
      <c r="I48" s="278"/>
      <c r="J48" s="279"/>
      <c r="K48" s="280"/>
      <c r="L48" s="281" t="s">
        <v>198</v>
      </c>
      <c r="M48" s="282"/>
      <c r="N48" s="265"/>
      <c r="O48" s="266"/>
      <c r="P48" s="267" t="s">
        <v>200</v>
      </c>
      <c r="Q48" s="268"/>
      <c r="R48" s="265"/>
      <c r="S48" s="266"/>
      <c r="T48" s="269"/>
      <c r="U48" s="270"/>
      <c r="V48" s="269"/>
      <c r="W48" s="270"/>
      <c r="X48" s="271"/>
      <c r="Y48" s="272"/>
      <c r="Z48" s="273"/>
      <c r="AA48" s="66"/>
      <c r="AB48" t="s">
        <v>191</v>
      </c>
    </row>
    <row r="49" spans="1:34" ht="14.15" customHeight="1" x14ac:dyDescent="0.2">
      <c r="A49" s="255" t="s">
        <v>196</v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8">
        <f>SUM(L17:M47)+N48</f>
        <v>0</v>
      </c>
      <c r="M49" s="259"/>
      <c r="N49" s="260">
        <f>ROUNDDOWN((SUM(N17:O48)+0.01)*4,0)/4</f>
        <v>0</v>
      </c>
      <c r="O49" s="261"/>
      <c r="P49" s="262">
        <f>ROUNDDOWN((SUM(P17:Q47)+0.01)*4,0)/4</f>
        <v>0</v>
      </c>
      <c r="Q49" s="263"/>
      <c r="R49" s="242">
        <f ca="1">ROUNDDOWN((SUM(R17:S47)+0.01)*4,0)/4</f>
        <v>0</v>
      </c>
      <c r="S49" s="264"/>
      <c r="T49" s="242">
        <f ca="1">ROUNDDOWN((SUM(T17:U47)+0.01)*4,0)/4</f>
        <v>0</v>
      </c>
      <c r="U49" s="243"/>
      <c r="V49" s="242">
        <f ca="1">ROUNDDOWN((SUM(V17:W47)+0.01)*4,0)/4</f>
        <v>0</v>
      </c>
      <c r="W49" s="243"/>
      <c r="X49" s="244">
        <f ca="1">SUM(通常時間計:休日深夜時間計)</f>
        <v>0</v>
      </c>
      <c r="Y49" s="245"/>
      <c r="Z49" s="245"/>
      <c r="AA49" s="64" t="s">
        <v>142</v>
      </c>
    </row>
    <row r="50" spans="1:34" ht="14.15" customHeight="1" thickBot="1" x14ac:dyDescent="0.25">
      <c r="A50" s="246" t="s">
        <v>106</v>
      </c>
      <c r="B50" s="246"/>
      <c r="C50" s="246"/>
      <c r="D50" s="246"/>
      <c r="E50" s="246"/>
      <c r="F50" s="246"/>
      <c r="G50" s="246"/>
      <c r="H50" s="246"/>
      <c r="I50" s="246"/>
      <c r="J50" s="246"/>
      <c r="K50" s="246"/>
      <c r="L50" s="247">
        <f ca="1">SUM(N50:W50)</f>
        <v>0</v>
      </c>
      <c r="M50" s="248"/>
      <c r="N50" s="249">
        <f>通常時間計</f>
        <v>0</v>
      </c>
      <c r="O50" s="250"/>
      <c r="P50" s="249">
        <f ca="1">IF(給与体系="140-160時間制",超過勤務時間計,MAX(0,超過勤務時間計+深夜残業時間計-60)*0.25+超過勤務時間計*1.25)</f>
        <v>0</v>
      </c>
      <c r="Q50" s="250"/>
      <c r="R50" s="251">
        <f ca="1">IF(給与体系="140-160時間制",深夜残業時間計,深夜残業時間計*1.5)</f>
        <v>0</v>
      </c>
      <c r="S50" s="252"/>
      <c r="T50" s="251">
        <f ca="1">IF(給与体系="140-160時間制",休日出勤時間計,休日出勤時間計*1.35)</f>
        <v>0</v>
      </c>
      <c r="U50" s="252"/>
      <c r="V50" s="251">
        <f ca="1">IF(給与体系="140-160時間制",休日深夜時間計,休日深夜時間計*1.6)</f>
        <v>0</v>
      </c>
      <c r="W50" s="252"/>
      <c r="X50" s="253">
        <f ca="1">SUM(N50:W50)</f>
        <v>0</v>
      </c>
      <c r="Y50" s="254"/>
      <c r="Z50" s="254"/>
      <c r="AA50" s="88">
        <f>+'5月'!AA50</f>
        <v>45748</v>
      </c>
      <c r="AB50" s="98">
        <f ca="1">+IFERROR(((MAX(0,超過勤務時間計+深夜残業時間計-60)*0.25+(超過勤務時間計+深夜残業時間計)*1.25))/(超過勤務時間計+深夜残業時間計),0)</f>
        <v>0</v>
      </c>
      <c r="AC50" s="2" t="s">
        <v>158</v>
      </c>
      <c r="AD50" s="2"/>
      <c r="AE50" s="231"/>
      <c r="AF50" s="231"/>
      <c r="AG50" s="60"/>
      <c r="AH50" s="61"/>
    </row>
    <row r="51" spans="1:34" ht="14.15" customHeight="1" thickTop="1" thickBot="1" x14ac:dyDescent="0.25">
      <c r="A51" s="232" t="s">
        <v>38</v>
      </c>
      <c r="B51" s="233"/>
      <c r="C51" s="234">
        <f>COUNTA(D17:D47)-W51-W52</f>
        <v>0</v>
      </c>
      <c r="D51" s="235"/>
      <c r="E51" s="236" t="s">
        <v>32</v>
      </c>
      <c r="F51" s="233"/>
      <c r="G51" s="237">
        <f>+COUNTIF($X17:$Z47,E51)</f>
        <v>0</v>
      </c>
      <c r="H51" s="238"/>
      <c r="I51" s="169" t="s">
        <v>111</v>
      </c>
      <c r="J51" s="170"/>
      <c r="K51" s="167">
        <f>+COUNTIF($X17:$Z47,I51)</f>
        <v>0</v>
      </c>
      <c r="L51" s="168"/>
      <c r="M51" s="169" t="s">
        <v>113</v>
      </c>
      <c r="N51" s="170"/>
      <c r="O51" s="167">
        <f>+COUNTIF($X17:$Z47,M51)</f>
        <v>0</v>
      </c>
      <c r="P51" s="168"/>
      <c r="Q51" s="169" t="s">
        <v>112</v>
      </c>
      <c r="R51" s="170"/>
      <c r="S51" s="167">
        <f>+COUNTIF($X17:$Z47,Q51)</f>
        <v>0</v>
      </c>
      <c r="T51" s="168"/>
      <c r="U51" s="169" t="s">
        <v>123</v>
      </c>
      <c r="V51" s="170"/>
      <c r="W51" s="171">
        <f>+K51+(O51+S51)/2</f>
        <v>0</v>
      </c>
      <c r="X51" s="172"/>
      <c r="Y51" s="208" t="s">
        <v>124</v>
      </c>
      <c r="Z51" s="209"/>
      <c r="AA51" s="63">
        <f>+AA52-W51-AA53</f>
        <v>35</v>
      </c>
      <c r="AB51" t="s">
        <v>174</v>
      </c>
    </row>
    <row r="52" spans="1:34" ht="14.15" customHeight="1" thickTop="1" thickBot="1" x14ac:dyDescent="0.25">
      <c r="A52" s="239" t="s">
        <v>153</v>
      </c>
      <c r="B52" s="239"/>
      <c r="C52" s="239"/>
      <c r="D52" s="239"/>
      <c r="E52" s="239"/>
      <c r="F52" s="240">
        <f>+'5月'!F52</f>
        <v>250000</v>
      </c>
      <c r="G52" s="240"/>
      <c r="H52" s="241"/>
      <c r="I52" s="169" t="s">
        <v>126</v>
      </c>
      <c r="J52" s="170"/>
      <c r="K52" s="167">
        <f>+COUNTIF($X17:$Z47,"*全*")-COUNTIF($X17:$Z47,"*欠勤(全*")-COUNTIF($X17:$Z47,"*振休(全*")-COUNTIF($X17:$Z47,"*代休(全*")-K51</f>
        <v>0</v>
      </c>
      <c r="L52" s="168"/>
      <c r="M52" s="169" t="s">
        <v>135</v>
      </c>
      <c r="N52" s="170"/>
      <c r="O52" s="167">
        <f>+COUNTIF($X17:$Z47,"*AM*")-COUNTIF($X17:$Z47,"*欠勤(A*")-COUNTIF($X17:$Z47,"*代休(A*")-O51</f>
        <v>0</v>
      </c>
      <c r="P52" s="168"/>
      <c r="Q52" s="169" t="s">
        <v>136</v>
      </c>
      <c r="R52" s="170"/>
      <c r="S52" s="167">
        <f>+COUNTIF($X17:$Z47,"*PM*")-COUNTIF($X17:$Z47,"*代休(P*")-S51</f>
        <v>0</v>
      </c>
      <c r="T52" s="168"/>
      <c r="U52" s="169" t="s">
        <v>127</v>
      </c>
      <c r="V52" s="170"/>
      <c r="W52" s="171">
        <f>+K52+(O52+S52)/2</f>
        <v>0</v>
      </c>
      <c r="X52" s="172"/>
      <c r="Y52" s="208" t="s">
        <v>125</v>
      </c>
      <c r="Z52" s="209"/>
      <c r="AA52" s="62">
        <f>+'5月'!AA51</f>
        <v>35</v>
      </c>
      <c r="AB52" t="s">
        <v>173</v>
      </c>
    </row>
    <row r="53" spans="1:34" ht="14.15" customHeight="1" thickTop="1" thickBot="1" x14ac:dyDescent="0.25">
      <c r="A53" s="224"/>
      <c r="B53" s="225"/>
      <c r="C53" s="226"/>
      <c r="D53" s="227" t="s">
        <v>21</v>
      </c>
      <c r="E53" s="228"/>
      <c r="F53" s="33"/>
      <c r="G53" s="228" t="s">
        <v>22</v>
      </c>
      <c r="H53" s="228"/>
      <c r="I53" s="34"/>
      <c r="J53" s="229"/>
      <c r="K53" s="225"/>
      <c r="L53" s="230"/>
      <c r="M53" s="27"/>
      <c r="N53" s="28"/>
      <c r="O53" s="32"/>
      <c r="P53" s="4"/>
      <c r="S53" s="4"/>
      <c r="Y53" s="208" t="s">
        <v>166</v>
      </c>
      <c r="Z53" s="209"/>
      <c r="AA53" s="63">
        <v>0</v>
      </c>
      <c r="AB53" t="s">
        <v>167</v>
      </c>
    </row>
    <row r="54" spans="1:34" ht="14.15" customHeight="1" thickTop="1" thickBot="1" x14ac:dyDescent="0.25">
      <c r="A54" s="217" t="s">
        <v>256</v>
      </c>
      <c r="B54" s="218"/>
      <c r="C54" s="218"/>
      <c r="D54" s="219" t="e">
        <f ca="1">ROUNDUP(IF(給与種別=0,時間・月額+手当１金額,IF(給与体系="時給制",(時間・月額+手当１金額/150),(時間・月額+手当１金額)/SUMIF(テーブル_勤務時間,給与体系,テーブル!C:C))),0)</f>
        <v>#DIV/0!</v>
      </c>
      <c r="E54" s="220"/>
      <c r="F54" s="99" t="s">
        <v>39</v>
      </c>
      <c r="G54" s="195">
        <f ca="1">+IF(給与種別=0,1,IF(給与体系&lt;&gt;"時給制",SUMIF(テーブル_勤務時間,給与体系,テーブル!K:K),通常時間計))</f>
        <v>0</v>
      </c>
      <c r="H54" s="195"/>
      <c r="I54" s="100" t="str">
        <f ca="1">IF(給与種別=2,"h","m")</f>
        <v>h</v>
      </c>
      <c r="J54" s="221">
        <f ca="1">IF(給与体系="時給制",基本給単価*基本給時間,SUMIF(テーブル!U2:U13,当月,テーブル!V2:V13))</f>
        <v>0</v>
      </c>
      <c r="K54" s="222"/>
      <c r="L54" s="223"/>
      <c r="M54" s="4"/>
      <c r="N54" s="202" t="s">
        <v>188</v>
      </c>
      <c r="O54" s="203"/>
      <c r="P54" s="203"/>
      <c r="Q54" s="204">
        <f>(合計_15分未満切捨て-(K51+K52)*7.5-(O51+O52)*3-(S51+S52)*4.5)</f>
        <v>0</v>
      </c>
      <c r="R54" s="205"/>
      <c r="S54" s="206"/>
      <c r="T54" s="207"/>
      <c r="U54" s="92" t="s">
        <v>197</v>
      </c>
      <c r="Y54" s="208" t="s">
        <v>203</v>
      </c>
      <c r="Z54" s="209"/>
      <c r="AA54" s="63">
        <f>+SUM('6月:4月'!W51:X51)</f>
        <v>0</v>
      </c>
      <c r="AB54" t="s">
        <v>204</v>
      </c>
    </row>
    <row r="55" spans="1:34" ht="14.15" customHeight="1" thickTop="1" thickBot="1" x14ac:dyDescent="0.25">
      <c r="A55" s="192" t="str">
        <f ca="1">+IF(給与体系="時給制","超過勤務","みなし給")</f>
        <v>みなし給</v>
      </c>
      <c r="B55" s="193"/>
      <c r="C55" s="194"/>
      <c r="D55" s="210" t="e">
        <f ca="1">IF(給与体系="140-160時間制",基本給単価/4,IF(時間外係数=0,基本給単価*1.25,ROUNDUP(IF(給与体系="時給制",(時間・月額+手当１金額/150)*時間外係数,(時間・月額+手当１金額)/SUMIF(テーブル_勤務時間,給与体系,テーブル!C:C)*SUMIF(テーブル_勤務時間,給与体系,テーブル!E:E)),0)))</f>
        <v>#DIV/0!</v>
      </c>
      <c r="E55" s="211"/>
      <c r="F55" s="99" t="s">
        <v>39</v>
      </c>
      <c r="G55" s="195">
        <f ca="1">+IF(給与体系="時給制",超過勤務時間計,SUMIF(テーブル_勤務時間,給与体系,テーブル_みなし時間))</f>
        <v>0</v>
      </c>
      <c r="H55" s="195"/>
      <c r="I55" s="100" t="s">
        <v>40</v>
      </c>
      <c r="J55" s="212">
        <f ca="1">IF(みなし給時間="","",IF(給与体系="時給制",みなし給単価*みなし給時間,SUMIF(テーブル!U2:U13,当月,テーブル!W2:W13)))</f>
        <v>0</v>
      </c>
      <c r="K55" s="213"/>
      <c r="L55" s="214"/>
      <c r="M55" s="4"/>
      <c r="N55" s="215" t="s">
        <v>189</v>
      </c>
      <c r="O55" s="216"/>
      <c r="P55" s="216"/>
      <c r="Q55" s="204">
        <f>+N48+R48*7.5</f>
        <v>0</v>
      </c>
      <c r="R55" s="205"/>
      <c r="S55" s="206"/>
      <c r="T55" s="207"/>
      <c r="U55" s="92" t="s">
        <v>201</v>
      </c>
      <c r="AA55" s="87" t="s">
        <v>192</v>
      </c>
    </row>
    <row r="56" spans="1:34" ht="14.15" customHeight="1" thickTop="1" thickBot="1" x14ac:dyDescent="0.25">
      <c r="A56" s="192" t="str">
        <f ca="1">+IF(給与体系="時給制","深夜残業","月額給")</f>
        <v>月額給</v>
      </c>
      <c r="B56" s="193"/>
      <c r="C56" s="194"/>
      <c r="D56" s="200" t="e">
        <f ca="1">IF(給与体系="時給制",ROUND(基本給単価*(1.5+MAX(0,時間外係数-1.25)),0),IF(給与体系="月給制","",VLOOKUP(給与体系,テーブル!B:F,5,0)))</f>
        <v>#N/A</v>
      </c>
      <c r="E56" s="201"/>
      <c r="F56" s="99" t="str">
        <f ca="1">+IF(給与体系="時給制","＊",IF(給与体系="月給制","","－"))</f>
        <v>－</v>
      </c>
      <c r="G56" s="195" t="e">
        <f ca="1">+IF(給与体系="時給制",深夜残業時間計,IF(給与体系="月給制","月額給",VLOOKUP(給与体系,テーブル!B:G,6,0)))</f>
        <v>#N/A</v>
      </c>
      <c r="H56" s="195"/>
      <c r="I56" s="100" t="str">
        <f ca="1">+IF(給与体系="時給制","h","制")</f>
        <v>制</v>
      </c>
      <c r="J56" s="179">
        <f ca="1">IF(給与体系="時給制",D56*G56,基本給+みなし給)</f>
        <v>0</v>
      </c>
      <c r="K56" s="180"/>
      <c r="L56" s="181"/>
      <c r="M56" s="4"/>
      <c r="N56" s="202" t="s">
        <v>190</v>
      </c>
      <c r="O56" s="203"/>
      <c r="P56" s="203"/>
      <c r="Q56" s="204">
        <f>+Q54-Q55</f>
        <v>0</v>
      </c>
      <c r="R56" s="205"/>
      <c r="S56" s="206"/>
      <c r="T56" s="207"/>
      <c r="U56" s="92" t="s">
        <v>199</v>
      </c>
      <c r="AA56" s="86">
        <f>IF(D62="テレワーク手当",J62/400,IF(D63="テレワーク手当",J63/400,IF(D64="テレワーク手当",J64/400,0)))</f>
        <v>0</v>
      </c>
      <c r="AB56" t="s">
        <v>193</v>
      </c>
    </row>
    <row r="57" spans="1:34" ht="14.15" customHeight="1" thickTop="1" thickBot="1" x14ac:dyDescent="0.25">
      <c r="A57" s="192" t="str">
        <f ca="1">+IF(給与体系="時給制","休日出勤","控除精算")</f>
        <v>控除精算</v>
      </c>
      <c r="B57" s="193"/>
      <c r="C57" s="194"/>
      <c r="D57" s="176" t="e">
        <f ca="1">ROUNDUP(IF(給与種別=0,0,IF(給与体系="時給制",(基本給単価)*1.35,(時間・月額)/SUMIF(テーブル_勤務時間,給与体系,テーブル!C:C))),0)</f>
        <v>#DIV/0!</v>
      </c>
      <c r="E57" s="177"/>
      <c r="F57" s="99" t="s">
        <v>39</v>
      </c>
      <c r="G57" s="195">
        <f ca="1">IF(給与体系="時給制",休日出勤時間計,IF(給与体系="月給制",-1*欠勤時間計,IF(給与体系="140-160時間制",MIN(0,時間合計-140),MIN(0,補正勤務時間合計-SUMIF(テーブル_勤務時間,給与体系,テーブル!H:H)))))</f>
        <v>0</v>
      </c>
      <c r="H57" s="195"/>
      <c r="I57" s="100" t="s">
        <v>40</v>
      </c>
      <c r="J57" s="179" t="e">
        <f ca="1">MAX(控除単価*控除時間,時間・月額*-1)</f>
        <v>#DIV/0!</v>
      </c>
      <c r="K57" s="180"/>
      <c r="L57" s="181"/>
      <c r="M57" s="4"/>
      <c r="N57" s="196" t="s">
        <v>134</v>
      </c>
      <c r="O57" s="197"/>
      <c r="P57" s="198">
        <f ca="1">_xlfn.XLOOKUP(当月,テーブル!U2:U13,テーブル!X2:X13,テーブル!$O$6,FALSE)</f>
        <v>0</v>
      </c>
      <c r="Q57" s="198"/>
      <c r="R57" s="198"/>
      <c r="S57" s="198"/>
      <c r="T57" s="198"/>
      <c r="U57" s="198"/>
      <c r="V57" s="198"/>
      <c r="W57" s="199"/>
    </row>
    <row r="58" spans="1:34" ht="14.15" customHeight="1" x14ac:dyDescent="0.2">
      <c r="A58" s="173" t="str">
        <f ca="1">+IF(給与体系="時給制","休日深夜","超過精算")</f>
        <v>超過精算</v>
      </c>
      <c r="B58" s="174"/>
      <c r="C58" s="175"/>
      <c r="D58" s="176" t="e">
        <f ca="1">ROUNDUP(IF(給与種別=0,((時間・月額+手当１金額)/150),IF(給与体系="時給制",(基本給単価)*1.6,(時間・月額)/SUMIF(テーブル_勤務時間,給与体系,テーブル!C:C))),0)</f>
        <v>#DIV/0!</v>
      </c>
      <c r="E58" s="177"/>
      <c r="F58" s="101" t="s">
        <v>39</v>
      </c>
      <c r="G58" s="178">
        <f ca="1">IF(給与体系="時給制",休日深夜時間計,IF(給与体系="140-160時間制",MAX(0,時間合計-160)*1.25+MAX(0,深夜残業時間計-80)*0.25,(IF(給与体系="管理監督者",(深夜残業時間計+休日深夜時間計)*0.25,MAX(0,補正勤務時間合計-SUMIF(テーブル_勤務時間,給与体系,テーブル!I:I))))))</f>
        <v>0</v>
      </c>
      <c r="H58" s="178"/>
      <c r="I58" s="102" t="s">
        <v>40</v>
      </c>
      <c r="J58" s="179" t="e">
        <f ca="1">超過単価*超過時間</f>
        <v>#DIV/0!</v>
      </c>
      <c r="K58" s="180"/>
      <c r="L58" s="181"/>
      <c r="M58" s="4"/>
      <c r="N58" s="182" t="s">
        <v>157</v>
      </c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94" t="s">
        <v>211</v>
      </c>
    </row>
    <row r="59" spans="1:34" ht="14.15" customHeight="1" thickBot="1" x14ac:dyDescent="0.25">
      <c r="A59" s="183" t="s">
        <v>227</v>
      </c>
      <c r="B59" s="184"/>
      <c r="C59" s="185"/>
      <c r="D59" s="186"/>
      <c r="E59" s="187"/>
      <c r="F59" s="83"/>
      <c r="G59" s="188" t="s">
        <v>255</v>
      </c>
      <c r="H59" s="188"/>
      <c r="I59" s="84"/>
      <c r="J59" s="189" t="str">
        <f>+IF(ISERROR(過不足調整単価*過不足調整時間),"",過不足調整単価*過不足調整時間)</f>
        <v/>
      </c>
      <c r="K59" s="190"/>
      <c r="L59" s="191"/>
      <c r="M59" s="4"/>
      <c r="N59" s="154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95">
        <f>+SUM(AB17:AB47)+G51*7.5+AB59</f>
        <v>165</v>
      </c>
    </row>
    <row r="60" spans="1:34" ht="14.15" customHeight="1" thickTop="1" x14ac:dyDescent="0.2">
      <c r="A60" s="145"/>
      <c r="B60" s="146"/>
      <c r="C60" s="147"/>
      <c r="D60" s="148" t="s">
        <v>148</v>
      </c>
      <c r="E60" s="149"/>
      <c r="F60" s="149"/>
      <c r="G60" s="149"/>
      <c r="H60" s="149"/>
      <c r="I60" s="150"/>
      <c r="J60" s="151" t="e">
        <f ca="1">IF(給与体系="時給制",SUM(基本給:L59),SUM(J56:L59))</f>
        <v>#DIV/0!</v>
      </c>
      <c r="K60" s="152"/>
      <c r="L60" s="153"/>
      <c r="M60" s="4"/>
      <c r="N60" s="154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6"/>
      <c r="AB60" t="s">
        <v>229</v>
      </c>
    </row>
    <row r="61" spans="1:34" ht="14.15" customHeight="1" x14ac:dyDescent="0.2">
      <c r="A61" s="157" t="s">
        <v>137</v>
      </c>
      <c r="B61" s="158" t="s">
        <v>182</v>
      </c>
      <c r="C61" s="159"/>
      <c r="D61" s="160">
        <f>'4月'!D61</f>
        <v>0</v>
      </c>
      <c r="E61" s="161"/>
      <c r="F61" s="161"/>
      <c r="G61" s="161"/>
      <c r="H61" s="161"/>
      <c r="I61" s="162"/>
      <c r="J61" s="126">
        <f>'4月'!手当１金額</f>
        <v>0</v>
      </c>
      <c r="K61" s="127"/>
      <c r="L61" s="128"/>
      <c r="M61" s="4"/>
      <c r="N61" s="115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7"/>
      <c r="AB61" t="s">
        <v>232</v>
      </c>
      <c r="AC61" t="s">
        <v>235</v>
      </c>
    </row>
    <row r="62" spans="1:34" ht="14.15" customHeight="1" x14ac:dyDescent="0.2">
      <c r="A62" s="157"/>
      <c r="B62" s="163" t="s">
        <v>183</v>
      </c>
      <c r="C62" s="120"/>
      <c r="D62" s="133"/>
      <c r="E62" s="134"/>
      <c r="F62" s="134"/>
      <c r="G62" s="134"/>
      <c r="H62" s="134"/>
      <c r="I62" s="135"/>
      <c r="J62" s="126"/>
      <c r="K62" s="127"/>
      <c r="L62" s="128"/>
      <c r="M62" s="4"/>
      <c r="N62" s="115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7"/>
      <c r="AB62" t="s">
        <v>239</v>
      </c>
      <c r="AC62" t="s">
        <v>236</v>
      </c>
    </row>
    <row r="63" spans="1:34" ht="14.15" customHeight="1" x14ac:dyDescent="0.2">
      <c r="A63" s="157"/>
      <c r="B63" s="164"/>
      <c r="C63" s="165"/>
      <c r="D63" s="133"/>
      <c r="E63" s="134"/>
      <c r="F63" s="134"/>
      <c r="G63" s="134"/>
      <c r="H63" s="134"/>
      <c r="I63" s="135"/>
      <c r="J63" s="126"/>
      <c r="K63" s="127"/>
      <c r="L63" s="128"/>
      <c r="M63" s="4"/>
      <c r="N63" s="115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7"/>
      <c r="AB63" t="s">
        <v>245</v>
      </c>
      <c r="AC63" t="s">
        <v>249</v>
      </c>
    </row>
    <row r="64" spans="1:34" ht="14.15" customHeight="1" x14ac:dyDescent="0.2">
      <c r="A64" s="157"/>
      <c r="B64" s="166"/>
      <c r="C64" s="123"/>
      <c r="D64" s="133"/>
      <c r="E64" s="134"/>
      <c r="F64" s="134"/>
      <c r="G64" s="134"/>
      <c r="H64" s="134"/>
      <c r="I64" s="135"/>
      <c r="J64" s="126"/>
      <c r="K64" s="127"/>
      <c r="L64" s="128"/>
      <c r="M64" s="4"/>
      <c r="N64" s="115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7"/>
      <c r="AB64" t="s">
        <v>247</v>
      </c>
      <c r="AC64" t="s">
        <v>237</v>
      </c>
    </row>
    <row r="65" spans="1:29" ht="14.15" customHeight="1" x14ac:dyDescent="0.2">
      <c r="A65" s="136" t="s">
        <v>28</v>
      </c>
      <c r="B65" s="137"/>
      <c r="C65" s="137"/>
      <c r="D65" s="137"/>
      <c r="E65" s="137"/>
      <c r="F65" s="137"/>
      <c r="G65" s="137"/>
      <c r="H65" s="137"/>
      <c r="I65" s="138"/>
      <c r="J65" s="139" t="e">
        <f ca="1">J60+SUM(J62:L64)</f>
        <v>#DIV/0!</v>
      </c>
      <c r="K65" s="140"/>
      <c r="L65" s="141"/>
      <c r="M65" s="4"/>
      <c r="N65" s="142" t="str">
        <f>+IF('4月'!J66=0," ※前月の通勤費がゼロのため通勤交通費が表示されない","")</f>
        <v xml:space="preserve"> ※前月の通勤費がゼロのため通勤交通費が表示されない</v>
      </c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4"/>
    </row>
    <row r="66" spans="1:29" ht="14.15" customHeight="1" x14ac:dyDescent="0.2">
      <c r="A66" s="132" t="s">
        <v>169</v>
      </c>
      <c r="B66" s="124"/>
      <c r="C66" s="124"/>
      <c r="D66" s="124"/>
      <c r="E66" s="124"/>
      <c r="F66" s="124"/>
      <c r="G66" s="124"/>
      <c r="H66" s="124"/>
      <c r="I66" s="125"/>
      <c r="J66" s="126">
        <f>+'5月'!$J$66</f>
        <v>0</v>
      </c>
      <c r="K66" s="127"/>
      <c r="L66" s="128"/>
      <c r="M66" s="4"/>
      <c r="N66" s="115" t="str">
        <f>+IF(C51=0," ※出勤がないため通勤交通費の支給は無し","")</f>
        <v xml:space="preserve"> ※出勤がないため通勤交通費の支給は無し</v>
      </c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7"/>
      <c r="AB66" t="s">
        <v>246</v>
      </c>
      <c r="AC66" t="s">
        <v>253</v>
      </c>
    </row>
    <row r="67" spans="1:29" ht="14.15" customHeight="1" x14ac:dyDescent="0.2">
      <c r="A67" s="132" t="s">
        <v>141</v>
      </c>
      <c r="B67" s="124"/>
      <c r="C67" s="125"/>
      <c r="D67" s="124" t="s">
        <v>138</v>
      </c>
      <c r="E67" s="124"/>
      <c r="F67" s="124"/>
      <c r="G67" s="124"/>
      <c r="H67" s="124"/>
      <c r="I67" s="125"/>
      <c r="J67" s="126">
        <v>0</v>
      </c>
      <c r="K67" s="127"/>
      <c r="L67" s="128"/>
      <c r="N67" s="115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7"/>
      <c r="AB67" t="s">
        <v>248</v>
      </c>
      <c r="AC67" t="s">
        <v>254</v>
      </c>
    </row>
    <row r="68" spans="1:29" ht="14.15" customHeight="1" x14ac:dyDescent="0.2">
      <c r="A68" s="118" t="s">
        <v>140</v>
      </c>
      <c r="B68" s="119"/>
      <c r="C68" s="120"/>
      <c r="D68" s="124" t="s">
        <v>138</v>
      </c>
      <c r="E68" s="124"/>
      <c r="F68" s="124"/>
      <c r="G68" s="124"/>
      <c r="H68" s="124"/>
      <c r="I68" s="125"/>
      <c r="J68" s="126">
        <v>0</v>
      </c>
      <c r="K68" s="127"/>
      <c r="L68" s="128"/>
      <c r="N68" s="115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7"/>
    </row>
    <row r="69" spans="1:29" ht="13.5" customHeight="1" x14ac:dyDescent="0.2">
      <c r="A69" s="121"/>
      <c r="B69" s="122"/>
      <c r="C69" s="123"/>
      <c r="D69" s="124" t="s">
        <v>139</v>
      </c>
      <c r="E69" s="124"/>
      <c r="F69" s="124"/>
      <c r="G69" s="124"/>
      <c r="H69" s="124"/>
      <c r="I69" s="125"/>
      <c r="J69" s="129"/>
      <c r="K69" s="130"/>
      <c r="L69" s="131"/>
      <c r="N69" s="115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7"/>
      <c r="AB69" t="s">
        <v>240</v>
      </c>
      <c r="AC69" t="s">
        <v>233</v>
      </c>
    </row>
    <row r="70" spans="1:29" ht="14.15" customHeight="1" thickBot="1" x14ac:dyDescent="0.25">
      <c r="A70" s="109" t="s">
        <v>31</v>
      </c>
      <c r="B70" s="110"/>
      <c r="C70" s="110"/>
      <c r="D70" s="110"/>
      <c r="E70" s="110"/>
      <c r="F70" s="110"/>
      <c r="G70" s="110"/>
      <c r="H70" s="110"/>
      <c r="I70" s="111"/>
      <c r="J70" s="112" t="e">
        <f ca="1">SUM(J65:L69)</f>
        <v>#DIV/0!</v>
      </c>
      <c r="K70" s="113"/>
      <c r="L70" s="114"/>
      <c r="N70" s="115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7"/>
      <c r="AB70" t="s">
        <v>242</v>
      </c>
      <c r="AC70" t="s">
        <v>241</v>
      </c>
    </row>
    <row r="71" spans="1:29" ht="13.5" thickTop="1" x14ac:dyDescent="0.2">
      <c r="T71">
        <v>0</v>
      </c>
      <c r="AB71" t="s">
        <v>230</v>
      </c>
      <c r="AC71" t="s">
        <v>231</v>
      </c>
    </row>
    <row r="73" spans="1:29" x14ac:dyDescent="0.2">
      <c r="AB73" t="s">
        <v>228</v>
      </c>
    </row>
    <row r="74" spans="1:29" x14ac:dyDescent="0.2">
      <c r="AB74" t="s">
        <v>232</v>
      </c>
      <c r="AC74" t="s">
        <v>234</v>
      </c>
    </row>
    <row r="75" spans="1:29" x14ac:dyDescent="0.2">
      <c r="AB75" t="s">
        <v>239</v>
      </c>
      <c r="AC75" t="s">
        <v>238</v>
      </c>
    </row>
    <row r="76" spans="1:29" x14ac:dyDescent="0.2">
      <c r="AB76" t="s">
        <v>245</v>
      </c>
      <c r="AC76" t="s">
        <v>250</v>
      </c>
    </row>
    <row r="79" spans="1:29" x14ac:dyDescent="0.2">
      <c r="AB79" t="s">
        <v>246</v>
      </c>
      <c r="AC79" t="s">
        <v>251</v>
      </c>
    </row>
    <row r="80" spans="1:29" x14ac:dyDescent="0.2">
      <c r="AB80" t="s">
        <v>248</v>
      </c>
      <c r="AC80" t="s">
        <v>252</v>
      </c>
    </row>
    <row r="82" spans="28:29" x14ac:dyDescent="0.2">
      <c r="AB82" t="s">
        <v>240</v>
      </c>
      <c r="AC82" t="s">
        <v>243</v>
      </c>
    </row>
    <row r="83" spans="28:29" x14ac:dyDescent="0.2">
      <c r="AB83" t="s">
        <v>242</v>
      </c>
      <c r="AC83" t="s">
        <v>244</v>
      </c>
    </row>
  </sheetData>
  <dataConsolidate/>
  <mergeCells count="534">
    <mergeCell ref="A8:B9"/>
    <mergeCell ref="C8:J9"/>
    <mergeCell ref="T9:Z9"/>
    <mergeCell ref="A10:B11"/>
    <mergeCell ref="C10:J11"/>
    <mergeCell ref="T10:Z10"/>
    <mergeCell ref="Y2:Z2"/>
    <mergeCell ref="A3:Z4"/>
    <mergeCell ref="A5:D5"/>
    <mergeCell ref="E5:I6"/>
    <mergeCell ref="A6:D6"/>
    <mergeCell ref="P7:Z7"/>
    <mergeCell ref="N7:O7"/>
    <mergeCell ref="A12:B13"/>
    <mergeCell ref="C12:J13"/>
    <mergeCell ref="N57:O57"/>
    <mergeCell ref="P57:W57"/>
    <mergeCell ref="A15:B16"/>
    <mergeCell ref="C15:C16"/>
    <mergeCell ref="D15:G15"/>
    <mergeCell ref="H15:I16"/>
    <mergeCell ref="J15:K16"/>
    <mergeCell ref="L15:M16"/>
    <mergeCell ref="A18:B18"/>
    <mergeCell ref="D18:E18"/>
    <mergeCell ref="F18:G18"/>
    <mergeCell ref="H18:I18"/>
    <mergeCell ref="J18:K18"/>
    <mergeCell ref="T20:U20"/>
    <mergeCell ref="V20:W20"/>
    <mergeCell ref="T22:U22"/>
    <mergeCell ref="V22:W22"/>
    <mergeCell ref="A24:B24"/>
    <mergeCell ref="D24:E24"/>
    <mergeCell ref="F24:G24"/>
    <mergeCell ref="H24:I24"/>
    <mergeCell ref="J24:K24"/>
    <mergeCell ref="AA15:AA16"/>
    <mergeCell ref="D16:E16"/>
    <mergeCell ref="F16:G16"/>
    <mergeCell ref="A17:B17"/>
    <mergeCell ref="D17:E17"/>
    <mergeCell ref="F17:G17"/>
    <mergeCell ref="H17:I17"/>
    <mergeCell ref="J17:K17"/>
    <mergeCell ref="L17:M17"/>
    <mergeCell ref="N17:O17"/>
    <mergeCell ref="N15:O16"/>
    <mergeCell ref="P15:Q16"/>
    <mergeCell ref="R15:S16"/>
    <mergeCell ref="T15:U16"/>
    <mergeCell ref="V15:W16"/>
    <mergeCell ref="X15:Z16"/>
    <mergeCell ref="P17:Q17"/>
    <mergeCell ref="R17:S17"/>
    <mergeCell ref="T17:U17"/>
    <mergeCell ref="V17:W17"/>
    <mergeCell ref="X17:Z17"/>
    <mergeCell ref="X18:Z18"/>
    <mergeCell ref="A19:B19"/>
    <mergeCell ref="D19:E19"/>
    <mergeCell ref="F19:G19"/>
    <mergeCell ref="H19:I19"/>
    <mergeCell ref="J19:K19"/>
    <mergeCell ref="L19:M19"/>
    <mergeCell ref="N19:O19"/>
    <mergeCell ref="P19:Q19"/>
    <mergeCell ref="R19:S19"/>
    <mergeCell ref="L18:M18"/>
    <mergeCell ref="N18:O18"/>
    <mergeCell ref="P18:Q18"/>
    <mergeCell ref="R18:S18"/>
    <mergeCell ref="T18:U18"/>
    <mergeCell ref="V18:W18"/>
    <mergeCell ref="T19:U19"/>
    <mergeCell ref="V19:W19"/>
    <mergeCell ref="X19:Z19"/>
    <mergeCell ref="X20:Z20"/>
    <mergeCell ref="A21:B21"/>
    <mergeCell ref="D21:E21"/>
    <mergeCell ref="F21:G21"/>
    <mergeCell ref="H21:I21"/>
    <mergeCell ref="J21:K21"/>
    <mergeCell ref="X21:Z21"/>
    <mergeCell ref="L21:M21"/>
    <mergeCell ref="N21:O21"/>
    <mergeCell ref="P21:Q21"/>
    <mergeCell ref="R21:S21"/>
    <mergeCell ref="T21:U21"/>
    <mergeCell ref="V21:W21"/>
    <mergeCell ref="A20:B20"/>
    <mergeCell ref="D20:E20"/>
    <mergeCell ref="F20:G20"/>
    <mergeCell ref="H20:I20"/>
    <mergeCell ref="J20:K20"/>
    <mergeCell ref="L20:M20"/>
    <mergeCell ref="N20:O20"/>
    <mergeCell ref="P20:Q20"/>
    <mergeCell ref="R20:S20"/>
    <mergeCell ref="X22:Z22"/>
    <mergeCell ref="A23:B23"/>
    <mergeCell ref="D23:E23"/>
    <mergeCell ref="F23:G23"/>
    <mergeCell ref="H23:I23"/>
    <mergeCell ref="J23:K23"/>
    <mergeCell ref="L23:M23"/>
    <mergeCell ref="N23:O23"/>
    <mergeCell ref="P23:Q23"/>
    <mergeCell ref="R23:S23"/>
    <mergeCell ref="T23:U23"/>
    <mergeCell ref="V23:W23"/>
    <mergeCell ref="X23:Z23"/>
    <mergeCell ref="A22:B22"/>
    <mergeCell ref="D22:E22"/>
    <mergeCell ref="F22:G22"/>
    <mergeCell ref="H22:I22"/>
    <mergeCell ref="J22:K22"/>
    <mergeCell ref="L22:M22"/>
    <mergeCell ref="N22:O22"/>
    <mergeCell ref="P22:Q22"/>
    <mergeCell ref="R22:S22"/>
    <mergeCell ref="X24:Z24"/>
    <mergeCell ref="A25:B25"/>
    <mergeCell ref="D25:E25"/>
    <mergeCell ref="F25:G25"/>
    <mergeCell ref="H25:I25"/>
    <mergeCell ref="J25:K25"/>
    <mergeCell ref="L25:M25"/>
    <mergeCell ref="N25:O25"/>
    <mergeCell ref="P25:Q25"/>
    <mergeCell ref="R25:S25"/>
    <mergeCell ref="L24:M24"/>
    <mergeCell ref="N24:O24"/>
    <mergeCell ref="P24:Q24"/>
    <mergeCell ref="R24:S24"/>
    <mergeCell ref="T24:U24"/>
    <mergeCell ref="V24:W24"/>
    <mergeCell ref="T25:U25"/>
    <mergeCell ref="V25:W25"/>
    <mergeCell ref="X25:Z25"/>
    <mergeCell ref="T26:U26"/>
    <mergeCell ref="V26:W26"/>
    <mergeCell ref="X26:Z26"/>
    <mergeCell ref="A27:B27"/>
    <mergeCell ref="D27:E27"/>
    <mergeCell ref="F27:G27"/>
    <mergeCell ref="H27:I27"/>
    <mergeCell ref="J27:K27"/>
    <mergeCell ref="X27:Z27"/>
    <mergeCell ref="L27:M27"/>
    <mergeCell ref="N27:O27"/>
    <mergeCell ref="P27:Q27"/>
    <mergeCell ref="R27:S27"/>
    <mergeCell ref="T27:U27"/>
    <mergeCell ref="V27:W27"/>
    <mergeCell ref="A26:B26"/>
    <mergeCell ref="D26:E26"/>
    <mergeCell ref="F26:G26"/>
    <mergeCell ref="H26:I26"/>
    <mergeCell ref="J26:K26"/>
    <mergeCell ref="L26:M26"/>
    <mergeCell ref="N26:O26"/>
    <mergeCell ref="P26:Q26"/>
    <mergeCell ref="R26:S26"/>
    <mergeCell ref="T28:U28"/>
    <mergeCell ref="V28:W28"/>
    <mergeCell ref="X28:Z28"/>
    <mergeCell ref="A29:B29"/>
    <mergeCell ref="D29:E29"/>
    <mergeCell ref="F29:G29"/>
    <mergeCell ref="H29:I29"/>
    <mergeCell ref="J29:K29"/>
    <mergeCell ref="L29:M29"/>
    <mergeCell ref="N29:O29"/>
    <mergeCell ref="P29:Q29"/>
    <mergeCell ref="R29:S29"/>
    <mergeCell ref="T29:U29"/>
    <mergeCell ref="V29:W29"/>
    <mergeCell ref="X29:Z29"/>
    <mergeCell ref="A28:B28"/>
    <mergeCell ref="D28:E28"/>
    <mergeCell ref="F28:G28"/>
    <mergeCell ref="H28:I28"/>
    <mergeCell ref="J28:K28"/>
    <mergeCell ref="L28:M28"/>
    <mergeCell ref="N28:O28"/>
    <mergeCell ref="P28:Q28"/>
    <mergeCell ref="R28:S28"/>
    <mergeCell ref="A30:B30"/>
    <mergeCell ref="D30:E30"/>
    <mergeCell ref="F30:G30"/>
    <mergeCell ref="H30:I30"/>
    <mergeCell ref="J30:K30"/>
    <mergeCell ref="X30:Z30"/>
    <mergeCell ref="A31:B31"/>
    <mergeCell ref="D31:E31"/>
    <mergeCell ref="F31:G31"/>
    <mergeCell ref="H31:I31"/>
    <mergeCell ref="J31:K31"/>
    <mergeCell ref="L31:M31"/>
    <mergeCell ref="N31:O31"/>
    <mergeCell ref="P31:Q31"/>
    <mergeCell ref="R31:S31"/>
    <mergeCell ref="L30:M30"/>
    <mergeCell ref="N30:O30"/>
    <mergeCell ref="P30:Q30"/>
    <mergeCell ref="R30:S30"/>
    <mergeCell ref="T30:U30"/>
    <mergeCell ref="V30:W30"/>
    <mergeCell ref="T31:U31"/>
    <mergeCell ref="V31:W31"/>
    <mergeCell ref="X31:Z31"/>
    <mergeCell ref="T32:U32"/>
    <mergeCell ref="V32:W32"/>
    <mergeCell ref="X32:Z32"/>
    <mergeCell ref="A33:B33"/>
    <mergeCell ref="D33:E33"/>
    <mergeCell ref="F33:G33"/>
    <mergeCell ref="H33:I33"/>
    <mergeCell ref="J33:K33"/>
    <mergeCell ref="X33:Z33"/>
    <mergeCell ref="L33:M33"/>
    <mergeCell ref="N33:O33"/>
    <mergeCell ref="P33:Q33"/>
    <mergeCell ref="R33:S33"/>
    <mergeCell ref="T33:U33"/>
    <mergeCell ref="V33:W33"/>
    <mergeCell ref="A32:B32"/>
    <mergeCell ref="D32:E32"/>
    <mergeCell ref="F32:G32"/>
    <mergeCell ref="H32:I32"/>
    <mergeCell ref="J32:K32"/>
    <mergeCell ref="L32:M32"/>
    <mergeCell ref="N32:O32"/>
    <mergeCell ref="P32:Q32"/>
    <mergeCell ref="R32:S32"/>
    <mergeCell ref="T34:U34"/>
    <mergeCell ref="V34:W34"/>
    <mergeCell ref="X34:Z34"/>
    <mergeCell ref="A35:B35"/>
    <mergeCell ref="D35:E35"/>
    <mergeCell ref="F35:G35"/>
    <mergeCell ref="H35:I35"/>
    <mergeCell ref="J35:K35"/>
    <mergeCell ref="L35:M35"/>
    <mergeCell ref="N35:O35"/>
    <mergeCell ref="P35:Q35"/>
    <mergeCell ref="R35:S35"/>
    <mergeCell ref="T35:U35"/>
    <mergeCell ref="V35:W35"/>
    <mergeCell ref="X35:Z35"/>
    <mergeCell ref="A34:B34"/>
    <mergeCell ref="D34:E34"/>
    <mergeCell ref="F34:G34"/>
    <mergeCell ref="H34:I34"/>
    <mergeCell ref="J34:K34"/>
    <mergeCell ref="L34:M34"/>
    <mergeCell ref="N34:O34"/>
    <mergeCell ref="P34:Q34"/>
    <mergeCell ref="R34:S34"/>
    <mergeCell ref="A36:B36"/>
    <mergeCell ref="D36:E36"/>
    <mergeCell ref="F36:G36"/>
    <mergeCell ref="H36:I36"/>
    <mergeCell ref="J36:K36"/>
    <mergeCell ref="X36:Z36"/>
    <mergeCell ref="A37:B37"/>
    <mergeCell ref="D37:E37"/>
    <mergeCell ref="F37:G37"/>
    <mergeCell ref="H37:I37"/>
    <mergeCell ref="J37:K37"/>
    <mergeCell ref="L37:M37"/>
    <mergeCell ref="N37:O37"/>
    <mergeCell ref="P37:Q37"/>
    <mergeCell ref="R37:S37"/>
    <mergeCell ref="L36:M36"/>
    <mergeCell ref="N36:O36"/>
    <mergeCell ref="P36:Q36"/>
    <mergeCell ref="R36:S36"/>
    <mergeCell ref="T36:U36"/>
    <mergeCell ref="V36:W36"/>
    <mergeCell ref="T37:U37"/>
    <mergeCell ref="V37:W37"/>
    <mergeCell ref="X37:Z37"/>
    <mergeCell ref="T38:U38"/>
    <mergeCell ref="V38:W38"/>
    <mergeCell ref="X38:Z38"/>
    <mergeCell ref="A39:B39"/>
    <mergeCell ref="D39:E39"/>
    <mergeCell ref="F39:G39"/>
    <mergeCell ref="H39:I39"/>
    <mergeCell ref="J39:K39"/>
    <mergeCell ref="X39:Z39"/>
    <mergeCell ref="L39:M39"/>
    <mergeCell ref="N39:O39"/>
    <mergeCell ref="P39:Q39"/>
    <mergeCell ref="R39:S39"/>
    <mergeCell ref="T39:U39"/>
    <mergeCell ref="V39:W39"/>
    <mergeCell ref="A38:B38"/>
    <mergeCell ref="D38:E38"/>
    <mergeCell ref="F38:G38"/>
    <mergeCell ref="H38:I38"/>
    <mergeCell ref="J38:K38"/>
    <mergeCell ref="L38:M38"/>
    <mergeCell ref="N38:O38"/>
    <mergeCell ref="P38:Q38"/>
    <mergeCell ref="R38:S38"/>
    <mergeCell ref="T40:U40"/>
    <mergeCell ref="V40:W40"/>
    <mergeCell ref="X40:Z40"/>
    <mergeCell ref="A41:B41"/>
    <mergeCell ref="D41:E41"/>
    <mergeCell ref="F41:G41"/>
    <mergeCell ref="H41:I41"/>
    <mergeCell ref="J41:K41"/>
    <mergeCell ref="L41:M41"/>
    <mergeCell ref="N41:O41"/>
    <mergeCell ref="P41:Q41"/>
    <mergeCell ref="R41:S41"/>
    <mergeCell ref="T41:U41"/>
    <mergeCell ref="V41:W41"/>
    <mergeCell ref="X41:Z41"/>
    <mergeCell ref="A40:B40"/>
    <mergeCell ref="D40:E40"/>
    <mergeCell ref="F40:G40"/>
    <mergeCell ref="H40:I40"/>
    <mergeCell ref="J40:K40"/>
    <mergeCell ref="L40:M40"/>
    <mergeCell ref="N40:O40"/>
    <mergeCell ref="P40:Q40"/>
    <mergeCell ref="R40:S40"/>
    <mergeCell ref="A42:B42"/>
    <mergeCell ref="D42:E42"/>
    <mergeCell ref="F42:G42"/>
    <mergeCell ref="H42:I42"/>
    <mergeCell ref="J42:K42"/>
    <mergeCell ref="X42:Z42"/>
    <mergeCell ref="A43:B43"/>
    <mergeCell ref="D43:E43"/>
    <mergeCell ref="F43:G43"/>
    <mergeCell ref="H43:I43"/>
    <mergeCell ref="J43:K43"/>
    <mergeCell ref="L43:M43"/>
    <mergeCell ref="N43:O43"/>
    <mergeCell ref="P43:Q43"/>
    <mergeCell ref="R43:S43"/>
    <mergeCell ref="L42:M42"/>
    <mergeCell ref="N42:O42"/>
    <mergeCell ref="P42:Q42"/>
    <mergeCell ref="R42:S42"/>
    <mergeCell ref="T42:U42"/>
    <mergeCell ref="V42:W42"/>
    <mergeCell ref="T43:U43"/>
    <mergeCell ref="V43:W43"/>
    <mergeCell ref="X43:Z43"/>
    <mergeCell ref="T44:U44"/>
    <mergeCell ref="V44:W44"/>
    <mergeCell ref="X44:Z44"/>
    <mergeCell ref="A45:B45"/>
    <mergeCell ref="D45:E45"/>
    <mergeCell ref="F45:G45"/>
    <mergeCell ref="H45:I45"/>
    <mergeCell ref="J45:K45"/>
    <mergeCell ref="X45:Z45"/>
    <mergeCell ref="L45:M45"/>
    <mergeCell ref="N45:O45"/>
    <mergeCell ref="P45:Q45"/>
    <mergeCell ref="R45:S45"/>
    <mergeCell ref="T45:U45"/>
    <mergeCell ref="V45:W45"/>
    <mergeCell ref="A44:B44"/>
    <mergeCell ref="D44:E44"/>
    <mergeCell ref="F44:G44"/>
    <mergeCell ref="H44:I44"/>
    <mergeCell ref="J44:K44"/>
    <mergeCell ref="L44:M44"/>
    <mergeCell ref="N44:O44"/>
    <mergeCell ref="P44:Q44"/>
    <mergeCell ref="R44:S44"/>
    <mergeCell ref="T46:U46"/>
    <mergeCell ref="V46:W46"/>
    <mergeCell ref="X46:Z46"/>
    <mergeCell ref="A47:B47"/>
    <mergeCell ref="D47:E47"/>
    <mergeCell ref="F47:G47"/>
    <mergeCell ref="H47:I47"/>
    <mergeCell ref="J47:K47"/>
    <mergeCell ref="L47:M47"/>
    <mergeCell ref="N47:O47"/>
    <mergeCell ref="P47:Q47"/>
    <mergeCell ref="R47:S47"/>
    <mergeCell ref="T47:U47"/>
    <mergeCell ref="V47:W47"/>
    <mergeCell ref="X47:Z47"/>
    <mergeCell ref="A46:B46"/>
    <mergeCell ref="D46:E46"/>
    <mergeCell ref="F46:G46"/>
    <mergeCell ref="H46:I46"/>
    <mergeCell ref="J46:K46"/>
    <mergeCell ref="L46:M46"/>
    <mergeCell ref="N46:O46"/>
    <mergeCell ref="P46:Q46"/>
    <mergeCell ref="R46:S46"/>
    <mergeCell ref="A48:B48"/>
    <mergeCell ref="D48:E48"/>
    <mergeCell ref="F48:G48"/>
    <mergeCell ref="H48:I48"/>
    <mergeCell ref="J48:K48"/>
    <mergeCell ref="X48:Z48"/>
    <mergeCell ref="A49:K49"/>
    <mergeCell ref="L49:M49"/>
    <mergeCell ref="N49:O49"/>
    <mergeCell ref="P49:Q49"/>
    <mergeCell ref="R49:S49"/>
    <mergeCell ref="T49:U49"/>
    <mergeCell ref="V49:W49"/>
    <mergeCell ref="X49:Z49"/>
    <mergeCell ref="L48:M48"/>
    <mergeCell ref="N48:O48"/>
    <mergeCell ref="P48:Q48"/>
    <mergeCell ref="R48:S48"/>
    <mergeCell ref="T48:U48"/>
    <mergeCell ref="V48:W48"/>
    <mergeCell ref="A51:B51"/>
    <mergeCell ref="C51:D51"/>
    <mergeCell ref="E51:F51"/>
    <mergeCell ref="G51:H51"/>
    <mergeCell ref="I51:J51"/>
    <mergeCell ref="K51:L51"/>
    <mergeCell ref="M51:N51"/>
    <mergeCell ref="A50:K50"/>
    <mergeCell ref="L50:M50"/>
    <mergeCell ref="N50:O50"/>
    <mergeCell ref="O51:P51"/>
    <mergeCell ref="Q51:R51"/>
    <mergeCell ref="S51:T51"/>
    <mergeCell ref="U51:V51"/>
    <mergeCell ref="W51:X51"/>
    <mergeCell ref="Y51:Z51"/>
    <mergeCell ref="V50:W50"/>
    <mergeCell ref="X50:Z50"/>
    <mergeCell ref="AE50:AF50"/>
    <mergeCell ref="P50:Q50"/>
    <mergeCell ref="R50:S50"/>
    <mergeCell ref="T50:U50"/>
    <mergeCell ref="Q52:R52"/>
    <mergeCell ref="S52:T52"/>
    <mergeCell ref="U52:V52"/>
    <mergeCell ref="W52:X52"/>
    <mergeCell ref="Y52:Z52"/>
    <mergeCell ref="A53:C53"/>
    <mergeCell ref="D53:E53"/>
    <mergeCell ref="G53:H53"/>
    <mergeCell ref="J53:L53"/>
    <mergeCell ref="Y53:Z53"/>
    <mergeCell ref="A52:E52"/>
    <mergeCell ref="F52:H52"/>
    <mergeCell ref="I52:J52"/>
    <mergeCell ref="K52:L52"/>
    <mergeCell ref="M52:N52"/>
    <mergeCell ref="O52:P52"/>
    <mergeCell ref="A56:C56"/>
    <mergeCell ref="D56:E56"/>
    <mergeCell ref="G56:H56"/>
    <mergeCell ref="J56:L56"/>
    <mergeCell ref="N56:P56"/>
    <mergeCell ref="Q56:T56"/>
    <mergeCell ref="Y54:Z54"/>
    <mergeCell ref="A55:C55"/>
    <mergeCell ref="D55:E55"/>
    <mergeCell ref="G55:H55"/>
    <mergeCell ref="J55:L55"/>
    <mergeCell ref="N55:P55"/>
    <mergeCell ref="Q55:T55"/>
    <mergeCell ref="A54:C54"/>
    <mergeCell ref="D54:E54"/>
    <mergeCell ref="G54:H54"/>
    <mergeCell ref="J54:L54"/>
    <mergeCell ref="N54:P54"/>
    <mergeCell ref="Q54:T54"/>
    <mergeCell ref="N58:Z58"/>
    <mergeCell ref="A59:C59"/>
    <mergeCell ref="D59:E59"/>
    <mergeCell ref="G59:H59"/>
    <mergeCell ref="J59:L59"/>
    <mergeCell ref="N59:Z59"/>
    <mergeCell ref="A57:C57"/>
    <mergeCell ref="D57:E57"/>
    <mergeCell ref="G57:H57"/>
    <mergeCell ref="J57:L57"/>
    <mergeCell ref="A58:C58"/>
    <mergeCell ref="D58:E58"/>
    <mergeCell ref="G58:H58"/>
    <mergeCell ref="J58:L58"/>
    <mergeCell ref="D62:I62"/>
    <mergeCell ref="J62:L62"/>
    <mergeCell ref="N62:Z62"/>
    <mergeCell ref="D63:I63"/>
    <mergeCell ref="J63:L63"/>
    <mergeCell ref="N63:Z63"/>
    <mergeCell ref="A60:C60"/>
    <mergeCell ref="D60:I60"/>
    <mergeCell ref="J60:L60"/>
    <mergeCell ref="N60:Z60"/>
    <mergeCell ref="A61:A64"/>
    <mergeCell ref="B61:C61"/>
    <mergeCell ref="D61:I61"/>
    <mergeCell ref="J61:L61"/>
    <mergeCell ref="N61:Z61"/>
    <mergeCell ref="B62:C64"/>
    <mergeCell ref="A66:I66"/>
    <mergeCell ref="J66:L66"/>
    <mergeCell ref="N66:Z66"/>
    <mergeCell ref="A67:C67"/>
    <mergeCell ref="D67:I67"/>
    <mergeCell ref="J67:L67"/>
    <mergeCell ref="N67:Z67"/>
    <mergeCell ref="D64:I64"/>
    <mergeCell ref="J64:L64"/>
    <mergeCell ref="N64:Z64"/>
    <mergeCell ref="A65:I65"/>
    <mergeCell ref="J65:L65"/>
    <mergeCell ref="N65:Z65"/>
    <mergeCell ref="A70:I70"/>
    <mergeCell ref="J70:L70"/>
    <mergeCell ref="N70:Z70"/>
    <mergeCell ref="A68:C69"/>
    <mergeCell ref="D68:I68"/>
    <mergeCell ref="J68:L68"/>
    <mergeCell ref="N68:Z68"/>
    <mergeCell ref="D69:I69"/>
    <mergeCell ref="J69:L69"/>
    <mergeCell ref="N69:Z69"/>
  </mergeCells>
  <phoneticPr fontId="3"/>
  <conditionalFormatting sqref="A17:AA47">
    <cfRule type="expression" dxfId="943" priority="312" stopIfTrue="1">
      <formula>$X17="所休"</formula>
    </cfRule>
    <cfRule type="expression" dxfId="942" priority="311">
      <formula>$X17="法休"</formula>
    </cfRule>
  </conditionalFormatting>
  <conditionalFormatting sqref="J17:K17">
    <cfRule type="cellIs" dxfId="941" priority="310" stopIfTrue="1" operator="equal">
      <formula>0</formula>
    </cfRule>
  </conditionalFormatting>
  <conditionalFormatting sqref="L17:M17">
    <cfRule type="cellIs" dxfId="940" priority="309" stopIfTrue="1" operator="equal">
      <formula>0</formula>
    </cfRule>
  </conditionalFormatting>
  <conditionalFormatting sqref="N17:O17">
    <cfRule type="cellIs" dxfId="939" priority="308" stopIfTrue="1" operator="equal">
      <formula>0</formula>
    </cfRule>
  </conditionalFormatting>
  <conditionalFormatting sqref="P17:Q17">
    <cfRule type="cellIs" dxfId="938" priority="307" stopIfTrue="1" operator="equal">
      <formula>0</formula>
    </cfRule>
  </conditionalFormatting>
  <conditionalFormatting sqref="R17:S17">
    <cfRule type="cellIs" dxfId="937" priority="306" stopIfTrue="1" operator="equal">
      <formula>0</formula>
    </cfRule>
  </conditionalFormatting>
  <conditionalFormatting sqref="T17:U17">
    <cfRule type="cellIs" dxfId="936" priority="305" stopIfTrue="1" operator="equal">
      <formula>0</formula>
    </cfRule>
  </conditionalFormatting>
  <conditionalFormatting sqref="V17:W17">
    <cfRule type="cellIs" dxfId="935" priority="304" stopIfTrue="1" operator="equal">
      <formula>0</formula>
    </cfRule>
  </conditionalFormatting>
  <conditionalFormatting sqref="J18:K18">
    <cfRule type="cellIs" dxfId="934" priority="303" stopIfTrue="1" operator="equal">
      <formula>0</formula>
    </cfRule>
  </conditionalFormatting>
  <conditionalFormatting sqref="L18:M18">
    <cfRule type="cellIs" dxfId="933" priority="302" stopIfTrue="1" operator="equal">
      <formula>0</formula>
    </cfRule>
  </conditionalFormatting>
  <conditionalFormatting sqref="N18:O18">
    <cfRule type="cellIs" dxfId="932" priority="301" stopIfTrue="1" operator="equal">
      <formula>0</formula>
    </cfRule>
  </conditionalFormatting>
  <conditionalFormatting sqref="P18:Q18">
    <cfRule type="cellIs" dxfId="931" priority="300" stopIfTrue="1" operator="equal">
      <formula>0</formula>
    </cfRule>
  </conditionalFormatting>
  <conditionalFormatting sqref="R18:S18">
    <cfRule type="cellIs" dxfId="930" priority="299" stopIfTrue="1" operator="equal">
      <formula>0</formula>
    </cfRule>
  </conditionalFormatting>
  <conditionalFormatting sqref="T18:U18">
    <cfRule type="cellIs" dxfId="929" priority="298" stopIfTrue="1" operator="equal">
      <formula>0</formula>
    </cfRule>
  </conditionalFormatting>
  <conditionalFormatting sqref="V18:W18">
    <cfRule type="cellIs" dxfId="928" priority="297" stopIfTrue="1" operator="equal">
      <formula>0</formula>
    </cfRule>
  </conditionalFormatting>
  <conditionalFormatting sqref="J19:K19">
    <cfRule type="cellIs" dxfId="927" priority="296" stopIfTrue="1" operator="equal">
      <formula>0</formula>
    </cfRule>
  </conditionalFormatting>
  <conditionalFormatting sqref="L19:M19">
    <cfRule type="cellIs" dxfId="926" priority="295" stopIfTrue="1" operator="equal">
      <formula>0</formula>
    </cfRule>
  </conditionalFormatting>
  <conditionalFormatting sqref="N19:O19">
    <cfRule type="cellIs" dxfId="925" priority="294" stopIfTrue="1" operator="equal">
      <formula>0</formula>
    </cfRule>
  </conditionalFormatting>
  <conditionalFormatting sqref="P19:Q19">
    <cfRule type="cellIs" dxfId="924" priority="293" stopIfTrue="1" operator="equal">
      <formula>0</formula>
    </cfRule>
  </conditionalFormatting>
  <conditionalFormatting sqref="R19:S19">
    <cfRule type="cellIs" dxfId="923" priority="292" stopIfTrue="1" operator="equal">
      <formula>0</formula>
    </cfRule>
  </conditionalFormatting>
  <conditionalFormatting sqref="T19:U19">
    <cfRule type="cellIs" dxfId="922" priority="291" stopIfTrue="1" operator="equal">
      <formula>0</formula>
    </cfRule>
  </conditionalFormatting>
  <conditionalFormatting sqref="V19:W19">
    <cfRule type="cellIs" dxfId="921" priority="290" stopIfTrue="1" operator="equal">
      <formula>0</formula>
    </cfRule>
  </conditionalFormatting>
  <conditionalFormatting sqref="J20:K20">
    <cfRule type="cellIs" dxfId="920" priority="289" stopIfTrue="1" operator="equal">
      <formula>0</formula>
    </cfRule>
  </conditionalFormatting>
  <conditionalFormatting sqref="L20:M20">
    <cfRule type="cellIs" dxfId="919" priority="288" stopIfTrue="1" operator="equal">
      <formula>0</formula>
    </cfRule>
  </conditionalFormatting>
  <conditionalFormatting sqref="N20:O20">
    <cfRule type="cellIs" dxfId="918" priority="287" stopIfTrue="1" operator="equal">
      <formula>0</formula>
    </cfRule>
  </conditionalFormatting>
  <conditionalFormatting sqref="P20:Q20">
    <cfRule type="cellIs" dxfId="917" priority="286" stopIfTrue="1" operator="equal">
      <formula>0</formula>
    </cfRule>
  </conditionalFormatting>
  <conditionalFormatting sqref="R20:S20">
    <cfRule type="cellIs" dxfId="916" priority="285" stopIfTrue="1" operator="equal">
      <formula>0</formula>
    </cfRule>
  </conditionalFormatting>
  <conditionalFormatting sqref="T20:U20">
    <cfRule type="cellIs" dxfId="915" priority="284" stopIfTrue="1" operator="equal">
      <formula>0</formula>
    </cfRule>
  </conditionalFormatting>
  <conditionalFormatting sqref="V20:W20">
    <cfRule type="cellIs" dxfId="914" priority="283" stopIfTrue="1" operator="equal">
      <formula>0</formula>
    </cfRule>
  </conditionalFormatting>
  <conditionalFormatting sqref="J21:K21">
    <cfRule type="cellIs" dxfId="913" priority="282" stopIfTrue="1" operator="equal">
      <formula>0</formula>
    </cfRule>
  </conditionalFormatting>
  <conditionalFormatting sqref="L21:M21">
    <cfRule type="cellIs" dxfId="912" priority="281" stopIfTrue="1" operator="equal">
      <formula>0</formula>
    </cfRule>
  </conditionalFormatting>
  <conditionalFormatting sqref="N21:O21">
    <cfRule type="cellIs" dxfId="911" priority="280" stopIfTrue="1" operator="equal">
      <formula>0</formula>
    </cfRule>
  </conditionalFormatting>
  <conditionalFormatting sqref="P21:Q21">
    <cfRule type="cellIs" dxfId="910" priority="279" stopIfTrue="1" operator="equal">
      <formula>0</formula>
    </cfRule>
  </conditionalFormatting>
  <conditionalFormatting sqref="R21:S21">
    <cfRule type="cellIs" dxfId="909" priority="278" stopIfTrue="1" operator="equal">
      <formula>0</formula>
    </cfRule>
  </conditionalFormatting>
  <conditionalFormatting sqref="T21:U21">
    <cfRule type="cellIs" dxfId="908" priority="277" stopIfTrue="1" operator="equal">
      <formula>0</formula>
    </cfRule>
  </conditionalFormatting>
  <conditionalFormatting sqref="V21:W21">
    <cfRule type="cellIs" dxfId="907" priority="276" stopIfTrue="1" operator="equal">
      <formula>0</formula>
    </cfRule>
  </conditionalFormatting>
  <conditionalFormatting sqref="J22:K22">
    <cfRule type="cellIs" dxfId="906" priority="275" stopIfTrue="1" operator="equal">
      <formula>0</formula>
    </cfRule>
  </conditionalFormatting>
  <conditionalFormatting sqref="L22:M22">
    <cfRule type="cellIs" dxfId="905" priority="274" stopIfTrue="1" operator="equal">
      <formula>0</formula>
    </cfRule>
  </conditionalFormatting>
  <conditionalFormatting sqref="N22:O22">
    <cfRule type="cellIs" dxfId="904" priority="273" stopIfTrue="1" operator="equal">
      <formula>0</formula>
    </cfRule>
  </conditionalFormatting>
  <conditionalFormatting sqref="P22:Q22">
    <cfRule type="cellIs" dxfId="903" priority="272" stopIfTrue="1" operator="equal">
      <formula>0</formula>
    </cfRule>
  </conditionalFormatting>
  <conditionalFormatting sqref="R22:S22">
    <cfRule type="cellIs" dxfId="902" priority="271" stopIfTrue="1" operator="equal">
      <formula>0</formula>
    </cfRule>
  </conditionalFormatting>
  <conditionalFormatting sqref="T22:U22">
    <cfRule type="cellIs" dxfId="901" priority="270" stopIfTrue="1" operator="equal">
      <formula>0</formula>
    </cfRule>
  </conditionalFormatting>
  <conditionalFormatting sqref="V22:W22">
    <cfRule type="cellIs" dxfId="900" priority="269" stopIfTrue="1" operator="equal">
      <formula>0</formula>
    </cfRule>
  </conditionalFormatting>
  <conditionalFormatting sqref="J23:K23">
    <cfRule type="cellIs" dxfId="899" priority="268" stopIfTrue="1" operator="equal">
      <formula>0</formula>
    </cfRule>
  </conditionalFormatting>
  <conditionalFormatting sqref="L23:M23">
    <cfRule type="cellIs" dxfId="898" priority="267" stopIfTrue="1" operator="equal">
      <formula>0</formula>
    </cfRule>
  </conditionalFormatting>
  <conditionalFormatting sqref="N23:O23">
    <cfRule type="cellIs" dxfId="897" priority="266" stopIfTrue="1" operator="equal">
      <formula>0</formula>
    </cfRule>
  </conditionalFormatting>
  <conditionalFormatting sqref="P23:Q23">
    <cfRule type="cellIs" dxfId="896" priority="265" stopIfTrue="1" operator="equal">
      <formula>0</formula>
    </cfRule>
  </conditionalFormatting>
  <conditionalFormatting sqref="R23:S23">
    <cfRule type="cellIs" dxfId="895" priority="264" stopIfTrue="1" operator="equal">
      <formula>0</formula>
    </cfRule>
  </conditionalFormatting>
  <conditionalFormatting sqref="T23:U23">
    <cfRule type="cellIs" dxfId="894" priority="263" stopIfTrue="1" operator="equal">
      <formula>0</formula>
    </cfRule>
  </conditionalFormatting>
  <conditionalFormatting sqref="V23:W23">
    <cfRule type="cellIs" dxfId="893" priority="262" stopIfTrue="1" operator="equal">
      <formula>0</formula>
    </cfRule>
  </conditionalFormatting>
  <conditionalFormatting sqref="J24:K24">
    <cfRule type="cellIs" dxfId="892" priority="261" stopIfTrue="1" operator="equal">
      <formula>0</formula>
    </cfRule>
  </conditionalFormatting>
  <conditionalFormatting sqref="L24:M24">
    <cfRule type="cellIs" dxfId="891" priority="260" stopIfTrue="1" operator="equal">
      <formula>0</formula>
    </cfRule>
  </conditionalFormatting>
  <conditionalFormatting sqref="N24:O24">
    <cfRule type="cellIs" dxfId="890" priority="259" stopIfTrue="1" operator="equal">
      <formula>0</formula>
    </cfRule>
  </conditionalFormatting>
  <conditionalFormatting sqref="P24:Q24">
    <cfRule type="cellIs" dxfId="889" priority="258" stopIfTrue="1" operator="equal">
      <formula>0</formula>
    </cfRule>
  </conditionalFormatting>
  <conditionalFormatting sqref="R24:S24">
    <cfRule type="cellIs" dxfId="888" priority="257" stopIfTrue="1" operator="equal">
      <formula>0</formula>
    </cfRule>
  </conditionalFormatting>
  <conditionalFormatting sqref="T24:U24">
    <cfRule type="cellIs" dxfId="887" priority="256" stopIfTrue="1" operator="equal">
      <formula>0</formula>
    </cfRule>
  </conditionalFormatting>
  <conditionalFormatting sqref="V24:W24">
    <cfRule type="cellIs" dxfId="886" priority="255" stopIfTrue="1" operator="equal">
      <formula>0</formula>
    </cfRule>
  </conditionalFormatting>
  <conditionalFormatting sqref="J25:K25">
    <cfRule type="cellIs" dxfId="885" priority="254" stopIfTrue="1" operator="equal">
      <formula>0</formula>
    </cfRule>
  </conditionalFormatting>
  <conditionalFormatting sqref="L25:M25">
    <cfRule type="cellIs" dxfId="884" priority="253" stopIfTrue="1" operator="equal">
      <formula>0</formula>
    </cfRule>
  </conditionalFormatting>
  <conditionalFormatting sqref="N25:O25">
    <cfRule type="cellIs" dxfId="883" priority="252" stopIfTrue="1" operator="equal">
      <formula>0</formula>
    </cfRule>
  </conditionalFormatting>
  <conditionalFormatting sqref="P25:Q25">
    <cfRule type="cellIs" dxfId="882" priority="251" stopIfTrue="1" operator="equal">
      <formula>0</formula>
    </cfRule>
  </conditionalFormatting>
  <conditionalFormatting sqref="R25:S25">
    <cfRule type="cellIs" dxfId="881" priority="250" stopIfTrue="1" operator="equal">
      <formula>0</formula>
    </cfRule>
  </conditionalFormatting>
  <conditionalFormatting sqref="T25:U25">
    <cfRule type="cellIs" dxfId="880" priority="249" stopIfTrue="1" operator="equal">
      <formula>0</formula>
    </cfRule>
  </conditionalFormatting>
  <conditionalFormatting sqref="V25:W25">
    <cfRule type="cellIs" dxfId="879" priority="248" stopIfTrue="1" operator="equal">
      <formula>0</formula>
    </cfRule>
  </conditionalFormatting>
  <conditionalFormatting sqref="J26:K26">
    <cfRule type="cellIs" dxfId="878" priority="247" stopIfTrue="1" operator="equal">
      <formula>0</formula>
    </cfRule>
  </conditionalFormatting>
  <conditionalFormatting sqref="L26:M26">
    <cfRule type="cellIs" dxfId="877" priority="246" stopIfTrue="1" operator="equal">
      <formula>0</formula>
    </cfRule>
  </conditionalFormatting>
  <conditionalFormatting sqref="N26:O26">
    <cfRule type="cellIs" dxfId="876" priority="245" stopIfTrue="1" operator="equal">
      <formula>0</formula>
    </cfRule>
  </conditionalFormatting>
  <conditionalFormatting sqref="P26:Q26">
    <cfRule type="cellIs" dxfId="875" priority="244" stopIfTrue="1" operator="equal">
      <formula>0</formula>
    </cfRule>
  </conditionalFormatting>
  <conditionalFormatting sqref="R26:S26">
    <cfRule type="cellIs" dxfId="874" priority="243" stopIfTrue="1" operator="equal">
      <formula>0</formula>
    </cfRule>
  </conditionalFormatting>
  <conditionalFormatting sqref="T26:U26">
    <cfRule type="cellIs" dxfId="873" priority="242" stopIfTrue="1" operator="equal">
      <formula>0</formula>
    </cfRule>
  </conditionalFormatting>
  <conditionalFormatting sqref="V26:W26">
    <cfRule type="cellIs" dxfId="872" priority="241" stopIfTrue="1" operator="equal">
      <formula>0</formula>
    </cfRule>
  </conditionalFormatting>
  <conditionalFormatting sqref="J27:K27">
    <cfRule type="cellIs" dxfId="871" priority="240" stopIfTrue="1" operator="equal">
      <formula>0</formula>
    </cfRule>
  </conditionalFormatting>
  <conditionalFormatting sqref="L27:M27">
    <cfRule type="cellIs" dxfId="870" priority="239" stopIfTrue="1" operator="equal">
      <formula>0</formula>
    </cfRule>
  </conditionalFormatting>
  <conditionalFormatting sqref="N27:O27">
    <cfRule type="cellIs" dxfId="869" priority="238" stopIfTrue="1" operator="equal">
      <formula>0</formula>
    </cfRule>
  </conditionalFormatting>
  <conditionalFormatting sqref="P27:Q27">
    <cfRule type="cellIs" dxfId="868" priority="237" stopIfTrue="1" operator="equal">
      <formula>0</formula>
    </cfRule>
  </conditionalFormatting>
  <conditionalFormatting sqref="R27:S27">
    <cfRule type="cellIs" dxfId="867" priority="236" stopIfTrue="1" operator="equal">
      <formula>0</formula>
    </cfRule>
  </conditionalFormatting>
  <conditionalFormatting sqref="T27:U27">
    <cfRule type="cellIs" dxfId="866" priority="235" stopIfTrue="1" operator="equal">
      <formula>0</formula>
    </cfRule>
  </conditionalFormatting>
  <conditionalFormatting sqref="V27:W27">
    <cfRule type="cellIs" dxfId="865" priority="234" stopIfTrue="1" operator="equal">
      <formula>0</formula>
    </cfRule>
  </conditionalFormatting>
  <conditionalFormatting sqref="J28:K28">
    <cfRule type="cellIs" dxfId="864" priority="233" stopIfTrue="1" operator="equal">
      <formula>0</formula>
    </cfRule>
  </conditionalFormatting>
  <conditionalFormatting sqref="L28:M28">
    <cfRule type="cellIs" dxfId="863" priority="232" stopIfTrue="1" operator="equal">
      <formula>0</formula>
    </cfRule>
  </conditionalFormatting>
  <conditionalFormatting sqref="N28:O28">
    <cfRule type="cellIs" dxfId="862" priority="231" stopIfTrue="1" operator="equal">
      <formula>0</formula>
    </cfRule>
  </conditionalFormatting>
  <conditionalFormatting sqref="P28:Q28">
    <cfRule type="cellIs" dxfId="861" priority="230" stopIfTrue="1" operator="equal">
      <formula>0</formula>
    </cfRule>
  </conditionalFormatting>
  <conditionalFormatting sqref="R28:S28">
    <cfRule type="cellIs" dxfId="860" priority="229" stopIfTrue="1" operator="equal">
      <formula>0</formula>
    </cfRule>
  </conditionalFormatting>
  <conditionalFormatting sqref="T28:U28">
    <cfRule type="cellIs" dxfId="859" priority="228" stopIfTrue="1" operator="equal">
      <formula>0</formula>
    </cfRule>
  </conditionalFormatting>
  <conditionalFormatting sqref="V28:W28">
    <cfRule type="cellIs" dxfId="858" priority="227" stopIfTrue="1" operator="equal">
      <formula>0</formula>
    </cfRule>
  </conditionalFormatting>
  <conditionalFormatting sqref="J29:K29">
    <cfRule type="cellIs" dxfId="857" priority="226" stopIfTrue="1" operator="equal">
      <formula>0</formula>
    </cfRule>
  </conditionalFormatting>
  <conditionalFormatting sqref="L29:M29">
    <cfRule type="cellIs" dxfId="856" priority="225" stopIfTrue="1" operator="equal">
      <formula>0</formula>
    </cfRule>
  </conditionalFormatting>
  <conditionalFormatting sqref="N29:O29">
    <cfRule type="cellIs" dxfId="855" priority="224" stopIfTrue="1" operator="equal">
      <formula>0</formula>
    </cfRule>
  </conditionalFormatting>
  <conditionalFormatting sqref="P29:Q29">
    <cfRule type="cellIs" dxfId="854" priority="223" stopIfTrue="1" operator="equal">
      <formula>0</formula>
    </cfRule>
  </conditionalFormatting>
  <conditionalFormatting sqref="R29:S29">
    <cfRule type="cellIs" dxfId="853" priority="222" stopIfTrue="1" operator="equal">
      <formula>0</formula>
    </cfRule>
  </conditionalFormatting>
  <conditionalFormatting sqref="T29:U29">
    <cfRule type="cellIs" dxfId="852" priority="221" stopIfTrue="1" operator="equal">
      <formula>0</formula>
    </cfRule>
  </conditionalFormatting>
  <conditionalFormatting sqref="V29:W29">
    <cfRule type="cellIs" dxfId="851" priority="220" stopIfTrue="1" operator="equal">
      <formula>0</formula>
    </cfRule>
  </conditionalFormatting>
  <conditionalFormatting sqref="J30:K30">
    <cfRule type="cellIs" dxfId="850" priority="219" stopIfTrue="1" operator="equal">
      <formula>0</formula>
    </cfRule>
  </conditionalFormatting>
  <conditionalFormatting sqref="L30:M30">
    <cfRule type="cellIs" dxfId="849" priority="218" stopIfTrue="1" operator="equal">
      <formula>0</formula>
    </cfRule>
  </conditionalFormatting>
  <conditionalFormatting sqref="N30:O30">
    <cfRule type="cellIs" dxfId="848" priority="217" stopIfTrue="1" operator="equal">
      <formula>0</formula>
    </cfRule>
  </conditionalFormatting>
  <conditionalFormatting sqref="P30:Q30">
    <cfRule type="cellIs" dxfId="847" priority="216" stopIfTrue="1" operator="equal">
      <formula>0</formula>
    </cfRule>
  </conditionalFormatting>
  <conditionalFormatting sqref="R30:S30">
    <cfRule type="cellIs" dxfId="846" priority="215" stopIfTrue="1" operator="equal">
      <formula>0</formula>
    </cfRule>
  </conditionalFormatting>
  <conditionalFormatting sqref="T30:U30">
    <cfRule type="cellIs" dxfId="845" priority="214" stopIfTrue="1" operator="equal">
      <formula>0</formula>
    </cfRule>
  </conditionalFormatting>
  <conditionalFormatting sqref="V30:W30">
    <cfRule type="cellIs" dxfId="844" priority="213" stopIfTrue="1" operator="equal">
      <formula>0</formula>
    </cfRule>
  </conditionalFormatting>
  <conditionalFormatting sqref="J31:K31">
    <cfRule type="cellIs" dxfId="843" priority="212" stopIfTrue="1" operator="equal">
      <formula>0</formula>
    </cfRule>
  </conditionalFormatting>
  <conditionalFormatting sqref="L31:M31">
    <cfRule type="cellIs" dxfId="842" priority="211" stopIfTrue="1" operator="equal">
      <formula>0</formula>
    </cfRule>
  </conditionalFormatting>
  <conditionalFormatting sqref="N31:O31">
    <cfRule type="cellIs" dxfId="841" priority="210" stopIfTrue="1" operator="equal">
      <formula>0</formula>
    </cfRule>
  </conditionalFormatting>
  <conditionalFormatting sqref="P31:Q31">
    <cfRule type="cellIs" dxfId="840" priority="209" stopIfTrue="1" operator="equal">
      <formula>0</formula>
    </cfRule>
  </conditionalFormatting>
  <conditionalFormatting sqref="R31:S31">
    <cfRule type="cellIs" dxfId="839" priority="208" stopIfTrue="1" operator="equal">
      <formula>0</formula>
    </cfRule>
  </conditionalFormatting>
  <conditionalFormatting sqref="T31:U31">
    <cfRule type="cellIs" dxfId="838" priority="207" stopIfTrue="1" operator="equal">
      <formula>0</formula>
    </cfRule>
  </conditionalFormatting>
  <conditionalFormatting sqref="V31:W31">
    <cfRule type="cellIs" dxfId="837" priority="206" stopIfTrue="1" operator="equal">
      <formula>0</formula>
    </cfRule>
  </conditionalFormatting>
  <conditionalFormatting sqref="J32:K32">
    <cfRule type="cellIs" dxfId="836" priority="205" stopIfTrue="1" operator="equal">
      <formula>0</formula>
    </cfRule>
  </conditionalFormatting>
  <conditionalFormatting sqref="L32:M32">
    <cfRule type="cellIs" dxfId="835" priority="204" stopIfTrue="1" operator="equal">
      <formula>0</formula>
    </cfRule>
  </conditionalFormatting>
  <conditionalFormatting sqref="N32:O32">
    <cfRule type="cellIs" dxfId="834" priority="203" stopIfTrue="1" operator="equal">
      <formula>0</formula>
    </cfRule>
  </conditionalFormatting>
  <conditionalFormatting sqref="P32:Q32">
    <cfRule type="cellIs" dxfId="833" priority="202" stopIfTrue="1" operator="equal">
      <formula>0</formula>
    </cfRule>
  </conditionalFormatting>
  <conditionalFormatting sqref="R32:S32">
    <cfRule type="cellIs" dxfId="832" priority="201" stopIfTrue="1" operator="equal">
      <formula>0</formula>
    </cfRule>
  </conditionalFormatting>
  <conditionalFormatting sqref="T32:U32">
    <cfRule type="cellIs" dxfId="831" priority="200" stopIfTrue="1" operator="equal">
      <formula>0</formula>
    </cfRule>
  </conditionalFormatting>
  <conditionalFormatting sqref="V32:W32">
    <cfRule type="cellIs" dxfId="830" priority="199" stopIfTrue="1" operator="equal">
      <formula>0</formula>
    </cfRule>
  </conditionalFormatting>
  <conditionalFormatting sqref="J33:K33">
    <cfRule type="cellIs" dxfId="829" priority="198" stopIfTrue="1" operator="equal">
      <formula>0</formula>
    </cfRule>
  </conditionalFormatting>
  <conditionalFormatting sqref="L33:M33">
    <cfRule type="cellIs" dxfId="828" priority="197" stopIfTrue="1" operator="equal">
      <formula>0</formula>
    </cfRule>
  </conditionalFormatting>
  <conditionalFormatting sqref="N33:O33">
    <cfRule type="cellIs" dxfId="827" priority="196" stopIfTrue="1" operator="equal">
      <formula>0</formula>
    </cfRule>
  </conditionalFormatting>
  <conditionalFormatting sqref="P33:Q33">
    <cfRule type="cellIs" dxfId="826" priority="195" stopIfTrue="1" operator="equal">
      <formula>0</formula>
    </cfRule>
  </conditionalFormatting>
  <conditionalFormatting sqref="R33:S33">
    <cfRule type="cellIs" dxfId="825" priority="194" stopIfTrue="1" operator="equal">
      <formula>0</formula>
    </cfRule>
  </conditionalFormatting>
  <conditionalFormatting sqref="T33:U33">
    <cfRule type="cellIs" dxfId="824" priority="193" stopIfTrue="1" operator="equal">
      <formula>0</formula>
    </cfRule>
  </conditionalFormatting>
  <conditionalFormatting sqref="V33:W33">
    <cfRule type="cellIs" dxfId="823" priority="192" stopIfTrue="1" operator="equal">
      <formula>0</formula>
    </cfRule>
  </conditionalFormatting>
  <conditionalFormatting sqref="J34:K34">
    <cfRule type="cellIs" dxfId="822" priority="191" stopIfTrue="1" operator="equal">
      <formula>0</formula>
    </cfRule>
  </conditionalFormatting>
  <conditionalFormatting sqref="L34:M34">
    <cfRule type="cellIs" dxfId="821" priority="190" stopIfTrue="1" operator="equal">
      <formula>0</formula>
    </cfRule>
  </conditionalFormatting>
  <conditionalFormatting sqref="N34:O34">
    <cfRule type="cellIs" dxfId="820" priority="189" stopIfTrue="1" operator="equal">
      <formula>0</formula>
    </cfRule>
  </conditionalFormatting>
  <conditionalFormatting sqref="P34:Q34">
    <cfRule type="cellIs" dxfId="819" priority="188" stopIfTrue="1" operator="equal">
      <formula>0</formula>
    </cfRule>
  </conditionalFormatting>
  <conditionalFormatting sqref="R34:S34">
    <cfRule type="cellIs" dxfId="818" priority="187" stopIfTrue="1" operator="equal">
      <formula>0</formula>
    </cfRule>
  </conditionalFormatting>
  <conditionalFormatting sqref="T34:U34">
    <cfRule type="cellIs" dxfId="817" priority="186" stopIfTrue="1" operator="equal">
      <formula>0</formula>
    </cfRule>
  </conditionalFormatting>
  <conditionalFormatting sqref="V34:W34">
    <cfRule type="cellIs" dxfId="816" priority="185" stopIfTrue="1" operator="equal">
      <formula>0</formula>
    </cfRule>
  </conditionalFormatting>
  <conditionalFormatting sqref="J35:K35">
    <cfRule type="cellIs" dxfId="815" priority="184" stopIfTrue="1" operator="equal">
      <formula>0</formula>
    </cfRule>
  </conditionalFormatting>
  <conditionalFormatting sqref="L35:M35">
    <cfRule type="cellIs" dxfId="814" priority="183" stopIfTrue="1" operator="equal">
      <formula>0</formula>
    </cfRule>
  </conditionalFormatting>
  <conditionalFormatting sqref="N35:O35">
    <cfRule type="cellIs" dxfId="813" priority="182" stopIfTrue="1" operator="equal">
      <formula>0</formula>
    </cfRule>
  </conditionalFormatting>
  <conditionalFormatting sqref="P35:Q35">
    <cfRule type="cellIs" dxfId="812" priority="181" stopIfTrue="1" operator="equal">
      <formula>0</formula>
    </cfRule>
  </conditionalFormatting>
  <conditionalFormatting sqref="R35:S35">
    <cfRule type="cellIs" dxfId="811" priority="180" stopIfTrue="1" operator="equal">
      <formula>0</formula>
    </cfRule>
  </conditionalFormatting>
  <conditionalFormatting sqref="T35:U35">
    <cfRule type="cellIs" dxfId="810" priority="179" stopIfTrue="1" operator="equal">
      <formula>0</formula>
    </cfRule>
  </conditionalFormatting>
  <conditionalFormatting sqref="V35:W35">
    <cfRule type="cellIs" dxfId="809" priority="178" stopIfTrue="1" operator="equal">
      <formula>0</formula>
    </cfRule>
  </conditionalFormatting>
  <conditionalFormatting sqref="J36:K36">
    <cfRule type="cellIs" dxfId="808" priority="177" stopIfTrue="1" operator="equal">
      <formula>0</formula>
    </cfRule>
  </conditionalFormatting>
  <conditionalFormatting sqref="L36:M36">
    <cfRule type="cellIs" dxfId="807" priority="176" stopIfTrue="1" operator="equal">
      <formula>0</formula>
    </cfRule>
  </conditionalFormatting>
  <conditionalFormatting sqref="N36:O36">
    <cfRule type="cellIs" dxfId="806" priority="175" stopIfTrue="1" operator="equal">
      <formula>0</formula>
    </cfRule>
  </conditionalFormatting>
  <conditionalFormatting sqref="P36:Q36">
    <cfRule type="cellIs" dxfId="805" priority="174" stopIfTrue="1" operator="equal">
      <formula>0</formula>
    </cfRule>
  </conditionalFormatting>
  <conditionalFormatting sqref="R36:S36">
    <cfRule type="cellIs" dxfId="804" priority="173" stopIfTrue="1" operator="equal">
      <formula>0</formula>
    </cfRule>
  </conditionalFormatting>
  <conditionalFormatting sqref="T36:U36">
    <cfRule type="cellIs" dxfId="803" priority="172" stopIfTrue="1" operator="equal">
      <formula>0</formula>
    </cfRule>
  </conditionalFormatting>
  <conditionalFormatting sqref="V36:W36">
    <cfRule type="cellIs" dxfId="802" priority="171" stopIfTrue="1" operator="equal">
      <formula>0</formula>
    </cfRule>
  </conditionalFormatting>
  <conditionalFormatting sqref="J37:K37">
    <cfRule type="cellIs" dxfId="801" priority="170" stopIfTrue="1" operator="equal">
      <formula>0</formula>
    </cfRule>
  </conditionalFormatting>
  <conditionalFormatting sqref="L37:M37">
    <cfRule type="cellIs" dxfId="800" priority="169" stopIfTrue="1" operator="equal">
      <formula>0</formula>
    </cfRule>
  </conditionalFormatting>
  <conditionalFormatting sqref="N37:O37">
    <cfRule type="cellIs" dxfId="799" priority="168" stopIfTrue="1" operator="equal">
      <formula>0</formula>
    </cfRule>
  </conditionalFormatting>
  <conditionalFormatting sqref="P37:Q37">
    <cfRule type="cellIs" dxfId="798" priority="167" stopIfTrue="1" operator="equal">
      <formula>0</formula>
    </cfRule>
  </conditionalFormatting>
  <conditionalFormatting sqref="R37:S37">
    <cfRule type="cellIs" dxfId="797" priority="166" stopIfTrue="1" operator="equal">
      <formula>0</formula>
    </cfRule>
  </conditionalFormatting>
  <conditionalFormatting sqref="T37:U37">
    <cfRule type="cellIs" dxfId="796" priority="165" stopIfTrue="1" operator="equal">
      <formula>0</formula>
    </cfRule>
  </conditionalFormatting>
  <conditionalFormatting sqref="V37:W37">
    <cfRule type="cellIs" dxfId="795" priority="164" stopIfTrue="1" operator="equal">
      <formula>0</formula>
    </cfRule>
  </conditionalFormatting>
  <conditionalFormatting sqref="J38:K38">
    <cfRule type="cellIs" dxfId="794" priority="163" stopIfTrue="1" operator="equal">
      <formula>0</formula>
    </cfRule>
  </conditionalFormatting>
  <conditionalFormatting sqref="L38:M38">
    <cfRule type="cellIs" dxfId="793" priority="162" stopIfTrue="1" operator="equal">
      <formula>0</formula>
    </cfRule>
  </conditionalFormatting>
  <conditionalFormatting sqref="N38:O38">
    <cfRule type="cellIs" dxfId="792" priority="161" stopIfTrue="1" operator="equal">
      <formula>0</formula>
    </cfRule>
  </conditionalFormatting>
  <conditionalFormatting sqref="P38:Q38">
    <cfRule type="cellIs" dxfId="791" priority="160" stopIfTrue="1" operator="equal">
      <formula>0</formula>
    </cfRule>
  </conditionalFormatting>
  <conditionalFormatting sqref="R38:S38">
    <cfRule type="cellIs" dxfId="790" priority="159" stopIfTrue="1" operator="equal">
      <formula>0</formula>
    </cfRule>
  </conditionalFormatting>
  <conditionalFormatting sqref="T38:U38">
    <cfRule type="cellIs" dxfId="789" priority="158" stopIfTrue="1" operator="equal">
      <formula>0</formula>
    </cfRule>
  </conditionalFormatting>
  <conditionalFormatting sqref="V38:W38">
    <cfRule type="cellIs" dxfId="788" priority="157" stopIfTrue="1" operator="equal">
      <formula>0</formula>
    </cfRule>
  </conditionalFormatting>
  <conditionalFormatting sqref="J39:K39">
    <cfRule type="cellIs" dxfId="787" priority="156" stopIfTrue="1" operator="equal">
      <formula>0</formula>
    </cfRule>
  </conditionalFormatting>
  <conditionalFormatting sqref="L39:M39">
    <cfRule type="cellIs" dxfId="786" priority="155" stopIfTrue="1" operator="equal">
      <formula>0</formula>
    </cfRule>
  </conditionalFormatting>
  <conditionalFormatting sqref="N39:O39">
    <cfRule type="cellIs" dxfId="785" priority="154" stopIfTrue="1" operator="equal">
      <formula>0</formula>
    </cfRule>
  </conditionalFormatting>
  <conditionalFormatting sqref="P39:Q39">
    <cfRule type="cellIs" dxfId="784" priority="153" stopIfTrue="1" operator="equal">
      <formula>0</formula>
    </cfRule>
  </conditionalFormatting>
  <conditionalFormatting sqref="R39:S39">
    <cfRule type="cellIs" dxfId="783" priority="152" stopIfTrue="1" operator="equal">
      <formula>0</formula>
    </cfRule>
  </conditionalFormatting>
  <conditionalFormatting sqref="T39:U39">
    <cfRule type="cellIs" dxfId="782" priority="151" stopIfTrue="1" operator="equal">
      <formula>0</formula>
    </cfRule>
  </conditionalFormatting>
  <conditionalFormatting sqref="V39:W39">
    <cfRule type="cellIs" dxfId="781" priority="150" stopIfTrue="1" operator="equal">
      <formula>0</formula>
    </cfRule>
  </conditionalFormatting>
  <conditionalFormatting sqref="J40:K40">
    <cfRule type="cellIs" dxfId="780" priority="149" stopIfTrue="1" operator="equal">
      <formula>0</formula>
    </cfRule>
  </conditionalFormatting>
  <conditionalFormatting sqref="L40:M40">
    <cfRule type="cellIs" dxfId="779" priority="148" stopIfTrue="1" operator="equal">
      <formula>0</formula>
    </cfRule>
  </conditionalFormatting>
  <conditionalFormatting sqref="N40:O40">
    <cfRule type="cellIs" dxfId="778" priority="147" stopIfTrue="1" operator="equal">
      <formula>0</formula>
    </cfRule>
  </conditionalFormatting>
  <conditionalFormatting sqref="P40:Q40">
    <cfRule type="cellIs" dxfId="777" priority="146" stopIfTrue="1" operator="equal">
      <formula>0</formula>
    </cfRule>
  </conditionalFormatting>
  <conditionalFormatting sqref="R40:S40">
    <cfRule type="cellIs" dxfId="776" priority="145" stopIfTrue="1" operator="equal">
      <formula>0</formula>
    </cfRule>
  </conditionalFormatting>
  <conditionalFormatting sqref="T40:U40">
    <cfRule type="cellIs" dxfId="775" priority="144" stopIfTrue="1" operator="equal">
      <formula>0</formula>
    </cfRule>
  </conditionalFormatting>
  <conditionalFormatting sqref="V40:W40">
    <cfRule type="cellIs" dxfId="774" priority="143" stopIfTrue="1" operator="equal">
      <formula>0</formula>
    </cfRule>
  </conditionalFormatting>
  <conditionalFormatting sqref="J41:K41">
    <cfRule type="cellIs" dxfId="773" priority="142" stopIfTrue="1" operator="equal">
      <formula>0</formula>
    </cfRule>
  </conditionalFormatting>
  <conditionalFormatting sqref="L41:M41">
    <cfRule type="cellIs" dxfId="772" priority="141" stopIfTrue="1" operator="equal">
      <formula>0</formula>
    </cfRule>
  </conditionalFormatting>
  <conditionalFormatting sqref="N41:O41">
    <cfRule type="cellIs" dxfId="771" priority="140" stopIfTrue="1" operator="equal">
      <formula>0</formula>
    </cfRule>
  </conditionalFormatting>
  <conditionalFormatting sqref="P41:Q41">
    <cfRule type="cellIs" dxfId="770" priority="139" stopIfTrue="1" operator="equal">
      <formula>0</formula>
    </cfRule>
  </conditionalFormatting>
  <conditionalFormatting sqref="R41:S41">
    <cfRule type="cellIs" dxfId="769" priority="138" stopIfTrue="1" operator="equal">
      <formula>0</formula>
    </cfRule>
  </conditionalFormatting>
  <conditionalFormatting sqref="T41:U41">
    <cfRule type="cellIs" dxfId="768" priority="137" stopIfTrue="1" operator="equal">
      <formula>0</formula>
    </cfRule>
  </conditionalFormatting>
  <conditionalFormatting sqref="V41:W41">
    <cfRule type="cellIs" dxfId="767" priority="136" stopIfTrue="1" operator="equal">
      <formula>0</formula>
    </cfRule>
  </conditionalFormatting>
  <conditionalFormatting sqref="J42:K42">
    <cfRule type="cellIs" dxfId="766" priority="135" stopIfTrue="1" operator="equal">
      <formula>0</formula>
    </cfRule>
  </conditionalFormatting>
  <conditionalFormatting sqref="L42:M42">
    <cfRule type="cellIs" dxfId="765" priority="134" stopIfTrue="1" operator="equal">
      <formula>0</formula>
    </cfRule>
  </conditionalFormatting>
  <conditionalFormatting sqref="N42:O42">
    <cfRule type="cellIs" dxfId="764" priority="133" stopIfTrue="1" operator="equal">
      <formula>0</formula>
    </cfRule>
  </conditionalFormatting>
  <conditionalFormatting sqref="P42:Q42">
    <cfRule type="cellIs" dxfId="763" priority="132" stopIfTrue="1" operator="equal">
      <formula>0</formula>
    </cfRule>
  </conditionalFormatting>
  <conditionalFormatting sqref="R42:S42">
    <cfRule type="cellIs" dxfId="762" priority="131" stopIfTrue="1" operator="equal">
      <formula>0</formula>
    </cfRule>
  </conditionalFormatting>
  <conditionalFormatting sqref="T42:U42">
    <cfRule type="cellIs" dxfId="761" priority="130" stopIfTrue="1" operator="equal">
      <formula>0</formula>
    </cfRule>
  </conditionalFormatting>
  <conditionalFormatting sqref="V42:W42">
    <cfRule type="cellIs" dxfId="760" priority="129" stopIfTrue="1" operator="equal">
      <formula>0</formula>
    </cfRule>
  </conditionalFormatting>
  <conditionalFormatting sqref="J43:K43">
    <cfRule type="cellIs" dxfId="759" priority="128" stopIfTrue="1" operator="equal">
      <formula>0</formula>
    </cfRule>
  </conditionalFormatting>
  <conditionalFormatting sqref="L43:M43">
    <cfRule type="cellIs" dxfId="758" priority="127" stopIfTrue="1" operator="equal">
      <formula>0</formula>
    </cfRule>
  </conditionalFormatting>
  <conditionalFormatting sqref="N43:O43">
    <cfRule type="cellIs" dxfId="757" priority="126" stopIfTrue="1" operator="equal">
      <formula>0</formula>
    </cfRule>
  </conditionalFormatting>
  <conditionalFormatting sqref="P43:Q43">
    <cfRule type="cellIs" dxfId="756" priority="125" stopIfTrue="1" operator="equal">
      <formula>0</formula>
    </cfRule>
  </conditionalFormatting>
  <conditionalFormatting sqref="R43:S43">
    <cfRule type="cellIs" dxfId="755" priority="124" stopIfTrue="1" operator="equal">
      <formula>0</formula>
    </cfRule>
  </conditionalFormatting>
  <conditionalFormatting sqref="T43:U43">
    <cfRule type="cellIs" dxfId="754" priority="123" stopIfTrue="1" operator="equal">
      <formula>0</formula>
    </cfRule>
  </conditionalFormatting>
  <conditionalFormatting sqref="V43:W43">
    <cfRule type="cellIs" dxfId="753" priority="122" stopIfTrue="1" operator="equal">
      <formula>0</formula>
    </cfRule>
  </conditionalFormatting>
  <conditionalFormatting sqref="J44:K44">
    <cfRule type="cellIs" dxfId="752" priority="121" stopIfTrue="1" operator="equal">
      <formula>0</formula>
    </cfRule>
  </conditionalFormatting>
  <conditionalFormatting sqref="L44:M44">
    <cfRule type="cellIs" dxfId="751" priority="120" stopIfTrue="1" operator="equal">
      <formula>0</formula>
    </cfRule>
  </conditionalFormatting>
  <conditionalFormatting sqref="N44:O44">
    <cfRule type="cellIs" dxfId="750" priority="119" stopIfTrue="1" operator="equal">
      <formula>0</formula>
    </cfRule>
  </conditionalFormatting>
  <conditionalFormatting sqref="P44:Q44">
    <cfRule type="cellIs" dxfId="749" priority="118" stopIfTrue="1" operator="equal">
      <formula>0</formula>
    </cfRule>
  </conditionalFormatting>
  <conditionalFormatting sqref="R44:S44">
    <cfRule type="cellIs" dxfId="748" priority="117" stopIfTrue="1" operator="equal">
      <formula>0</formula>
    </cfRule>
  </conditionalFormatting>
  <conditionalFormatting sqref="T44:U44">
    <cfRule type="cellIs" dxfId="747" priority="116" stopIfTrue="1" operator="equal">
      <formula>0</formula>
    </cfRule>
  </conditionalFormatting>
  <conditionalFormatting sqref="V44:W44">
    <cfRule type="cellIs" dxfId="746" priority="115" stopIfTrue="1" operator="equal">
      <formula>0</formula>
    </cfRule>
  </conditionalFormatting>
  <conditionalFormatting sqref="J45:K45">
    <cfRule type="cellIs" dxfId="745" priority="114" stopIfTrue="1" operator="equal">
      <formula>0</formula>
    </cfRule>
  </conditionalFormatting>
  <conditionalFormatting sqref="L45:M45">
    <cfRule type="cellIs" dxfId="744" priority="113" stopIfTrue="1" operator="equal">
      <formula>0</formula>
    </cfRule>
  </conditionalFormatting>
  <conditionalFormatting sqref="N45:O45">
    <cfRule type="cellIs" dxfId="743" priority="112" stopIfTrue="1" operator="equal">
      <formula>0</formula>
    </cfRule>
  </conditionalFormatting>
  <conditionalFormatting sqref="P45:Q45">
    <cfRule type="cellIs" dxfId="742" priority="111" stopIfTrue="1" operator="equal">
      <formula>0</formula>
    </cfRule>
  </conditionalFormatting>
  <conditionalFormatting sqref="R45:S45">
    <cfRule type="cellIs" dxfId="741" priority="110" stopIfTrue="1" operator="equal">
      <formula>0</formula>
    </cfRule>
  </conditionalFormatting>
  <conditionalFormatting sqref="T45:U45">
    <cfRule type="cellIs" dxfId="740" priority="109" stopIfTrue="1" operator="equal">
      <formula>0</formula>
    </cfRule>
  </conditionalFormatting>
  <conditionalFormatting sqref="V45:W45">
    <cfRule type="cellIs" dxfId="739" priority="108" stopIfTrue="1" operator="equal">
      <formula>0</formula>
    </cfRule>
  </conditionalFormatting>
  <conditionalFormatting sqref="J46:K46">
    <cfRule type="cellIs" dxfId="738" priority="107" stopIfTrue="1" operator="equal">
      <formula>0</formula>
    </cfRule>
  </conditionalFormatting>
  <conditionalFormatting sqref="L46:M46">
    <cfRule type="cellIs" dxfId="737" priority="106" stopIfTrue="1" operator="equal">
      <formula>0</formula>
    </cfRule>
  </conditionalFormatting>
  <conditionalFormatting sqref="N46:O46">
    <cfRule type="cellIs" dxfId="736" priority="105" stopIfTrue="1" operator="equal">
      <formula>0</formula>
    </cfRule>
  </conditionalFormatting>
  <conditionalFormatting sqref="P46:Q46">
    <cfRule type="cellIs" dxfId="735" priority="104" stopIfTrue="1" operator="equal">
      <formula>0</formula>
    </cfRule>
  </conditionalFormatting>
  <conditionalFormatting sqref="R46:S46">
    <cfRule type="cellIs" dxfId="734" priority="103" stopIfTrue="1" operator="equal">
      <formula>0</formula>
    </cfRule>
  </conditionalFormatting>
  <conditionalFormatting sqref="T46:U46">
    <cfRule type="cellIs" dxfId="733" priority="102" stopIfTrue="1" operator="equal">
      <formula>0</formula>
    </cfRule>
  </conditionalFormatting>
  <conditionalFormatting sqref="V46:W46">
    <cfRule type="cellIs" dxfId="732" priority="101" stopIfTrue="1" operator="equal">
      <formula>0</formula>
    </cfRule>
  </conditionalFormatting>
  <conditionalFormatting sqref="J47:K47">
    <cfRule type="cellIs" dxfId="731" priority="100" stopIfTrue="1" operator="equal">
      <formula>0</formula>
    </cfRule>
  </conditionalFormatting>
  <conditionalFormatting sqref="L47:M47">
    <cfRule type="cellIs" dxfId="730" priority="99" stopIfTrue="1" operator="equal">
      <formula>0</formula>
    </cfRule>
  </conditionalFormatting>
  <conditionalFormatting sqref="R47:S47">
    <cfRule type="cellIs" dxfId="729" priority="98" stopIfTrue="1" operator="equal">
      <formula>0</formula>
    </cfRule>
  </conditionalFormatting>
  <conditionalFormatting sqref="T47:U47">
    <cfRule type="cellIs" dxfId="728" priority="97" stopIfTrue="1" operator="equal">
      <formula>0</formula>
    </cfRule>
  </conditionalFormatting>
  <conditionalFormatting sqref="V47:W47">
    <cfRule type="cellIs" dxfId="727" priority="96" stopIfTrue="1" operator="equal">
      <formula>0</formula>
    </cfRule>
  </conditionalFormatting>
  <conditionalFormatting sqref="D54:L59">
    <cfRule type="expression" dxfId="726" priority="95">
      <formula>$AB$8=0</formula>
    </cfRule>
  </conditionalFormatting>
  <conditionalFormatting sqref="D54:I56">
    <cfRule type="expression" dxfId="725" priority="94">
      <formula>$AB$8=1</formula>
    </cfRule>
  </conditionalFormatting>
  <printOptions horizontalCentered="1"/>
  <pageMargins left="0.7" right="0.7" top="0.39370078740157477" bottom="0.39370078740157477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61" r:id="rId4" name="Button 5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2" r:id="rId5" name="Button 6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3" r:id="rId6" name="Button 7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6" r:id="rId7" name="Button 10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7" r:id="rId8" name="Button 11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8" r:id="rId9" name="Button 12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9" r:id="rId10" name="Button 13">
              <controlPr defaultSize="0" print="0" autoFill="0" autoPict="0" macro="[0]!休日初期化">
                <anchor moveWithCells="1" sizeWithCells="1">
                  <from>
                    <xdr:col>27</xdr:col>
                    <xdr:colOff>488950</xdr:colOff>
                    <xdr:row>25</xdr:row>
                    <xdr:rowOff>69850</xdr:rowOff>
                  </from>
                  <to>
                    <xdr:col>28</xdr:col>
                    <xdr:colOff>266700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0" r:id="rId11" name="Button 14">
              <controlPr defaultSize="0" print="0" autoFill="0" autoPict="0" macro="[0]!初期状態">
                <anchor moveWithCells="1" sizeWithCells="1">
                  <from>
                    <xdr:col>27</xdr:col>
                    <xdr:colOff>533400</xdr:colOff>
                    <xdr:row>32</xdr:row>
                    <xdr:rowOff>31750</xdr:rowOff>
                  </from>
                  <to>
                    <xdr:col>28</xdr:col>
                    <xdr:colOff>419100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2" r:id="rId12" name="Button 16">
              <controlPr defaultSize="0" print="0" autoFill="0" autoPict="0" macro="[0]!ws_add">
                <anchor moveWithCells="1" sizeWithCells="1">
                  <from>
                    <xdr:col>27</xdr:col>
                    <xdr:colOff>482600</xdr:colOff>
                    <xdr:row>35</xdr:row>
                    <xdr:rowOff>101600</xdr:rowOff>
                  </from>
                  <to>
                    <xdr:col>29</xdr:col>
                    <xdr:colOff>596900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3" r:id="rId13" name="Button 17">
              <controlPr defaultSize="0" print="0" autoFill="0" autoPict="0" macro="[0]!統合">
                <anchor moveWithCells="1" sizeWithCells="1">
                  <from>
                    <xdr:col>26</xdr:col>
                    <xdr:colOff>63500</xdr:colOff>
                    <xdr:row>59</xdr:row>
                    <xdr:rowOff>19050</xdr:rowOff>
                  </from>
                  <to>
                    <xdr:col>26</xdr:col>
                    <xdr:colOff>673100</xdr:colOff>
                    <xdr:row>60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4" r:id="rId14" name="Button 18">
              <controlPr defaultSize="0" print="0" autoFill="0" autoPict="0" macro="[0]!休暇処理">
                <anchor moveWithCells="1" sizeWithCells="1">
                  <from>
                    <xdr:col>26</xdr:col>
                    <xdr:colOff>63500</xdr:colOff>
                    <xdr:row>61</xdr:row>
                    <xdr:rowOff>19050</xdr:rowOff>
                  </from>
                  <to>
                    <xdr:col>26</xdr:col>
                    <xdr:colOff>673100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5" r:id="rId15" name="Button 19">
              <controlPr defaultSize="0" print="0" autoFill="0" autoPict="0" macro="[0]!化粧直し">
                <anchor moveWithCells="1" sizeWithCells="1">
                  <from>
                    <xdr:col>26</xdr:col>
                    <xdr:colOff>69850</xdr:colOff>
                    <xdr:row>63</xdr:row>
                    <xdr:rowOff>31750</xdr:rowOff>
                  </from>
                  <to>
                    <xdr:col>26</xdr:col>
                    <xdr:colOff>679450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6" r:id="rId16" name="Button 20">
              <controlPr defaultSize="0" print="0" autoFill="0" autoPict="0" macro="[0]!休日初期化">
                <anchor moveWithCells="1" sizeWithCells="1">
                  <from>
                    <xdr:col>26</xdr:col>
                    <xdr:colOff>146050</xdr:colOff>
                    <xdr:row>65</xdr:row>
                    <xdr:rowOff>69850</xdr:rowOff>
                  </from>
                  <to>
                    <xdr:col>26</xdr:col>
                    <xdr:colOff>641350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7" r:id="rId17" name="Button 21">
              <controlPr defaultSize="0" print="0" autoFill="0" autoPict="0" macro="[0]!初期状態">
                <anchor moveWithCells="1" sizeWithCells="1">
                  <from>
                    <xdr:col>26</xdr:col>
                    <xdr:colOff>57150</xdr:colOff>
                    <xdr:row>67</xdr:row>
                    <xdr:rowOff>88900</xdr:rowOff>
                  </from>
                  <to>
                    <xdr:col>26</xdr:col>
                    <xdr:colOff>666750</xdr:colOff>
                    <xdr:row>69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stopIfTrue="1" id="{2F0B9751-561A-4526-99CA-D087BE30667F}">
            <xm:f xml:space="preserve"> OR($X$17=+テーブル!A2,$X$17=+テーブル!A3,$X$17=+テーブル!A9,$X$17=+テーブル!A10,$X$17=+テーブル!A12,$X$17=+テーブル!A13,$X$17=+テーブル!A16)</xm:f>
            <x14:dxf>
              <font>
                <color rgb="FFFF0000"/>
              </font>
            </x14:dxf>
          </x14:cfRule>
          <xm:sqref>D17:E17</xm:sqref>
        </x14:conditionalFormatting>
        <x14:conditionalFormatting xmlns:xm="http://schemas.microsoft.com/office/excel/2006/main">
          <x14:cfRule type="expression" priority="92" stopIfTrue="1" id="{D04E78E6-69A2-407A-A79E-EE807108A184}">
            <xm:f xml:space="preserve"> OR($X$17=+テーブル!A2,$X$17=+テーブル!A4,$X$17=+テーブル!A9,$X$17=+テーブル!A11,$X$17=+テーブル!A12,$X$17=+テーブル!A14,$X$17=+テーブル!A16)</xm:f>
            <x14:dxf>
              <font>
                <color rgb="FFFF0000"/>
              </font>
            </x14:dxf>
          </x14:cfRule>
          <xm:sqref>F17:G17</xm:sqref>
        </x14:conditionalFormatting>
        <x14:conditionalFormatting xmlns:xm="http://schemas.microsoft.com/office/excel/2006/main">
          <x14:cfRule type="expression" priority="91" stopIfTrue="1" id="{363418AE-ACC0-4B5B-9034-657B0A1D41E9}">
            <xm:f xml:space="preserve"> OR($X$17=+テーブル!A2,$X$17=+テーブル!A3,$X$17=+テーブル!A4,$X$17=+テーブル!A9,$X$17=+テーブル!A10,$X$17=+テーブル!A11,$X$17=+テーブル!A12,$X$17=+テーブル!A13,$X$17=+テーブル!A14,$X$17=+テーブル!A16)</xm:f>
            <x14:dxf>
              <font>
                <color rgb="FFFF0000"/>
              </font>
            </x14:dxf>
          </x14:cfRule>
          <xm:sqref>H17:I17</xm:sqref>
        </x14:conditionalFormatting>
        <x14:conditionalFormatting xmlns:xm="http://schemas.microsoft.com/office/excel/2006/main">
          <x14:cfRule type="expression" priority="90" stopIfTrue="1" id="{A81D1FA0-A9ED-4DC3-818F-89D225F3E9CD}">
            <xm:f xml:space="preserve"> OR($X$18=+テーブル!A2,$X$18=+テーブル!A3,$X$18=+テーブル!A9,$X$18=+テーブル!A10,$X$18=+テーブル!A12,$X$18=+テーブル!A13,$X$18=+テーブル!A16)</xm:f>
            <x14:dxf>
              <font>
                <color rgb="FFFF0000"/>
              </font>
            </x14:dxf>
          </x14:cfRule>
          <xm:sqref>D18:E18</xm:sqref>
        </x14:conditionalFormatting>
        <x14:conditionalFormatting xmlns:xm="http://schemas.microsoft.com/office/excel/2006/main">
          <x14:cfRule type="expression" priority="89" stopIfTrue="1" id="{097849CB-50FE-4C22-8459-7E9ABAD94124}">
            <xm:f xml:space="preserve"> OR($X$18=+テーブル!A2,$X$18=+テーブル!A4,$X$18=+テーブル!A9,$X$18=+テーブル!A11,$X$18=+テーブル!A12,$X$18=+テーブル!A14,$X$18=+テーブル!A16)</xm:f>
            <x14:dxf>
              <font>
                <color rgb="FFFF0000"/>
              </font>
            </x14:dxf>
          </x14:cfRule>
          <xm:sqref>F18:G18</xm:sqref>
        </x14:conditionalFormatting>
        <x14:conditionalFormatting xmlns:xm="http://schemas.microsoft.com/office/excel/2006/main">
          <x14:cfRule type="expression" priority="88" stopIfTrue="1" id="{BC7C6CD2-F5B9-478F-B886-E2585760D45C}">
            <xm:f xml:space="preserve"> OR($X$18=+テーブル!A2,$X$18=+テーブル!A3,$X$18=+テーブル!A4,$X$18=+テーブル!A9,$X$18=+テーブル!A10,$X$18=+テーブル!A11,$X$18=+テーブル!A12,$X$18=+テーブル!A13,$X$18=+テーブル!A14,$X$18=+テーブル!A16)</xm:f>
            <x14:dxf>
              <font>
                <color rgb="FFFF0000"/>
              </font>
            </x14:dxf>
          </x14:cfRule>
          <xm:sqref>H18:I18</xm:sqref>
        </x14:conditionalFormatting>
        <x14:conditionalFormatting xmlns:xm="http://schemas.microsoft.com/office/excel/2006/main">
          <x14:cfRule type="expression" priority="87" stopIfTrue="1" id="{9391DD90-A8A2-428A-A806-F53B99843FEB}">
            <xm:f xml:space="preserve"> OR($X$19=+テーブル!A2,$X$19=+テーブル!A3,$X$19=+テーブル!A9,$X$19=+テーブル!A10,$X$19=+テーブル!A12,$X$19=+テーブル!A13,$X$19=+テーブル!A16)</xm:f>
            <x14:dxf>
              <font>
                <color rgb="FFFF0000"/>
              </font>
            </x14:dxf>
          </x14:cfRule>
          <xm:sqref>D19:E19</xm:sqref>
        </x14:conditionalFormatting>
        <x14:conditionalFormatting xmlns:xm="http://schemas.microsoft.com/office/excel/2006/main">
          <x14:cfRule type="expression" priority="86" stopIfTrue="1" id="{4C528244-A438-4D8A-B08F-B4305E840513}">
            <xm:f xml:space="preserve"> OR($X$19=+テーブル!A2,$X$19=+テーブル!A4,$X$19=+テーブル!A9,$X$19=+テーブル!A11,$X$19=+テーブル!A12,$X$19=+テーブル!A14,$X$19=+テーブル!A16)</xm:f>
            <x14:dxf>
              <font>
                <color rgb="FFFF0000"/>
              </font>
            </x14:dxf>
          </x14:cfRule>
          <xm:sqref>F19:G19</xm:sqref>
        </x14:conditionalFormatting>
        <x14:conditionalFormatting xmlns:xm="http://schemas.microsoft.com/office/excel/2006/main">
          <x14:cfRule type="expression" priority="85" stopIfTrue="1" id="{092CB47D-9327-49E5-B30C-0D3FD02DD9BD}">
            <xm:f xml:space="preserve"> OR($X$19=+テーブル!A2,$X$19=+テーブル!A3,$X$19=+テーブル!A4,$X$19=+テーブル!A9,$X$19=+テーブル!A10,$X$19=+テーブル!A11,$X$19=+テーブル!A12,$X$19=+テーブル!A13,$X$19=+テーブル!A14,$X$19=+テーブル!A16)</xm:f>
            <x14:dxf>
              <font>
                <color rgb="FFFF0000"/>
              </font>
            </x14:dxf>
          </x14:cfRule>
          <xm:sqref>H19:I19</xm:sqref>
        </x14:conditionalFormatting>
        <x14:conditionalFormatting xmlns:xm="http://schemas.microsoft.com/office/excel/2006/main">
          <x14:cfRule type="expression" priority="84" stopIfTrue="1" id="{D9ABF5C1-3E7C-4358-8292-0E8432827263}">
            <xm:f xml:space="preserve"> OR($X$20=+テーブル!A2,$X$20=+テーブル!A3,$X$20=+テーブル!A9,$X$20=+テーブル!A10,$X$20=+テーブル!A12,$X$20=+テーブル!A13,$X$20=+テーブル!A16)</xm:f>
            <x14:dxf>
              <font>
                <color rgb="FFFF000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83" stopIfTrue="1" id="{900D6699-403C-4D4B-8612-DB2795F15F20}">
            <xm:f xml:space="preserve"> OR($X$20=+テーブル!A2,$X$20=+テーブル!A4,$X$20=+テーブル!A9,$X$20=+テーブル!A11,$X$20=+テーブル!A12,$X$20=+テーブル!A14,$X$20=+テーブル!A16)</xm:f>
            <x14:dxf>
              <font>
                <color rgb="FFFF0000"/>
              </font>
            </x14:dxf>
          </x14:cfRule>
          <xm:sqref>F20:G20</xm:sqref>
        </x14:conditionalFormatting>
        <x14:conditionalFormatting xmlns:xm="http://schemas.microsoft.com/office/excel/2006/main">
          <x14:cfRule type="expression" priority="82" stopIfTrue="1" id="{69E7F489-B872-49B7-B793-3CAD508FA02A}">
            <xm:f xml:space="preserve"> OR($X$20=+テーブル!A2,$X$20=+テーブル!A3,$X$20=+テーブル!A4,$X$20=+テーブル!A9,$X$20=+テーブル!A10,$X$20=+テーブル!A11,$X$20=+テーブル!A12,$X$20=+テーブル!A13,$X$20=+テーブル!A14,$X$20=+テーブル!A16)</xm:f>
            <x14:dxf>
              <font>
                <color rgb="FFFF0000"/>
              </font>
            </x14:dxf>
          </x14:cfRule>
          <xm:sqref>H20:I20</xm:sqref>
        </x14:conditionalFormatting>
        <x14:conditionalFormatting xmlns:xm="http://schemas.microsoft.com/office/excel/2006/main">
          <x14:cfRule type="expression" priority="81" stopIfTrue="1" id="{63A46AC4-8DCF-46A4-B4EF-413EB1168D90}">
            <xm:f xml:space="preserve"> OR($X$21=+テーブル!A2,$X$21=+テーブル!A3,$X$21=+テーブル!A9,$X$21=+テーブル!A10,$X$21=+テーブル!A12,$X$21=+テーブル!A13,$X$21=+テーブル!A16)</xm:f>
            <x14:dxf>
              <font>
                <color rgb="FFFF0000"/>
              </font>
            </x14:dxf>
          </x14:cfRule>
          <xm:sqref>D21:E21</xm:sqref>
        </x14:conditionalFormatting>
        <x14:conditionalFormatting xmlns:xm="http://schemas.microsoft.com/office/excel/2006/main">
          <x14:cfRule type="expression" priority="80" stopIfTrue="1" id="{D58B629C-9EBA-4A12-A56F-696429BF7AFA}">
            <xm:f xml:space="preserve"> OR($X$21=+テーブル!A2,$X$21=+テーブル!A4,$X$21=+テーブル!A9,$X$21=+テーブル!A11,$X$21=+テーブル!A12,$X$21=+テーブル!A14,$X$21=+テーブル!A16)</xm:f>
            <x14:dxf>
              <font>
                <color rgb="FFFF0000"/>
              </font>
            </x14:dxf>
          </x14:cfRule>
          <xm:sqref>F21:G21</xm:sqref>
        </x14:conditionalFormatting>
        <x14:conditionalFormatting xmlns:xm="http://schemas.microsoft.com/office/excel/2006/main">
          <x14:cfRule type="expression" priority="79" stopIfTrue="1" id="{99FA5F52-12A6-4A89-9BFA-CB296C54C05E}">
            <xm:f xml:space="preserve"> OR($X$21=+テーブル!A2,$X$21=+テーブル!A3,$X$21=+テーブル!A4,$X$21=+テーブル!A9,$X$21=+テーブル!A10,$X$21=+テーブル!A11,$X$21=+テーブル!A12,$X$21=+テーブル!A13,$X$21=+テーブル!A14,$X$21=+テーブル!A16)</xm:f>
            <x14:dxf>
              <font>
                <color rgb="FFFF0000"/>
              </font>
            </x14:dxf>
          </x14:cfRule>
          <xm:sqref>H21:I21</xm:sqref>
        </x14:conditionalFormatting>
        <x14:conditionalFormatting xmlns:xm="http://schemas.microsoft.com/office/excel/2006/main">
          <x14:cfRule type="expression" priority="78" stopIfTrue="1" id="{F6DFC513-3D26-4758-9D99-2E0F2EAA2827}">
            <xm:f xml:space="preserve"> OR($X$22=+テーブル!A2,$X$22=+テーブル!A3,$X$22=+テーブル!A9,$X$22=+テーブル!A10,$X$22=+テーブル!A12,$X$22=+テーブル!A13,$X$22=+テーブル!A16)</xm:f>
            <x14:dxf>
              <font>
                <color rgb="FFFF0000"/>
              </font>
            </x14:dxf>
          </x14:cfRule>
          <xm:sqref>D22:E22</xm:sqref>
        </x14:conditionalFormatting>
        <x14:conditionalFormatting xmlns:xm="http://schemas.microsoft.com/office/excel/2006/main">
          <x14:cfRule type="expression" priority="77" stopIfTrue="1" id="{E6ED4FC0-C5D6-4C10-A7AE-94BDE5DBC938}">
            <xm:f xml:space="preserve"> OR($X$22=+テーブル!A2,$X$22=+テーブル!A4,$X$22=+テーブル!A9,$X$22=+テーブル!A11,$X$22=+テーブル!A12,$X$22=+テーブル!A14,$X$22=+テーブル!A16)</xm:f>
            <x14:dxf>
              <font>
                <color rgb="FFFF0000"/>
              </font>
            </x14:dxf>
          </x14:cfRule>
          <xm:sqref>F22:G22</xm:sqref>
        </x14:conditionalFormatting>
        <x14:conditionalFormatting xmlns:xm="http://schemas.microsoft.com/office/excel/2006/main">
          <x14:cfRule type="expression" priority="76" stopIfTrue="1" id="{202BF2C6-6A31-4007-BA70-DFCC2119B96B}">
            <xm:f xml:space="preserve"> OR($X$22=+テーブル!A2,$X$22=+テーブル!A3,$X$22=+テーブル!A4,$X$22=+テーブル!A9,$X$22=+テーブル!A10,$X$22=+テーブル!A11,$X$22=+テーブル!A12,$X$22=+テーブル!A13,$X$22=+テーブル!A14,$X$22=+テーブル!A16)</xm:f>
            <x14:dxf>
              <font>
                <color rgb="FFFF0000"/>
              </font>
            </x14:dxf>
          </x14:cfRule>
          <xm:sqref>H22:I22</xm:sqref>
        </x14:conditionalFormatting>
        <x14:conditionalFormatting xmlns:xm="http://schemas.microsoft.com/office/excel/2006/main">
          <x14:cfRule type="expression" priority="75" stopIfTrue="1" id="{CF72DC14-A719-4A56-9811-3D8FC3BCD474}">
            <xm:f xml:space="preserve"> OR($X$23=+テーブル!A2,$X$23=+テーブル!A3,$X$23=+テーブル!A9,$X$23=+テーブル!A10,$X$23=+テーブル!A12,$X$23=+テーブル!A13,$X$23=+テーブル!A16)</xm:f>
            <x14:dxf>
              <font>
                <color rgb="FFFF0000"/>
              </font>
            </x14:dxf>
          </x14:cfRule>
          <xm:sqref>D23:E23</xm:sqref>
        </x14:conditionalFormatting>
        <x14:conditionalFormatting xmlns:xm="http://schemas.microsoft.com/office/excel/2006/main">
          <x14:cfRule type="expression" priority="74" stopIfTrue="1" id="{EC5D16C3-DEEC-4F08-9FE8-ACD935F73EBF}">
            <xm:f xml:space="preserve"> OR($X$23=+テーブル!A2,$X$23=+テーブル!A4,$X$23=+テーブル!A9,$X$23=+テーブル!A11,$X$23=+テーブル!A12,$X$23=+テーブル!A14,$X$23=+テーブル!A16)</xm:f>
            <x14:dxf>
              <font>
                <color rgb="FFFF0000"/>
              </font>
            </x14:dxf>
          </x14:cfRule>
          <xm:sqref>F23:G23</xm:sqref>
        </x14:conditionalFormatting>
        <x14:conditionalFormatting xmlns:xm="http://schemas.microsoft.com/office/excel/2006/main">
          <x14:cfRule type="expression" priority="73" stopIfTrue="1" id="{ABD0AFDC-9C09-40B6-A959-6C61F618B958}">
            <xm:f xml:space="preserve"> OR($X$23=+テーブル!A2,$X$23=+テーブル!A3,$X$23=+テーブル!A4,$X$23=+テーブル!A9,$X$23=+テーブル!A10,$X$23=+テーブル!A11,$X$23=+テーブル!A12,$X$23=+テーブル!A13,$X$23=+テーブル!A14,$X$23=+テーブル!A16)</xm:f>
            <x14:dxf>
              <font>
                <color rgb="FFFF0000"/>
              </font>
            </x14:dxf>
          </x14:cfRule>
          <xm:sqref>H23:I23</xm:sqref>
        </x14:conditionalFormatting>
        <x14:conditionalFormatting xmlns:xm="http://schemas.microsoft.com/office/excel/2006/main">
          <x14:cfRule type="expression" priority="72" stopIfTrue="1" id="{9B0E77C9-6710-4B2A-9B4F-BE1635BEA13C}">
            <xm:f xml:space="preserve"> OR($X$24=+テーブル!A2,$X$24=+テーブル!A3,$X$24=+テーブル!A9,$X$24=+テーブル!A10,$X$24=+テーブル!A12,$X$24=+テーブル!A13,$X$24=+テーブル!A16)</xm:f>
            <x14:dxf>
              <font>
                <color rgb="FFFF0000"/>
              </font>
            </x14:dxf>
          </x14:cfRule>
          <xm:sqref>D24:E24</xm:sqref>
        </x14:conditionalFormatting>
        <x14:conditionalFormatting xmlns:xm="http://schemas.microsoft.com/office/excel/2006/main">
          <x14:cfRule type="expression" priority="71" stopIfTrue="1" id="{B96E0D0D-FB25-4D26-9132-A98A6A2CAE4E}">
            <xm:f xml:space="preserve"> OR($X$24=+テーブル!A2,$X$24=+テーブル!A4,$X$24=+テーブル!A9,$X$24=+テーブル!A11,$X$24=+テーブル!A12,$X$24=+テーブル!A14,$X$24=+テーブル!A16)</xm:f>
            <x14:dxf>
              <font>
                <color rgb="FFFF0000"/>
              </font>
            </x14:dxf>
          </x14:cfRule>
          <xm:sqref>F24:G24</xm:sqref>
        </x14:conditionalFormatting>
        <x14:conditionalFormatting xmlns:xm="http://schemas.microsoft.com/office/excel/2006/main">
          <x14:cfRule type="expression" priority="70" stopIfTrue="1" id="{D3BB57EB-2518-4434-94A6-22C3D5886270}">
            <xm:f xml:space="preserve"> OR($X$24=+テーブル!A2,$X$24=+テーブル!A3,$X$24=+テーブル!A4,$X$24=+テーブル!A9,$X$24=+テーブル!A10,$X$24=+テーブル!A11,$X$24=+テーブル!A12,$X$24=+テーブル!A13,$X$24=+テーブル!A14,$X$24=+テーブル!A16)</xm:f>
            <x14:dxf>
              <font>
                <color rgb="FFFF0000"/>
              </font>
            </x14:dxf>
          </x14:cfRule>
          <xm:sqref>H24:I24</xm:sqref>
        </x14:conditionalFormatting>
        <x14:conditionalFormatting xmlns:xm="http://schemas.microsoft.com/office/excel/2006/main">
          <x14:cfRule type="expression" priority="69" stopIfTrue="1" id="{33F42E8C-E040-4E17-B9F0-00A405799E7E}">
            <xm:f xml:space="preserve"> OR($X$25=+テーブル!A2,$X$25=+テーブル!A3,$X$25=+テーブル!A9,$X$25=+テーブル!A10,$X$25=+テーブル!A12,$X$25=+テーブル!A13,$X$25=+テーブル!A16)</xm:f>
            <x14:dxf>
              <font>
                <color rgb="FFFF0000"/>
              </font>
            </x14:dxf>
          </x14:cfRule>
          <xm:sqref>D25:E25</xm:sqref>
        </x14:conditionalFormatting>
        <x14:conditionalFormatting xmlns:xm="http://schemas.microsoft.com/office/excel/2006/main">
          <x14:cfRule type="expression" priority="68" stopIfTrue="1" id="{288AE458-3E7B-42AC-832F-DC72C7EB0797}">
            <xm:f xml:space="preserve"> OR($X$25=+テーブル!A2,$X$25=+テーブル!A4,$X$25=+テーブル!A9,$X$25=+テーブル!A11,$X$25=+テーブル!A12,$X$25=+テーブル!A14,$X$25=+テーブル!A16)</xm:f>
            <x14:dxf>
              <font>
                <color rgb="FFFF0000"/>
              </font>
            </x14:dxf>
          </x14:cfRule>
          <xm:sqref>F25:G25</xm:sqref>
        </x14:conditionalFormatting>
        <x14:conditionalFormatting xmlns:xm="http://schemas.microsoft.com/office/excel/2006/main">
          <x14:cfRule type="expression" priority="67" stopIfTrue="1" id="{6F2FFFEC-9515-4044-8B13-807A329D7A4D}">
            <xm:f xml:space="preserve"> OR($X$25=+テーブル!A2,$X$25=+テーブル!A3,$X$25=+テーブル!A4,$X$25=+テーブル!A9,$X$25=+テーブル!A10,$X$25=+テーブル!A11,$X$25=+テーブル!A12,$X$25=+テーブル!A13,$X$25=+テーブル!A14,$X$25=+テーブル!A16)</xm:f>
            <x14:dxf>
              <font>
                <color rgb="FFFF0000"/>
              </font>
            </x14:dxf>
          </x14:cfRule>
          <xm:sqref>H25:I25</xm:sqref>
        </x14:conditionalFormatting>
        <x14:conditionalFormatting xmlns:xm="http://schemas.microsoft.com/office/excel/2006/main">
          <x14:cfRule type="expression" priority="66" stopIfTrue="1" id="{C8DC59FC-215E-42AB-90AE-DAB775E99993}">
            <xm:f xml:space="preserve"> OR($X$26=+テーブル!A2,$X$26=+テーブル!A3,$X$26=+テーブル!A9,$X$26=+テーブル!A10,$X$26=+テーブル!A12,$X$26=+テーブル!A13,$X$26=+テーブル!A16)</xm:f>
            <x14:dxf>
              <font>
                <color rgb="FFFF0000"/>
              </font>
            </x14:dxf>
          </x14:cfRule>
          <xm:sqref>D26:E26</xm:sqref>
        </x14:conditionalFormatting>
        <x14:conditionalFormatting xmlns:xm="http://schemas.microsoft.com/office/excel/2006/main">
          <x14:cfRule type="expression" priority="65" stopIfTrue="1" id="{8EC75678-22A2-4B05-820F-D79DAF41DE90}">
            <xm:f xml:space="preserve"> OR($X$26=+テーブル!A2,$X$26=+テーブル!A4,$X$26=+テーブル!A9,$X$26=+テーブル!A11,$X$26=+テーブル!A12,$X$26=+テーブル!A14,$X$26=+テーブル!A16)</xm:f>
            <x14:dxf>
              <font>
                <color rgb="FFFF0000"/>
              </font>
            </x14:dxf>
          </x14:cfRule>
          <xm:sqref>F26:G26</xm:sqref>
        </x14:conditionalFormatting>
        <x14:conditionalFormatting xmlns:xm="http://schemas.microsoft.com/office/excel/2006/main">
          <x14:cfRule type="expression" priority="64" stopIfTrue="1" id="{83F56EF2-B208-47B8-854A-12B64AE8AEF1}">
            <xm:f xml:space="preserve"> OR($X$26=+テーブル!A2,$X$26=+テーブル!A3,$X$26=+テーブル!A4,$X$26=+テーブル!A9,$X$26=+テーブル!A10,$X$26=+テーブル!A11,$X$26=+テーブル!A12,$X$26=+テーブル!A13,$X$26=+テーブル!A14,$X$26=+テーブル!A16)</xm:f>
            <x14:dxf>
              <font>
                <color rgb="FFFF0000"/>
              </font>
            </x14:dxf>
          </x14:cfRule>
          <xm:sqref>H26:I26</xm:sqref>
        </x14:conditionalFormatting>
        <x14:conditionalFormatting xmlns:xm="http://schemas.microsoft.com/office/excel/2006/main">
          <x14:cfRule type="expression" priority="63" stopIfTrue="1" id="{099D154D-EC59-486E-9F5B-9212C8601628}">
            <xm:f xml:space="preserve"> OR($X$27=+テーブル!A2,$X$27=+テーブル!A3,$X$27=+テーブル!A9,$X$27=+テーブル!A10,$X$27=+テーブル!A12,$X$27=+テーブル!A13,$X$27=+テーブル!A16)</xm:f>
            <x14:dxf>
              <font>
                <color rgb="FFFF0000"/>
              </font>
            </x14:dxf>
          </x14:cfRule>
          <xm:sqref>D27:E27</xm:sqref>
        </x14:conditionalFormatting>
        <x14:conditionalFormatting xmlns:xm="http://schemas.microsoft.com/office/excel/2006/main">
          <x14:cfRule type="expression" priority="62" stopIfTrue="1" id="{D29DCDDF-73BF-48D2-9DCC-AD0CD925B671}">
            <xm:f xml:space="preserve"> OR($X$27=+テーブル!A2,$X$27=+テーブル!A4,$X$27=+テーブル!A9,$X$27=+テーブル!A11,$X$27=+テーブル!A12,$X$27=+テーブル!A14,$X$27=+テーブル!A16)</xm:f>
            <x14:dxf>
              <font>
                <color rgb="FFFF0000"/>
              </font>
            </x14:dxf>
          </x14:cfRule>
          <xm:sqref>F27:G27</xm:sqref>
        </x14:conditionalFormatting>
        <x14:conditionalFormatting xmlns:xm="http://schemas.microsoft.com/office/excel/2006/main">
          <x14:cfRule type="expression" priority="61" stopIfTrue="1" id="{64876B57-9879-4683-B725-C6C95F79616E}">
            <xm:f xml:space="preserve"> OR($X$27=+テーブル!A2,$X$27=+テーブル!A3,$X$27=+テーブル!A4,$X$27=+テーブル!A9,$X$27=+テーブル!A10,$X$27=+テーブル!A11,$X$27=+テーブル!A12,$X$27=+テーブル!A13,$X$27=+テーブル!A14,$X$27=+テーブル!A16)</xm:f>
            <x14:dxf>
              <font>
                <color rgb="FFFF0000"/>
              </font>
            </x14:dxf>
          </x14:cfRule>
          <xm:sqref>H27:I27</xm:sqref>
        </x14:conditionalFormatting>
        <x14:conditionalFormatting xmlns:xm="http://schemas.microsoft.com/office/excel/2006/main">
          <x14:cfRule type="expression" priority="60" stopIfTrue="1" id="{9C516290-09D5-451C-B70C-C54EF516D9A1}">
            <xm:f xml:space="preserve"> OR($X$28=+テーブル!A2,$X$28=+テーブル!A3,$X$28=+テーブル!A9,$X$28=+テーブル!A10,$X$28=+テーブル!A12,$X$28=+テーブル!A13,$X$28=+テーブル!A16)</xm:f>
            <x14:dxf>
              <font>
                <color rgb="FFFF0000"/>
              </font>
            </x14:dxf>
          </x14:cfRule>
          <xm:sqref>D28:E28</xm:sqref>
        </x14:conditionalFormatting>
        <x14:conditionalFormatting xmlns:xm="http://schemas.microsoft.com/office/excel/2006/main">
          <x14:cfRule type="expression" priority="59" stopIfTrue="1" id="{0E5AE752-A78C-4186-B79C-2AD3D21070FC}">
            <xm:f xml:space="preserve"> OR($X$28=+テーブル!A2,$X$28=+テーブル!A4,$X$28=+テーブル!A9,$X$28=+テーブル!A11,$X$28=+テーブル!A12,$X$28=+テーブル!A14,$X$28=+テーブル!A16)</xm:f>
            <x14:dxf>
              <font>
                <color rgb="FFFF0000"/>
              </font>
            </x14:dxf>
          </x14:cfRule>
          <xm:sqref>F28:G28</xm:sqref>
        </x14:conditionalFormatting>
        <x14:conditionalFormatting xmlns:xm="http://schemas.microsoft.com/office/excel/2006/main">
          <x14:cfRule type="expression" priority="58" stopIfTrue="1" id="{C99E2365-F32C-4D3D-BAF0-14BB009098D9}">
            <xm:f xml:space="preserve"> OR($X$28=+テーブル!A2,$X$28=+テーブル!A3,$X$28=+テーブル!A4,$X$28=+テーブル!A9,$X$28=+テーブル!A10,$X$28=+テーブル!A11,$X$28=+テーブル!A12,$X$28=+テーブル!A13,$X$28=+テーブル!A14,$X$28=+テーブル!A16)</xm:f>
            <x14:dxf>
              <font>
                <color rgb="FFFF0000"/>
              </font>
            </x14:dxf>
          </x14:cfRule>
          <xm:sqref>H28:I28</xm:sqref>
        </x14:conditionalFormatting>
        <x14:conditionalFormatting xmlns:xm="http://schemas.microsoft.com/office/excel/2006/main">
          <x14:cfRule type="expression" priority="57" stopIfTrue="1" id="{34273031-391C-48C1-8183-96A93F123218}">
            <xm:f xml:space="preserve"> OR($X$29=+テーブル!A2,$X$29=+テーブル!A3,$X$29=+テーブル!A9,$X$29=+テーブル!A10,$X$29=+テーブル!A12,$X$29=+テーブル!A13,$X$29=+テーブル!A16)</xm:f>
            <x14:dxf>
              <font>
                <color rgb="FFFF0000"/>
              </font>
            </x14:dxf>
          </x14:cfRule>
          <xm:sqref>D29:E29</xm:sqref>
        </x14:conditionalFormatting>
        <x14:conditionalFormatting xmlns:xm="http://schemas.microsoft.com/office/excel/2006/main">
          <x14:cfRule type="expression" priority="56" stopIfTrue="1" id="{4D2A94C3-7800-4061-84D4-D5CE577019CC}">
            <xm:f xml:space="preserve"> OR($X$29=+テーブル!A2,$X$29=+テーブル!A4,$X$29=+テーブル!A9,$X$29=+テーブル!A11,$X$29=+テーブル!A12,$X$29=+テーブル!A14,$X$29=+テーブル!A16)</xm:f>
            <x14:dxf>
              <font>
                <color rgb="FFFF0000"/>
              </font>
            </x14:dxf>
          </x14:cfRule>
          <xm:sqref>F29:G29</xm:sqref>
        </x14:conditionalFormatting>
        <x14:conditionalFormatting xmlns:xm="http://schemas.microsoft.com/office/excel/2006/main">
          <x14:cfRule type="expression" priority="55" stopIfTrue="1" id="{C4D771AF-6E44-4ACE-A9AF-5111E6489559}">
            <xm:f xml:space="preserve"> OR($X$29=+テーブル!A2,$X$29=+テーブル!A3,$X$29=+テーブル!A4,$X$29=+テーブル!A9,$X$29=+テーブル!A10,$X$29=+テーブル!A11,$X$29=+テーブル!A12,$X$29=+テーブル!A13,$X$29=+テーブル!A14,$X$29=+テーブル!A16)</xm:f>
            <x14:dxf>
              <font>
                <color rgb="FFFF0000"/>
              </font>
            </x14:dxf>
          </x14:cfRule>
          <xm:sqref>H29:I29</xm:sqref>
        </x14:conditionalFormatting>
        <x14:conditionalFormatting xmlns:xm="http://schemas.microsoft.com/office/excel/2006/main">
          <x14:cfRule type="expression" priority="54" stopIfTrue="1" id="{E9FF170E-E2A0-4E78-96E8-A26B3593033C}">
            <xm:f xml:space="preserve"> OR($X$30=+テーブル!A2,$X$30=+テーブル!A3,$X$30=+テーブル!A9,$X$30=+テーブル!A10,$X$30=+テーブル!A12,$X$30=+テーブル!A13,$X$30=+テーブル!A16)</xm:f>
            <x14:dxf>
              <font>
                <color rgb="FFFF0000"/>
              </font>
            </x14:dxf>
          </x14:cfRule>
          <xm:sqref>D30:E30</xm:sqref>
        </x14:conditionalFormatting>
        <x14:conditionalFormatting xmlns:xm="http://schemas.microsoft.com/office/excel/2006/main">
          <x14:cfRule type="expression" priority="53" stopIfTrue="1" id="{077D3256-748A-4B56-908B-C306C5594D6F}">
            <xm:f xml:space="preserve"> OR($X$30=+テーブル!A2,$X$30=+テーブル!A4,$X$30=+テーブル!A9,$X$30=+テーブル!A11,$X$30=+テーブル!A12,$X$30=+テーブル!A14,$X$30=+テーブル!A16)</xm:f>
            <x14:dxf>
              <font>
                <color rgb="FFFF0000"/>
              </font>
            </x14:dxf>
          </x14:cfRule>
          <xm:sqref>F30:G30</xm:sqref>
        </x14:conditionalFormatting>
        <x14:conditionalFormatting xmlns:xm="http://schemas.microsoft.com/office/excel/2006/main">
          <x14:cfRule type="expression" priority="52" stopIfTrue="1" id="{5A851995-44B3-4AF9-B3A9-7687A45FE569}">
            <xm:f xml:space="preserve"> OR($X$30=+テーブル!A2,$X$30=+テーブル!A3,$X$30=+テーブル!A4,$X$30=+テーブル!A9,$X$30=+テーブル!A10,$X$30=+テーブル!A11,$X$30=+テーブル!A12,$X$30=+テーブル!A13,$X$30=+テーブル!A14,$X$30=+テーブル!A16)</xm:f>
            <x14:dxf>
              <font>
                <color rgb="FFFF0000"/>
              </font>
            </x14:dxf>
          </x14:cfRule>
          <xm:sqref>H30:I30</xm:sqref>
        </x14:conditionalFormatting>
        <x14:conditionalFormatting xmlns:xm="http://schemas.microsoft.com/office/excel/2006/main">
          <x14:cfRule type="expression" priority="51" stopIfTrue="1" id="{39A74DC5-348B-48A2-9932-1E8AFCBD14C0}">
            <xm:f xml:space="preserve"> OR($X$31=+テーブル!A2,$X$31=+テーブル!A3,$X$31=+テーブル!A9,$X$31=+テーブル!A10,$X$31=+テーブル!A12,$X$31=+テーブル!A13,$X$31=+テーブル!A16)</xm:f>
            <x14:dxf>
              <font>
                <color rgb="FFFF0000"/>
              </font>
            </x14:dxf>
          </x14:cfRule>
          <xm:sqref>D31:E31</xm:sqref>
        </x14:conditionalFormatting>
        <x14:conditionalFormatting xmlns:xm="http://schemas.microsoft.com/office/excel/2006/main">
          <x14:cfRule type="expression" priority="50" stopIfTrue="1" id="{C56BC89D-CF6C-461B-9331-23B31AFBB820}">
            <xm:f xml:space="preserve"> OR($X$31=+テーブル!A2,$X$31=+テーブル!A4,$X$31=+テーブル!A9,$X$31=+テーブル!A11,$X$31=+テーブル!A12,$X$31=+テーブル!A14,$X$31=+テーブル!A16)</xm:f>
            <x14:dxf>
              <font>
                <color rgb="FFFF0000"/>
              </font>
            </x14:dxf>
          </x14:cfRule>
          <xm:sqref>F31:G31</xm:sqref>
        </x14:conditionalFormatting>
        <x14:conditionalFormatting xmlns:xm="http://schemas.microsoft.com/office/excel/2006/main">
          <x14:cfRule type="expression" priority="49" stopIfTrue="1" id="{C5A8284C-5B54-4E74-A890-371FD1562330}">
            <xm:f xml:space="preserve"> OR($X$31=+テーブル!A2,$X$31=+テーブル!A3,$X$31=+テーブル!A4,$X$31=+テーブル!A9,$X$31=+テーブル!A10,$X$31=+テーブル!A11,$X$31=+テーブル!A12,$X$31=+テーブル!A13,$X$31=+テーブル!A14,$X$31=+テーブル!A16)</xm:f>
            <x14:dxf>
              <font>
                <color rgb="FFFF0000"/>
              </font>
            </x14:dxf>
          </x14:cfRule>
          <xm:sqref>H31:I31</xm:sqref>
        </x14:conditionalFormatting>
        <x14:conditionalFormatting xmlns:xm="http://schemas.microsoft.com/office/excel/2006/main">
          <x14:cfRule type="expression" priority="48" stopIfTrue="1" id="{01561C4E-5251-4591-92B0-ABC69E04DE36}">
            <xm:f xml:space="preserve"> OR($X$32=+テーブル!A2,$X$32=+テーブル!A3,$X$32=+テーブル!A9,$X$32=+テーブル!A10,$X$32=+テーブル!A12,$X$32=+テーブル!A13,$X$32=+テーブル!A16)</xm:f>
            <x14:dxf>
              <font>
                <color rgb="FFFF0000"/>
              </font>
            </x14:dxf>
          </x14:cfRule>
          <xm:sqref>D32:E32</xm:sqref>
        </x14:conditionalFormatting>
        <x14:conditionalFormatting xmlns:xm="http://schemas.microsoft.com/office/excel/2006/main">
          <x14:cfRule type="expression" priority="47" stopIfTrue="1" id="{B1EE834E-2F76-461B-AD3D-B7DB8CFB8020}">
            <xm:f xml:space="preserve"> OR($X$32=+テーブル!A2,$X$32=+テーブル!A4,$X$32=+テーブル!A9,$X$32=+テーブル!A11,$X$32=+テーブル!A12,$X$32=+テーブル!A14,$X$32=+テーブル!A16)</xm:f>
            <x14:dxf>
              <font>
                <color rgb="FFFF0000"/>
              </font>
            </x14:dxf>
          </x14:cfRule>
          <xm:sqref>F32:G32</xm:sqref>
        </x14:conditionalFormatting>
        <x14:conditionalFormatting xmlns:xm="http://schemas.microsoft.com/office/excel/2006/main">
          <x14:cfRule type="expression" priority="46" stopIfTrue="1" id="{F128090F-E67F-4A68-AF54-42C84EC71163}">
            <xm:f xml:space="preserve"> OR($X$32=+テーブル!A2,$X$32=+テーブル!A3,$X$32=+テーブル!A4,$X$32=+テーブル!A9,$X$32=+テーブル!A10,$X$32=+テーブル!A11,$X$32=+テーブル!A12,$X$32=+テーブル!A13,$X$32=+テーブル!A14,$X$32=+テーブル!A16)</xm:f>
            <x14:dxf>
              <font>
                <color rgb="FFFF0000"/>
              </font>
            </x14:dxf>
          </x14:cfRule>
          <xm:sqref>H32:I32</xm:sqref>
        </x14:conditionalFormatting>
        <x14:conditionalFormatting xmlns:xm="http://schemas.microsoft.com/office/excel/2006/main">
          <x14:cfRule type="expression" priority="45" stopIfTrue="1" id="{9A9B14F6-7286-4A27-BC26-BCF7214E79EB}">
            <xm:f xml:space="preserve"> OR($X$33=+テーブル!A2,$X$33=+テーブル!A3,$X$33=+テーブル!A9,$X$33=+テーブル!A10,$X$33=+テーブル!A12,$X$33=+テーブル!A13,$X$33=+テーブル!A16)</xm:f>
            <x14:dxf>
              <font>
                <color rgb="FFFF0000"/>
              </font>
            </x14:dxf>
          </x14:cfRule>
          <xm:sqref>D33:E33</xm:sqref>
        </x14:conditionalFormatting>
        <x14:conditionalFormatting xmlns:xm="http://schemas.microsoft.com/office/excel/2006/main">
          <x14:cfRule type="expression" priority="44" stopIfTrue="1" id="{A8A93755-DDFE-4708-9FF2-A8E889C61DB3}">
            <xm:f xml:space="preserve"> OR($X$33=+テーブル!A2,$X$33=+テーブル!A4,$X$33=+テーブル!A9,$X$33=+テーブル!A11,$X$33=+テーブル!A12,$X$33=+テーブル!A14,$X$33=+テーブル!A16)</xm:f>
            <x14:dxf>
              <font>
                <color rgb="FFFF0000"/>
              </font>
            </x14:dxf>
          </x14:cfRule>
          <xm:sqref>F33:G33</xm:sqref>
        </x14:conditionalFormatting>
        <x14:conditionalFormatting xmlns:xm="http://schemas.microsoft.com/office/excel/2006/main">
          <x14:cfRule type="expression" priority="43" stopIfTrue="1" id="{C1D21594-DD4F-40FF-9384-9E4EBADBC0A8}">
            <xm:f xml:space="preserve"> OR($X$33=+テーブル!A2,$X$33=+テーブル!A3,$X$33=+テーブル!A4,$X$33=+テーブル!A9,$X$33=+テーブル!A10,$X$33=+テーブル!A11,$X$33=+テーブル!A12,$X$33=+テーブル!A13,$X$33=+テーブル!A14,$X$33=+テーブル!A16)</xm:f>
            <x14:dxf>
              <font>
                <color rgb="FFFF0000"/>
              </font>
            </x14:dxf>
          </x14:cfRule>
          <xm:sqref>H33:I33</xm:sqref>
        </x14:conditionalFormatting>
        <x14:conditionalFormatting xmlns:xm="http://schemas.microsoft.com/office/excel/2006/main">
          <x14:cfRule type="expression" priority="42" stopIfTrue="1" id="{92B9584F-3912-4A26-B5F6-C963FA82F4C2}">
            <xm:f xml:space="preserve"> OR($X$34=+テーブル!A2,$X$34=+テーブル!A3,$X$34=+テーブル!A9,$X$34=+テーブル!A10,$X$34=+テーブル!A12,$X$34=+テーブル!A13,$X$34=+テーブル!A16)</xm:f>
            <x14:dxf>
              <font>
                <color rgb="FFFF0000"/>
              </font>
            </x14:dxf>
          </x14:cfRule>
          <xm:sqref>D34:E34</xm:sqref>
        </x14:conditionalFormatting>
        <x14:conditionalFormatting xmlns:xm="http://schemas.microsoft.com/office/excel/2006/main">
          <x14:cfRule type="expression" priority="41" stopIfTrue="1" id="{D33B9DFC-3A01-4F1E-98CA-0ECA82A00453}">
            <xm:f xml:space="preserve"> OR($X$34=+テーブル!A2,$X$34=+テーブル!A4,$X$34=+テーブル!A9,$X$34=+テーブル!A11,$X$34=+テーブル!A12,$X$34=+テーブル!A14,$X$34=+テーブル!A16)</xm:f>
            <x14:dxf>
              <font>
                <color rgb="FFFF0000"/>
              </font>
            </x14:dxf>
          </x14:cfRule>
          <xm:sqref>F34:G34</xm:sqref>
        </x14:conditionalFormatting>
        <x14:conditionalFormatting xmlns:xm="http://schemas.microsoft.com/office/excel/2006/main">
          <x14:cfRule type="expression" priority="40" stopIfTrue="1" id="{64B5A1EB-56EE-4832-B056-052C71E520CC}">
            <xm:f xml:space="preserve"> OR($X$34=+テーブル!A2,$X$34=+テーブル!A3,$X$34=+テーブル!A4,$X$34=+テーブル!A9,$X$34=+テーブル!A10,$X$34=+テーブル!A11,$X$34=+テーブル!A12,$X$34=+テーブル!A13,$X$34=+テーブル!A14,$X$34=+テーブル!A16)</xm:f>
            <x14:dxf>
              <font>
                <color rgb="FFFF0000"/>
              </font>
            </x14:dxf>
          </x14:cfRule>
          <xm:sqref>H34:I34</xm:sqref>
        </x14:conditionalFormatting>
        <x14:conditionalFormatting xmlns:xm="http://schemas.microsoft.com/office/excel/2006/main">
          <x14:cfRule type="expression" priority="39" stopIfTrue="1" id="{8A5A3215-3FF2-4108-A378-97ABDEB58828}">
            <xm:f xml:space="preserve"> OR($X$35=+テーブル!A2,$X$35=+テーブル!A3,$X$35=+テーブル!A9,$X$35=+テーブル!A10,$X$35=+テーブル!A12,$X$35=+テーブル!A13,$X$35=+テーブル!A16)</xm:f>
            <x14:dxf>
              <font>
                <color rgb="FFFF0000"/>
              </font>
            </x14:dxf>
          </x14:cfRule>
          <xm:sqref>D35:E35</xm:sqref>
        </x14:conditionalFormatting>
        <x14:conditionalFormatting xmlns:xm="http://schemas.microsoft.com/office/excel/2006/main">
          <x14:cfRule type="expression" priority="38" stopIfTrue="1" id="{39C56AF7-8E98-41AC-B8A8-FD4DDB5EA88F}">
            <xm:f xml:space="preserve"> OR($X$35=+テーブル!A2,$X$35=+テーブル!A4,$X$35=+テーブル!A9,$X$35=+テーブル!A11,$X$35=+テーブル!A12,$X$35=+テーブル!A14,$X$35=+テーブル!A16)</xm:f>
            <x14:dxf>
              <font>
                <color rgb="FFFF0000"/>
              </font>
            </x14:dxf>
          </x14:cfRule>
          <xm:sqref>F35:G35</xm:sqref>
        </x14:conditionalFormatting>
        <x14:conditionalFormatting xmlns:xm="http://schemas.microsoft.com/office/excel/2006/main">
          <x14:cfRule type="expression" priority="37" stopIfTrue="1" id="{29AAEC31-7A6D-4D67-9CDA-B392057B5084}">
            <xm:f xml:space="preserve"> OR($X$35=+テーブル!A2,$X$35=+テーブル!A3,$X$35=+テーブル!A4,$X$35=+テーブル!A9,$X$35=+テーブル!A10,$X$35=+テーブル!A11,$X$35=+テーブル!A12,$X$35=+テーブル!A13,$X$35=+テーブル!A14,$X$35=+テーブル!A16)</xm:f>
            <x14:dxf>
              <font>
                <color rgb="FFFF0000"/>
              </font>
            </x14:dxf>
          </x14:cfRule>
          <xm:sqref>H35:I35</xm:sqref>
        </x14:conditionalFormatting>
        <x14:conditionalFormatting xmlns:xm="http://schemas.microsoft.com/office/excel/2006/main">
          <x14:cfRule type="expression" priority="36" stopIfTrue="1" id="{F57084F4-57D7-45AF-902B-08AB39C98977}">
            <xm:f xml:space="preserve"> OR($X$36=+テーブル!A2,$X$36=+テーブル!A3,$X$36=+テーブル!A9,$X$36=+テーブル!A10,$X$36=+テーブル!A12,$X$36=+テーブル!A13,$X$36=+テーブル!A16)</xm:f>
            <x14:dxf>
              <font>
                <color rgb="FFFF0000"/>
              </font>
            </x14:dxf>
          </x14:cfRule>
          <xm:sqref>D36:E36</xm:sqref>
        </x14:conditionalFormatting>
        <x14:conditionalFormatting xmlns:xm="http://schemas.microsoft.com/office/excel/2006/main">
          <x14:cfRule type="expression" priority="35" stopIfTrue="1" id="{2BC69F6D-B050-466D-A5CB-475CEEFEBB42}">
            <xm:f xml:space="preserve"> OR($X$36=+テーブル!A2,$X$36=+テーブル!A4,$X$36=+テーブル!A9,$X$36=+テーブル!A11,$X$36=+テーブル!A12,$X$36=+テーブル!A14,$X$36=+テーブル!A16)</xm:f>
            <x14:dxf>
              <font>
                <color rgb="FFFF0000"/>
              </font>
            </x14:dxf>
          </x14:cfRule>
          <xm:sqref>F36:G36</xm:sqref>
        </x14:conditionalFormatting>
        <x14:conditionalFormatting xmlns:xm="http://schemas.microsoft.com/office/excel/2006/main">
          <x14:cfRule type="expression" priority="34" stopIfTrue="1" id="{7554BDA4-FF2E-497F-91C8-3560AA8E58DB}">
            <xm:f xml:space="preserve"> OR($X$36=+テーブル!A2,$X$36=+テーブル!A3,$X$36=+テーブル!A4,$X$36=+テーブル!A9,$X$36=+テーブル!A10,$X$36=+テーブル!A11,$X$36=+テーブル!A12,$X$36=+テーブル!A13,$X$36=+テーブル!A14,$X$36=+テーブル!A16)</xm:f>
            <x14:dxf>
              <font>
                <color rgb="FFFF0000"/>
              </font>
            </x14:dxf>
          </x14:cfRule>
          <xm:sqref>H36:I36</xm:sqref>
        </x14:conditionalFormatting>
        <x14:conditionalFormatting xmlns:xm="http://schemas.microsoft.com/office/excel/2006/main">
          <x14:cfRule type="expression" priority="33" stopIfTrue="1" id="{A2DF4A21-0E20-4D05-AE7B-532855CE1B81}">
            <xm:f xml:space="preserve"> OR($X$37=+テーブル!A2,$X$37=+テーブル!A3,$X$37=+テーブル!A9,$X$37=+テーブル!A10,$X$37=+テーブル!A12,$X$37=+テーブル!A13,$X$37=+テーブル!A16)</xm:f>
            <x14:dxf>
              <font>
                <color rgb="FFFF0000"/>
              </font>
            </x14:dxf>
          </x14:cfRule>
          <xm:sqref>D37:E37</xm:sqref>
        </x14:conditionalFormatting>
        <x14:conditionalFormatting xmlns:xm="http://schemas.microsoft.com/office/excel/2006/main">
          <x14:cfRule type="expression" priority="32" stopIfTrue="1" id="{C75D644D-09D2-492A-AF15-D8E1B1B70A9F}">
            <xm:f xml:space="preserve"> OR($X$37=+テーブル!A2,$X$37=+テーブル!A4,$X$37=+テーブル!A9,$X$37=+テーブル!A11,$X$37=+テーブル!A12,$X$37=+テーブル!A14,$X$37=+テーブル!A16)</xm:f>
            <x14:dxf>
              <font>
                <color rgb="FFFF0000"/>
              </font>
            </x14:dxf>
          </x14:cfRule>
          <xm:sqref>F37:G37</xm:sqref>
        </x14:conditionalFormatting>
        <x14:conditionalFormatting xmlns:xm="http://schemas.microsoft.com/office/excel/2006/main">
          <x14:cfRule type="expression" priority="31" stopIfTrue="1" id="{C8B30A77-DA56-4C69-A5F7-2776CF21555F}">
            <xm:f xml:space="preserve"> OR($X$37=+テーブル!A2,$X$37=+テーブル!A3,$X$37=+テーブル!A4,$X$37=+テーブル!A9,$X$37=+テーブル!A10,$X$37=+テーブル!A11,$X$37=+テーブル!A12,$X$37=+テーブル!A13,$X$37=+テーブル!A14,$X$37=+テーブル!A16)</xm:f>
            <x14:dxf>
              <font>
                <color rgb="FFFF0000"/>
              </font>
            </x14:dxf>
          </x14:cfRule>
          <xm:sqref>H37:I37</xm:sqref>
        </x14:conditionalFormatting>
        <x14:conditionalFormatting xmlns:xm="http://schemas.microsoft.com/office/excel/2006/main">
          <x14:cfRule type="expression" priority="30" stopIfTrue="1" id="{A47384BB-263D-44FF-84BF-AB96EFA34B54}">
            <xm:f xml:space="preserve"> OR($X$38=+テーブル!A2,$X$38=+テーブル!A3,$X$38=+テーブル!A9,$X$38=+テーブル!A10,$X$38=+テーブル!A12,$X$38=+テーブル!A13,$X$38=+テーブル!A16)</xm:f>
            <x14:dxf>
              <font>
                <color rgb="FFFF0000"/>
              </font>
            </x14:dxf>
          </x14:cfRule>
          <xm:sqref>D38:E38</xm:sqref>
        </x14:conditionalFormatting>
        <x14:conditionalFormatting xmlns:xm="http://schemas.microsoft.com/office/excel/2006/main">
          <x14:cfRule type="expression" priority="29" stopIfTrue="1" id="{710F1317-87B1-4D6D-A49F-2D38BD7DFEEC}">
            <xm:f xml:space="preserve"> OR($X$38=+テーブル!A2,$X$38=+テーブル!A4,$X$38=+テーブル!A9,$X$38=+テーブル!A11,$X$38=+テーブル!A12,$X$38=+テーブル!A14,$X$38=+テーブル!A16)</xm:f>
            <x14:dxf>
              <font>
                <color rgb="FFFF0000"/>
              </font>
            </x14:dxf>
          </x14:cfRule>
          <xm:sqref>F38:G38</xm:sqref>
        </x14:conditionalFormatting>
        <x14:conditionalFormatting xmlns:xm="http://schemas.microsoft.com/office/excel/2006/main">
          <x14:cfRule type="expression" priority="28" stopIfTrue="1" id="{746CD574-246E-4019-AEBC-172455C936F8}">
            <xm:f xml:space="preserve"> OR($X$38=+テーブル!A2,$X$38=+テーブル!A3,$X$38=+テーブル!A4,$X$38=+テーブル!A9,$X$38=+テーブル!A10,$X$38=+テーブル!A11,$X$38=+テーブル!A12,$X$38=+テーブル!A13,$X$38=+テーブル!A14,$X$38=+テーブル!A16)</xm:f>
            <x14:dxf>
              <font>
                <color rgb="FFFF0000"/>
              </font>
            </x14:dxf>
          </x14:cfRule>
          <xm:sqref>H38:I38</xm:sqref>
        </x14:conditionalFormatting>
        <x14:conditionalFormatting xmlns:xm="http://schemas.microsoft.com/office/excel/2006/main">
          <x14:cfRule type="expression" priority="27" stopIfTrue="1" id="{1945777A-8C46-49BA-B6C9-A3072AC4169D}">
            <xm:f xml:space="preserve"> OR($X$39=+テーブル!A2,$X$39=+テーブル!A3,$X$39=+テーブル!A9,$X$39=+テーブル!A10,$X$39=+テーブル!A12,$X$39=+テーブル!A13,$X$39=+テーブル!A16)</xm:f>
            <x14:dxf>
              <font>
                <color rgb="FFFF0000"/>
              </font>
            </x14:dxf>
          </x14:cfRule>
          <xm:sqref>D39:E39</xm:sqref>
        </x14:conditionalFormatting>
        <x14:conditionalFormatting xmlns:xm="http://schemas.microsoft.com/office/excel/2006/main">
          <x14:cfRule type="expression" priority="26" stopIfTrue="1" id="{CEEC9D6F-51A7-417A-9529-D54763E4E87B}">
            <xm:f xml:space="preserve"> OR($X$39=+テーブル!A2,$X$39=+テーブル!A4,$X$39=+テーブル!A9,$X$39=+テーブル!A11,$X$39=+テーブル!A12,$X$39=+テーブル!A14,$X$39=+テーブル!A16)</xm:f>
            <x14:dxf>
              <font>
                <color rgb="FFFF0000"/>
              </font>
            </x14:dxf>
          </x14:cfRule>
          <xm:sqref>F39:G39</xm:sqref>
        </x14:conditionalFormatting>
        <x14:conditionalFormatting xmlns:xm="http://schemas.microsoft.com/office/excel/2006/main">
          <x14:cfRule type="expression" priority="25" stopIfTrue="1" id="{09A21196-0DA9-45C7-8015-F327E0F82719}">
            <xm:f xml:space="preserve"> OR($X$39=+テーブル!A2,$X$39=+テーブル!A3,$X$39=+テーブル!A4,$X$39=+テーブル!A9,$X$39=+テーブル!A10,$X$39=+テーブル!A11,$X$39=+テーブル!A12,$X$39=+テーブル!A13,$X$39=+テーブル!A14,$X$39=+テーブル!A16)</xm:f>
            <x14:dxf>
              <font>
                <color rgb="FFFF0000"/>
              </font>
            </x14:dxf>
          </x14:cfRule>
          <xm:sqref>H39:I39</xm:sqref>
        </x14:conditionalFormatting>
        <x14:conditionalFormatting xmlns:xm="http://schemas.microsoft.com/office/excel/2006/main">
          <x14:cfRule type="expression" priority="24" stopIfTrue="1" id="{14E8A64B-294B-4542-BF31-FAFDA7661A82}">
            <xm:f xml:space="preserve"> OR($X$40=+テーブル!A2,$X$40=+テーブル!A3,$X$40=+テーブル!A9,$X$40=+テーブル!A10,$X$40=+テーブル!A12,$X$40=+テーブル!A13,$X$40=+テーブル!A16)</xm:f>
            <x14:dxf>
              <font>
                <color rgb="FFFF0000"/>
              </font>
            </x14:dxf>
          </x14:cfRule>
          <xm:sqref>D40:E40</xm:sqref>
        </x14:conditionalFormatting>
        <x14:conditionalFormatting xmlns:xm="http://schemas.microsoft.com/office/excel/2006/main">
          <x14:cfRule type="expression" priority="23" stopIfTrue="1" id="{403B57E0-9E2B-41C7-A013-3042639AD9CE}">
            <xm:f xml:space="preserve"> OR($X$40=+テーブル!A2,$X$40=+テーブル!A4,$X$40=+テーブル!A9,$X$40=+テーブル!A11,$X$40=+テーブル!A12,$X$40=+テーブル!A14,$X$40=+テーブル!A16)</xm:f>
            <x14:dxf>
              <font>
                <color rgb="FFFF0000"/>
              </font>
            </x14:dxf>
          </x14:cfRule>
          <xm:sqref>F40:G40</xm:sqref>
        </x14:conditionalFormatting>
        <x14:conditionalFormatting xmlns:xm="http://schemas.microsoft.com/office/excel/2006/main">
          <x14:cfRule type="expression" priority="22" stopIfTrue="1" id="{41735139-1FED-4019-92E6-09AD312F015D}">
            <xm:f xml:space="preserve"> OR($X$40=+テーブル!A2,$X$40=+テーブル!A3,$X$40=+テーブル!A4,$X$40=+テーブル!A9,$X$40=+テーブル!A10,$X$40=+テーブル!A11,$X$40=+テーブル!A12,$X$40=+テーブル!A13,$X$40=+テーブル!A14,$X$40=+テーブル!A16)</xm:f>
            <x14:dxf>
              <font>
                <color rgb="FFFF0000"/>
              </font>
            </x14:dxf>
          </x14:cfRule>
          <xm:sqref>H40:I40</xm:sqref>
        </x14:conditionalFormatting>
        <x14:conditionalFormatting xmlns:xm="http://schemas.microsoft.com/office/excel/2006/main">
          <x14:cfRule type="expression" priority="21" stopIfTrue="1" id="{BA2D9F8A-55FB-4A99-B20F-BA0C04E034D2}">
            <xm:f xml:space="preserve"> OR($X$41=+テーブル!A2,$X$41=+テーブル!A3,$X$41=+テーブル!A9,$X$41=+テーブル!A10,$X$41=+テーブル!A12,$X$41=+テーブル!A13,$X$41=+テーブル!A16)</xm:f>
            <x14:dxf>
              <font>
                <color rgb="FFFF0000"/>
              </font>
            </x14:dxf>
          </x14:cfRule>
          <xm:sqref>D41:E41</xm:sqref>
        </x14:conditionalFormatting>
        <x14:conditionalFormatting xmlns:xm="http://schemas.microsoft.com/office/excel/2006/main">
          <x14:cfRule type="expression" priority="20" stopIfTrue="1" id="{B8952DC1-965C-4D4E-927E-996DA295C409}">
            <xm:f xml:space="preserve"> OR($X$41=+テーブル!A2,$X$41=+テーブル!A4,$X$41=+テーブル!A9,$X$41=+テーブル!A11,$X$41=+テーブル!A12,$X$41=+テーブル!A14,$X$41=+テーブル!A16)</xm:f>
            <x14:dxf>
              <font>
                <color rgb="FFFF0000"/>
              </font>
            </x14:dxf>
          </x14:cfRule>
          <xm:sqref>F41:G41</xm:sqref>
        </x14:conditionalFormatting>
        <x14:conditionalFormatting xmlns:xm="http://schemas.microsoft.com/office/excel/2006/main">
          <x14:cfRule type="expression" priority="19" stopIfTrue="1" id="{D688F1EE-11BC-48BB-89A2-4D7FDE2CE02C}">
            <xm:f xml:space="preserve"> OR($X$41=+テーブル!A2,$X$41=+テーブル!A3,$X$41=+テーブル!A4,$X$41=+テーブル!A9,$X$41=+テーブル!A10,$X$41=+テーブル!A11,$X$41=+テーブル!A12,$X$41=+テーブル!A13,$X$41=+テーブル!A14,$X$41=+テーブル!A16)</xm:f>
            <x14:dxf>
              <font>
                <color rgb="FFFF0000"/>
              </font>
            </x14:dxf>
          </x14:cfRule>
          <xm:sqref>H41:I41</xm:sqref>
        </x14:conditionalFormatting>
        <x14:conditionalFormatting xmlns:xm="http://schemas.microsoft.com/office/excel/2006/main">
          <x14:cfRule type="expression" priority="18" stopIfTrue="1" id="{5A7ED796-19BD-422A-899D-1792C7EF54F6}">
            <xm:f xml:space="preserve"> OR($X$42=+テーブル!A2,$X$42=+テーブル!A3,$X$42=+テーブル!A9,$X$42=+テーブル!A10,$X$42=+テーブル!A12,$X$42=+テーブル!A13,$X$42=+テーブル!A16)</xm:f>
            <x14:dxf>
              <font>
                <color rgb="FFFF0000"/>
              </font>
            </x14:dxf>
          </x14:cfRule>
          <xm:sqref>D42:E42</xm:sqref>
        </x14:conditionalFormatting>
        <x14:conditionalFormatting xmlns:xm="http://schemas.microsoft.com/office/excel/2006/main">
          <x14:cfRule type="expression" priority="17" stopIfTrue="1" id="{7E695D4D-9C56-4E25-AC11-B958D55380A4}">
            <xm:f xml:space="preserve"> OR($X$42=+テーブル!A2,$X$42=+テーブル!A4,$X$42=+テーブル!A9,$X$42=+テーブル!A11,$X$42=+テーブル!A12,$X$42=+テーブル!A14,$X$42=+テーブル!A16)</xm:f>
            <x14:dxf>
              <font>
                <color rgb="FFFF0000"/>
              </font>
            </x14:dxf>
          </x14:cfRule>
          <xm:sqref>F42:G42</xm:sqref>
        </x14:conditionalFormatting>
        <x14:conditionalFormatting xmlns:xm="http://schemas.microsoft.com/office/excel/2006/main">
          <x14:cfRule type="expression" priority="16" stopIfTrue="1" id="{6F2BCEE5-8A3B-4D72-B11B-7CBEB245D958}">
            <xm:f xml:space="preserve"> OR($X$42=+テーブル!A2,$X$42=+テーブル!A3,$X$42=+テーブル!A4,$X$42=+テーブル!A9,$X$42=+テーブル!A10,$X$42=+テーブル!A11,$X$42=+テーブル!A12,$X$42=+テーブル!A13,$X$42=+テーブル!A14,$X$42=+テーブル!A16)</xm:f>
            <x14:dxf>
              <font>
                <color rgb="FFFF0000"/>
              </font>
            </x14:dxf>
          </x14:cfRule>
          <xm:sqref>H42:I42</xm:sqref>
        </x14:conditionalFormatting>
        <x14:conditionalFormatting xmlns:xm="http://schemas.microsoft.com/office/excel/2006/main">
          <x14:cfRule type="expression" priority="15" stopIfTrue="1" id="{1A9D8A02-7D41-489F-9C69-7EEB77FC7748}">
            <xm:f xml:space="preserve"> OR($X$43=+テーブル!A2,$X$43=+テーブル!A3,$X$43=+テーブル!A9,$X$43=+テーブル!A10,$X$43=+テーブル!A12,$X$43=+テーブル!A13,$X$43=+テーブル!A16)</xm:f>
            <x14:dxf>
              <font>
                <color rgb="FFFF0000"/>
              </font>
            </x14:dxf>
          </x14:cfRule>
          <xm:sqref>D43:E43</xm:sqref>
        </x14:conditionalFormatting>
        <x14:conditionalFormatting xmlns:xm="http://schemas.microsoft.com/office/excel/2006/main">
          <x14:cfRule type="expression" priority="14" stopIfTrue="1" id="{6698314C-45DB-474F-A2CB-CBAFD85ACDEF}">
            <xm:f xml:space="preserve"> OR($X$43=+テーブル!A2,$X$43=+テーブル!A4,$X$43=+テーブル!A9,$X$43=+テーブル!A11,$X$43=+テーブル!A12,$X$43=+テーブル!A14,$X$43=+テーブル!A16)</xm:f>
            <x14:dxf>
              <font>
                <color rgb="FFFF0000"/>
              </font>
            </x14:dxf>
          </x14:cfRule>
          <xm:sqref>F43:G43</xm:sqref>
        </x14:conditionalFormatting>
        <x14:conditionalFormatting xmlns:xm="http://schemas.microsoft.com/office/excel/2006/main">
          <x14:cfRule type="expression" priority="13" stopIfTrue="1" id="{AD683791-3EF6-43CB-BE4A-8294A868A153}">
            <xm:f xml:space="preserve"> OR($X$43=+テーブル!A2,$X$43=+テーブル!A3,$X$43=+テーブル!A4,$X$43=+テーブル!A9,$X$43=+テーブル!A10,$X$43=+テーブル!A11,$X$43=+テーブル!A12,$X$43=+テーブル!A13,$X$43=+テーブル!A14,$X$43=+テーブル!A16)</xm:f>
            <x14:dxf>
              <font>
                <color rgb="FFFF0000"/>
              </font>
            </x14:dxf>
          </x14:cfRule>
          <xm:sqref>H43:I43</xm:sqref>
        </x14:conditionalFormatting>
        <x14:conditionalFormatting xmlns:xm="http://schemas.microsoft.com/office/excel/2006/main">
          <x14:cfRule type="expression" priority="12" stopIfTrue="1" id="{F4F8DDE6-A536-43F5-BC87-7F9D65351456}">
            <xm:f xml:space="preserve"> OR($X$44=+テーブル!A2,$X$44=+テーブル!A3,$X$44=+テーブル!A9,$X$44=+テーブル!A10,$X$44=+テーブル!A12,$X$44=+テーブル!A13,$X$44=+テーブル!A16)</xm:f>
            <x14:dxf>
              <font>
                <color rgb="FFFF0000"/>
              </font>
            </x14:dxf>
          </x14:cfRule>
          <xm:sqref>D44:E44</xm:sqref>
        </x14:conditionalFormatting>
        <x14:conditionalFormatting xmlns:xm="http://schemas.microsoft.com/office/excel/2006/main">
          <x14:cfRule type="expression" priority="11" stopIfTrue="1" id="{E66FD218-5A89-42F6-8128-187D64A3CC8D}">
            <xm:f xml:space="preserve"> OR($X$44=+テーブル!A2,$X$44=+テーブル!A4,$X$44=+テーブル!A9,$X$44=+テーブル!A11,$X$44=+テーブル!A12,$X$44=+テーブル!A14,$X$44=+テーブル!A16)</xm:f>
            <x14:dxf>
              <font>
                <color rgb="FFFF0000"/>
              </font>
            </x14:dxf>
          </x14:cfRule>
          <xm:sqref>F44:G44</xm:sqref>
        </x14:conditionalFormatting>
        <x14:conditionalFormatting xmlns:xm="http://schemas.microsoft.com/office/excel/2006/main">
          <x14:cfRule type="expression" priority="10" stopIfTrue="1" id="{7E400F7F-42A0-4067-B24B-322804223602}">
            <xm:f xml:space="preserve"> OR($X$44=+テーブル!A2,$X$44=+テーブル!A3,$X$44=+テーブル!A4,$X$44=+テーブル!A9,$X$44=+テーブル!A10,$X$44=+テーブル!A11,$X$44=+テーブル!A12,$X$44=+テーブル!A13,$X$44=+テーブル!A14,$X$44=+テーブル!A16)</xm:f>
            <x14:dxf>
              <font>
                <color rgb="FFFF0000"/>
              </font>
            </x14:dxf>
          </x14:cfRule>
          <xm:sqref>H44:I44</xm:sqref>
        </x14:conditionalFormatting>
        <x14:conditionalFormatting xmlns:xm="http://schemas.microsoft.com/office/excel/2006/main">
          <x14:cfRule type="expression" priority="9" stopIfTrue="1" id="{69D69C6A-12F6-490C-A830-FABB12A9BCEE}">
            <xm:f xml:space="preserve"> OR($X$45=+テーブル!A2,$X$45=+テーブル!A3,$X$45=+テーブル!A9,$X$45=+テーブル!A10,$X$45=+テーブル!A12,$X$45=+テーブル!A13,$X$45=+テーブル!A16)</xm:f>
            <x14:dxf>
              <font>
                <color rgb="FFFF0000"/>
              </font>
            </x14:dxf>
          </x14:cfRule>
          <xm:sqref>D45:E45</xm:sqref>
        </x14:conditionalFormatting>
        <x14:conditionalFormatting xmlns:xm="http://schemas.microsoft.com/office/excel/2006/main">
          <x14:cfRule type="expression" priority="8" stopIfTrue="1" id="{C65DA90B-39B6-49EE-A3CD-CFE60CF49EC3}">
            <xm:f xml:space="preserve"> OR($X$45=+テーブル!A2,$X$45=+テーブル!A4,$X$45=+テーブル!A9,$X$45=+テーブル!A11,$X$45=+テーブル!A12,$X$45=+テーブル!A14,$X$45=+テーブル!A16)</xm:f>
            <x14:dxf>
              <font>
                <color rgb="FFFF0000"/>
              </font>
            </x14:dxf>
          </x14:cfRule>
          <xm:sqref>F45:G45</xm:sqref>
        </x14:conditionalFormatting>
        <x14:conditionalFormatting xmlns:xm="http://schemas.microsoft.com/office/excel/2006/main">
          <x14:cfRule type="expression" priority="7" stopIfTrue="1" id="{42BCC344-7846-4A2A-99E9-5C717662B6CF}">
            <xm:f xml:space="preserve"> OR($X$45=+テーブル!A2,$X$45=+テーブル!A3,$X$45=+テーブル!A4,$X$45=+テーブル!A9,$X$45=+テーブル!A10,$X$45=+テーブル!A11,$X$45=+テーブル!A12,$X$45=+テーブル!A13,$X$45=+テーブル!A14,$X$45=+テーブル!A16)</xm:f>
            <x14:dxf>
              <font>
                <color rgb="FFFF0000"/>
              </font>
            </x14:dxf>
          </x14:cfRule>
          <xm:sqref>H45:I45</xm:sqref>
        </x14:conditionalFormatting>
        <x14:conditionalFormatting xmlns:xm="http://schemas.microsoft.com/office/excel/2006/main">
          <x14:cfRule type="expression" priority="6" stopIfTrue="1" id="{C8D97D4A-C32C-4803-A634-E6BCCE7E3069}">
            <xm:f xml:space="preserve"> OR($X$46=+テーブル!A2,$X$46=+テーブル!A3,$X$46=+テーブル!A9,$X$46=+テーブル!A10,$X$46=+テーブル!A12,$X$46=+テーブル!A13,$X$46=+テーブル!A16)</xm:f>
            <x14:dxf>
              <font>
                <color rgb="FFFF0000"/>
              </font>
            </x14:dxf>
          </x14:cfRule>
          <xm:sqref>D46:E46</xm:sqref>
        </x14:conditionalFormatting>
        <x14:conditionalFormatting xmlns:xm="http://schemas.microsoft.com/office/excel/2006/main">
          <x14:cfRule type="expression" priority="5" stopIfTrue="1" id="{1BA9CDDA-AE6B-4EF6-986A-C548A9BA3136}">
            <xm:f xml:space="preserve"> OR($X$46=+テーブル!A2,$X$46=+テーブル!A4,$X$46=+テーブル!A9,$X$46=+テーブル!A11,$X$46=+テーブル!A12,$X$46=+テーブル!A14,$X$46=+テーブル!A16)</xm:f>
            <x14:dxf>
              <font>
                <color rgb="FFFF0000"/>
              </font>
            </x14:dxf>
          </x14:cfRule>
          <xm:sqref>F46:G46</xm:sqref>
        </x14:conditionalFormatting>
        <x14:conditionalFormatting xmlns:xm="http://schemas.microsoft.com/office/excel/2006/main">
          <x14:cfRule type="expression" priority="4" stopIfTrue="1" id="{D17BF638-6C2E-48D7-88B6-3B6336119975}">
            <xm:f xml:space="preserve"> OR($X$46=+テーブル!A2,$X$46=+テーブル!A3,$X$46=+テーブル!A4,$X$46=+テーブル!A9,$X$46=+テーブル!A10,$X$46=+テーブル!A11,$X$46=+テーブル!A12,$X$46=+テーブル!A13,$X$46=+テーブル!A14,$X$46=+テーブル!A16)</xm:f>
            <x14:dxf>
              <font>
                <color rgb="FFFF0000"/>
              </font>
            </x14:dxf>
          </x14:cfRule>
          <xm:sqref>H46:I46</xm:sqref>
        </x14:conditionalFormatting>
        <x14:conditionalFormatting xmlns:xm="http://schemas.microsoft.com/office/excel/2006/main">
          <x14:cfRule type="expression" priority="3" stopIfTrue="1" id="{1C84725C-55F9-4820-ADDF-71B1200359DB}">
            <xm:f xml:space="preserve"> OR($X$47=+テーブル!A2,$X$47=+テーブル!A3,$X$47=+テーブル!A9,$X$47=+テーブル!A10,$X$47=+テーブル!A12,$X$47=+テーブル!A13,$X$47=+テーブル!A16)</xm:f>
            <x14:dxf>
              <font>
                <color rgb="FFFF0000"/>
              </font>
            </x14:dxf>
          </x14:cfRule>
          <xm:sqref>D47:E47</xm:sqref>
        </x14:conditionalFormatting>
        <x14:conditionalFormatting xmlns:xm="http://schemas.microsoft.com/office/excel/2006/main">
          <x14:cfRule type="expression" priority="2" stopIfTrue="1" id="{C694DF6F-81D6-477C-9029-C99BACAF6C06}">
            <xm:f xml:space="preserve"> OR($X$47=+テーブル!A2,$X$47=+テーブル!A4,$X$47=+テーブル!A9,$X$47=+テーブル!A11,$X$47=+テーブル!A12,$X$47=+テーブル!A14,$X$47=+テーブル!A16)</xm:f>
            <x14:dxf>
              <font>
                <color rgb="FFFF0000"/>
              </font>
            </x14:dxf>
          </x14:cfRule>
          <xm:sqref>F47:G47</xm:sqref>
        </x14:conditionalFormatting>
        <x14:conditionalFormatting xmlns:xm="http://schemas.microsoft.com/office/excel/2006/main">
          <x14:cfRule type="expression" priority="1" stopIfTrue="1" id="{CE676CB2-AC59-4CF3-9A6B-5E0891DCF5C9}">
            <xm:f xml:space="preserve"> OR($X$47=+テーブル!A2,$X$47=+テーブル!A3,$X$47=+テーブル!A4,$X$47=+テーブル!A9,$X$47=+テーブル!A10,$X$47=+テーブル!A11,$X$47=+テーブル!A12,$X$47=+テーブル!A13,$X$47=+テーブル!A14,$X$47=+テーブル!A16)</xm:f>
            <x14:dxf>
              <font>
                <color rgb="FFFF0000"/>
              </font>
            </x14:dxf>
          </x14:cfRule>
          <xm:sqref>H47:I47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12C3208-6411-4BDE-BC21-7ABE2F4B7CEA}">
          <x14:formula1>
            <xm:f>テーブル!$Q:$Q</xm:f>
          </x14:formula1>
          <xm:sqref>D62:I64</xm:sqref>
        </x14:dataValidation>
        <x14:dataValidation type="list" allowBlank="1" showInputMessage="1" showErrorMessage="1" xr:uid="{9AC427BC-059B-495E-A1D4-6CF4414C4210}">
          <x14:formula1>
            <xm:f>テーブル!$P:$P</xm:f>
          </x14:formula1>
          <xm:sqref>D61:I61</xm:sqref>
        </x14:dataValidation>
        <x14:dataValidation type="list" allowBlank="1" showInputMessage="1" showErrorMessage="1" xr:uid="{35AE21B4-C7D0-403B-B19D-9B10F14AAB19}">
          <x14:formula1>
            <xm:f>テーブル!$B:$B</xm:f>
          </x14:formula1>
          <xm:sqref>P57:W57</xm:sqref>
        </x14:dataValidation>
        <x14:dataValidation type="list" allowBlank="1" showInputMessage="1" showErrorMessage="1" xr:uid="{BA034A57-D752-4B14-94C5-023A14F3C384}">
          <x14:formula1>
            <xm:f>テーブル!$A:$A</xm:f>
          </x14:formula1>
          <xm:sqref>X17:Z47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E3F0B-80EF-467D-A2BE-A642474F3E83}">
  <sheetPr codeName="Sheet28">
    <pageSetUpPr fitToPage="1"/>
  </sheetPr>
  <dimension ref="A1:AH83"/>
  <sheetViews>
    <sheetView view="pageBreakPreview" zoomScaleNormal="130" zoomScaleSheetLayoutView="100" workbookViewId="0">
      <pane ySplit="16" topLeftCell="A17" activePane="bottomLeft" state="frozen"/>
      <selection activeCell="AC46" sqref="AC46"/>
      <selection pane="bottomLeft" activeCell="P5" sqref="P5"/>
    </sheetView>
  </sheetViews>
  <sheetFormatPr defaultRowHeight="13" x14ac:dyDescent="0.2"/>
  <cols>
    <col min="1" max="1" width="5.36328125" customWidth="1"/>
    <col min="2" max="7" width="3.6328125" customWidth="1"/>
    <col min="8" max="8" width="4.36328125" customWidth="1"/>
    <col min="9" max="12" width="3.6328125" customWidth="1"/>
    <col min="13" max="15" width="3.90625" customWidth="1"/>
    <col min="16" max="26" width="3.6328125" customWidth="1"/>
    <col min="27" max="28" width="10.453125" bestFit="1" customWidth="1"/>
    <col min="257" max="282" width="3.6328125" customWidth="1"/>
    <col min="513" max="538" width="3.6328125" customWidth="1"/>
    <col min="769" max="794" width="3.6328125" customWidth="1"/>
    <col min="1025" max="1050" width="3.6328125" customWidth="1"/>
    <col min="1281" max="1306" width="3.6328125" customWidth="1"/>
    <col min="1537" max="1562" width="3.6328125" customWidth="1"/>
    <col min="1793" max="1818" width="3.6328125" customWidth="1"/>
    <col min="2049" max="2074" width="3.6328125" customWidth="1"/>
    <col min="2305" max="2330" width="3.6328125" customWidth="1"/>
    <col min="2561" max="2586" width="3.6328125" customWidth="1"/>
    <col min="2817" max="2842" width="3.6328125" customWidth="1"/>
    <col min="3073" max="3098" width="3.6328125" customWidth="1"/>
    <col min="3329" max="3354" width="3.6328125" customWidth="1"/>
    <col min="3585" max="3610" width="3.6328125" customWidth="1"/>
    <col min="3841" max="3866" width="3.6328125" customWidth="1"/>
    <col min="4097" max="4122" width="3.6328125" customWidth="1"/>
    <col min="4353" max="4378" width="3.6328125" customWidth="1"/>
    <col min="4609" max="4634" width="3.6328125" customWidth="1"/>
    <col min="4865" max="4890" width="3.6328125" customWidth="1"/>
    <col min="5121" max="5146" width="3.6328125" customWidth="1"/>
    <col min="5377" max="5402" width="3.6328125" customWidth="1"/>
    <col min="5633" max="5658" width="3.6328125" customWidth="1"/>
    <col min="5889" max="5914" width="3.6328125" customWidth="1"/>
    <col min="6145" max="6170" width="3.6328125" customWidth="1"/>
    <col min="6401" max="6426" width="3.6328125" customWidth="1"/>
    <col min="6657" max="6682" width="3.6328125" customWidth="1"/>
    <col min="6913" max="6938" width="3.6328125" customWidth="1"/>
    <col min="7169" max="7194" width="3.6328125" customWidth="1"/>
    <col min="7425" max="7450" width="3.6328125" customWidth="1"/>
    <col min="7681" max="7706" width="3.6328125" customWidth="1"/>
    <col min="7937" max="7962" width="3.6328125" customWidth="1"/>
    <col min="8193" max="8218" width="3.6328125" customWidth="1"/>
    <col min="8449" max="8474" width="3.6328125" customWidth="1"/>
    <col min="8705" max="8730" width="3.6328125" customWidth="1"/>
    <col min="8961" max="8986" width="3.6328125" customWidth="1"/>
    <col min="9217" max="9242" width="3.6328125" customWidth="1"/>
    <col min="9473" max="9498" width="3.6328125" customWidth="1"/>
    <col min="9729" max="9754" width="3.6328125" customWidth="1"/>
    <col min="9985" max="10010" width="3.6328125" customWidth="1"/>
    <col min="10241" max="10266" width="3.6328125" customWidth="1"/>
    <col min="10497" max="10522" width="3.6328125" customWidth="1"/>
    <col min="10753" max="10778" width="3.6328125" customWidth="1"/>
    <col min="11009" max="11034" width="3.6328125" customWidth="1"/>
    <col min="11265" max="11290" width="3.6328125" customWidth="1"/>
    <col min="11521" max="11546" width="3.6328125" customWidth="1"/>
    <col min="11777" max="11802" width="3.6328125" customWidth="1"/>
    <col min="12033" max="12058" width="3.6328125" customWidth="1"/>
    <col min="12289" max="12314" width="3.6328125" customWidth="1"/>
    <col min="12545" max="12570" width="3.6328125" customWidth="1"/>
    <col min="12801" max="12826" width="3.6328125" customWidth="1"/>
    <col min="13057" max="13082" width="3.6328125" customWidth="1"/>
    <col min="13313" max="13338" width="3.6328125" customWidth="1"/>
    <col min="13569" max="13594" width="3.6328125" customWidth="1"/>
    <col min="13825" max="13850" width="3.6328125" customWidth="1"/>
    <col min="14081" max="14106" width="3.6328125" customWidth="1"/>
    <col min="14337" max="14362" width="3.6328125" customWidth="1"/>
    <col min="14593" max="14618" width="3.6328125" customWidth="1"/>
    <col min="14849" max="14874" width="3.6328125" customWidth="1"/>
    <col min="15105" max="15130" width="3.6328125" customWidth="1"/>
    <col min="15361" max="15386" width="3.6328125" customWidth="1"/>
    <col min="15617" max="15642" width="3.6328125" customWidth="1"/>
    <col min="15873" max="15898" width="3.6328125" customWidth="1"/>
    <col min="16129" max="16154" width="3.6328125" customWidth="1"/>
  </cols>
  <sheetData>
    <row r="1" spans="1:32" ht="8" customHeight="1" x14ac:dyDescent="0.2">
      <c r="A1" s="55">
        <v>45413</v>
      </c>
      <c r="B1" s="85">
        <v>45413</v>
      </c>
      <c r="AB1" s="55"/>
      <c r="AC1" s="57"/>
    </row>
    <row r="2" spans="1:32" ht="8" customHeight="1" x14ac:dyDescent="0.2">
      <c r="A2" s="3"/>
      <c r="B2" s="3"/>
      <c r="C2" s="3"/>
      <c r="D2" s="3"/>
      <c r="E2" s="3"/>
      <c r="F2" s="3"/>
      <c r="G2" s="3"/>
      <c r="H2" s="3"/>
      <c r="I2" s="3"/>
      <c r="J2" s="4"/>
      <c r="K2" s="4"/>
      <c r="L2" s="5"/>
      <c r="M2" s="6"/>
      <c r="N2" s="6"/>
      <c r="O2" s="6"/>
      <c r="P2" s="4"/>
      <c r="X2" t="s">
        <v>66</v>
      </c>
      <c r="Y2" s="361">
        <f>LOOKUP(10^10,Ver管理!C3:C33)</f>
        <v>6</v>
      </c>
      <c r="Z2" s="361"/>
    </row>
    <row r="3" spans="1:32" ht="10" customHeight="1" thickBot="1" x14ac:dyDescent="0.25">
      <c r="A3" s="362">
        <f ca="1">+VLOOKUP(AB5,テーブル!L:M,2,0)</f>
        <v>46143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2"/>
      <c r="R3" s="362"/>
      <c r="S3" s="362"/>
      <c r="T3" s="362"/>
      <c r="U3" s="362"/>
      <c r="V3" s="362"/>
      <c r="W3" s="362"/>
      <c r="X3" s="362"/>
      <c r="Y3" s="362"/>
      <c r="Z3" s="362"/>
    </row>
    <row r="4" spans="1:32" ht="10" customHeight="1" x14ac:dyDescent="0.2">
      <c r="A4" s="362"/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B4" s="68"/>
      <c r="AC4" s="69"/>
      <c r="AD4" s="70"/>
    </row>
    <row r="5" spans="1:32" ht="14.15" customHeight="1" x14ac:dyDescent="0.2">
      <c r="A5" s="363" t="s">
        <v>202</v>
      </c>
      <c r="B5" s="363"/>
      <c r="C5" s="363"/>
      <c r="D5" s="363"/>
      <c r="E5" s="364" t="str">
        <f>+'4月'!$E$5</f>
        <v>NMHT　社員</v>
      </c>
      <c r="F5" s="364"/>
      <c r="G5" s="364"/>
      <c r="H5" s="364"/>
      <c r="I5" s="364"/>
      <c r="J5" s="7"/>
      <c r="K5" s="7"/>
      <c r="L5" s="7"/>
      <c r="M5" s="7"/>
      <c r="N5" s="7"/>
      <c r="O5" s="7"/>
      <c r="P5" s="7" t="str">
        <f ca="1">IF(_xlfn.XLOOKUP(当月,テーブル!U:U,テーブル!V:V,0,FALSE)+_xlfn.XLOOKUP(当月,テーブル!U:U,テーブル!W:W,0,FALSE)&lt;&gt;_xlfn.XLOOKUP(AB6,テーブル!U:U,テーブル!V:V,0,FALSE)+_xlfn.XLOOKUP(AB6,テーブル!U:U,テーブル!W:W,0,FALSE),"基給+手当1に前月と差異があります。","")</f>
        <v/>
      </c>
      <c r="Q5" s="7"/>
      <c r="R5" s="8"/>
      <c r="S5" s="8"/>
      <c r="T5" s="8"/>
      <c r="U5" s="8"/>
      <c r="AB5" s="71" t="str" cm="1">
        <f t="array" aca="1" ref="AB5" ca="1">RIGHT(CELL("filename",A1),LEN(CELL("filename",A1))-FIND("]",CELL("filename",A1)))</f>
        <v>5月</v>
      </c>
      <c r="AC5" t="s">
        <v>158</v>
      </c>
      <c r="AD5" s="72"/>
    </row>
    <row r="6" spans="1:32" ht="14.15" customHeight="1" x14ac:dyDescent="0.25">
      <c r="A6" s="366">
        <f>+'4月'!$A$6</f>
        <v>2000002</v>
      </c>
      <c r="B6" s="366"/>
      <c r="C6" s="366"/>
      <c r="D6" s="366"/>
      <c r="E6" s="365"/>
      <c r="F6" s="365"/>
      <c r="G6" s="365"/>
      <c r="H6" s="365"/>
      <c r="I6" s="365"/>
      <c r="J6" s="9" t="s">
        <v>98</v>
      </c>
      <c r="K6" s="108" t="str">
        <f ca="1">HYPERLINK(LEFT(TEXT(CELL("filename",B2),0),SEARCH("\[",TEXT(CELL("filename",B2),0),1)-1)&amp;"\")</f>
        <v>Z:\マクロ保管場所谷津用\2月控除分\</v>
      </c>
      <c r="L6" s="5"/>
      <c r="M6" s="6"/>
      <c r="N6" s="6"/>
      <c r="O6" s="6"/>
      <c r="P6" s="4"/>
      <c r="AB6" s="71" t="str">
        <f ca="1">+IF(SUBSTITUTE(当月,"月","")-1=0,12,SUBSTITUTE(当月,"月","")-1) &amp; "月"</f>
        <v>4月</v>
      </c>
      <c r="AC6" s="74" t="s">
        <v>170</v>
      </c>
      <c r="AD6" s="72"/>
    </row>
    <row r="7" spans="1:32" ht="14.15" customHeight="1" x14ac:dyDescent="0.2">
      <c r="I7" s="3"/>
      <c r="K7" s="11"/>
      <c r="N7" s="368"/>
      <c r="O7" s="368"/>
      <c r="P7" s="367" t="s">
        <v>272</v>
      </c>
      <c r="Q7" s="358"/>
      <c r="R7" s="358"/>
      <c r="S7" s="358"/>
      <c r="T7" s="358"/>
      <c r="U7" s="358"/>
      <c r="V7" s="358"/>
      <c r="W7" s="358"/>
      <c r="X7" s="358"/>
      <c r="Y7" s="358"/>
      <c r="Z7" s="358"/>
      <c r="AB7" s="73"/>
      <c r="AC7" s="56">
        <v>0.91666666666666663</v>
      </c>
      <c r="AD7" s="72"/>
    </row>
    <row r="8" spans="1:32" ht="14.15" hidden="1" customHeight="1" thickBot="1" x14ac:dyDescent="0.25">
      <c r="A8" s="163" t="s">
        <v>99</v>
      </c>
      <c r="B8" s="120"/>
      <c r="C8" s="350" t="str">
        <f>+'4月'!C8</f>
        <v>株式会社エヌエム・ヒューマテック</v>
      </c>
      <c r="D8" s="351"/>
      <c r="E8" s="351"/>
      <c r="F8" s="351"/>
      <c r="G8" s="351"/>
      <c r="H8" s="351"/>
      <c r="I8" s="352"/>
      <c r="J8" s="353"/>
      <c r="K8" s="11"/>
      <c r="L8" s="1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B8" s="75">
        <f ca="1">+IF(給与体系="管理監督者",0,IF(給与体系="月給制",1,2))</f>
        <v>2</v>
      </c>
      <c r="AC8" s="76">
        <v>0.20833333333333334</v>
      </c>
      <c r="AD8" s="77"/>
    </row>
    <row r="9" spans="1:32" ht="14.15" hidden="1" customHeight="1" x14ac:dyDescent="0.2">
      <c r="A9" s="166"/>
      <c r="B9" s="123"/>
      <c r="C9" s="354"/>
      <c r="D9" s="355"/>
      <c r="E9" s="355"/>
      <c r="F9" s="355"/>
      <c r="G9" s="355"/>
      <c r="H9" s="355"/>
      <c r="I9" s="356"/>
      <c r="J9" s="357"/>
      <c r="K9" s="13"/>
      <c r="P9" s="53"/>
      <c r="Q9" s="54" t="s">
        <v>269</v>
      </c>
      <c r="R9" s="52"/>
      <c r="S9" s="52"/>
      <c r="T9" s="358" t="s">
        <v>270</v>
      </c>
      <c r="U9" s="358"/>
      <c r="V9" s="358"/>
      <c r="W9" s="358"/>
      <c r="X9" s="358"/>
      <c r="Y9" s="358"/>
      <c r="Z9" s="358"/>
    </row>
    <row r="10" spans="1:32" ht="14.15" hidden="1" customHeight="1" x14ac:dyDescent="0.2">
      <c r="A10" s="163" t="s">
        <v>100</v>
      </c>
      <c r="B10" s="120"/>
      <c r="C10" s="359" t="str">
        <f>+'4月'!C10</f>
        <v>管理部</v>
      </c>
      <c r="D10" s="332"/>
      <c r="E10" s="332"/>
      <c r="F10" s="332"/>
      <c r="G10" s="332"/>
      <c r="H10" s="332"/>
      <c r="I10" s="333"/>
      <c r="J10" s="334"/>
      <c r="K10" s="13"/>
      <c r="P10" s="53"/>
      <c r="Q10" s="52"/>
      <c r="R10" s="52"/>
      <c r="S10" s="52"/>
      <c r="T10" s="360" t="s">
        <v>271</v>
      </c>
      <c r="U10" s="360"/>
      <c r="V10" s="360"/>
      <c r="W10" s="360"/>
      <c r="X10" s="360"/>
      <c r="Y10" s="360"/>
      <c r="Z10" s="360"/>
    </row>
    <row r="11" spans="1:32" ht="14.15" hidden="1" customHeight="1" x14ac:dyDescent="0.2">
      <c r="A11" s="166"/>
      <c r="B11" s="123"/>
      <c r="C11" s="335"/>
      <c r="D11" s="336"/>
      <c r="E11" s="336"/>
      <c r="F11" s="336"/>
      <c r="G11" s="336"/>
      <c r="H11" s="336"/>
      <c r="I11" s="337"/>
      <c r="J11" s="338"/>
      <c r="K11" s="4"/>
      <c r="L11" s="4"/>
      <c r="P11" s="52"/>
      <c r="Q11" s="54" t="s">
        <v>96</v>
      </c>
      <c r="R11" s="54"/>
      <c r="S11" s="53"/>
      <c r="T11" s="54"/>
      <c r="U11" s="53"/>
      <c r="V11" s="54" t="s">
        <v>97</v>
      </c>
      <c r="W11" s="54"/>
      <c r="X11" s="52"/>
      <c r="Y11" s="52"/>
      <c r="Z11" s="52"/>
      <c r="AE11" t="s">
        <v>178</v>
      </c>
    </row>
    <row r="12" spans="1:32" ht="14.15" hidden="1" customHeight="1" x14ac:dyDescent="0.2">
      <c r="A12" s="163" t="s">
        <v>101</v>
      </c>
      <c r="B12" s="120"/>
      <c r="C12" s="331"/>
      <c r="D12" s="332"/>
      <c r="E12" s="332"/>
      <c r="F12" s="332"/>
      <c r="G12" s="332"/>
      <c r="H12" s="332"/>
      <c r="I12" s="333"/>
      <c r="J12" s="334"/>
      <c r="K12" s="13"/>
      <c r="M12" s="15"/>
      <c r="N12" s="15"/>
      <c r="O12" s="14"/>
      <c r="P12" s="14"/>
      <c r="Q12" s="14"/>
      <c r="R12" s="14"/>
      <c r="S12" s="14"/>
      <c r="T12" s="14"/>
      <c r="U12" s="14"/>
      <c r="V12" s="8"/>
      <c r="W12" s="8"/>
      <c r="AF12">
        <f ca="1">+IFERROR(((MAX(0,超過勤務時間計+深夜残業時間計-60)*1.5+MIN(60,超過勤務時間計+深夜残業時間計)*1.25))/(超過勤務時間計),0)</f>
        <v>0</v>
      </c>
    </row>
    <row r="13" spans="1:32" ht="14.15" hidden="1" customHeight="1" x14ac:dyDescent="0.2">
      <c r="A13" s="166"/>
      <c r="B13" s="123"/>
      <c r="C13" s="335"/>
      <c r="D13" s="336"/>
      <c r="E13" s="336"/>
      <c r="F13" s="336"/>
      <c r="G13" s="336"/>
      <c r="H13" s="336"/>
      <c r="I13" s="337"/>
      <c r="J13" s="338"/>
      <c r="K13" s="13"/>
      <c r="M13" s="16"/>
      <c r="N13" s="15"/>
      <c r="O13" s="14"/>
      <c r="P13" s="14"/>
      <c r="Q13" s="14"/>
      <c r="R13" s="14"/>
      <c r="S13" s="14"/>
    </row>
    <row r="14" spans="1:32" ht="14.15" hidden="1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4"/>
      <c r="K14" s="4"/>
      <c r="L14" s="4"/>
      <c r="M14" s="4"/>
      <c r="N14" s="17"/>
      <c r="O14" s="4"/>
      <c r="P14" s="4"/>
      <c r="U14" s="18"/>
    </row>
    <row r="15" spans="1:32" ht="14.15" customHeight="1" x14ac:dyDescent="0.2">
      <c r="A15" s="339" t="s">
        <v>5</v>
      </c>
      <c r="B15" s="340"/>
      <c r="C15" s="339" t="s">
        <v>6</v>
      </c>
      <c r="D15" s="312" t="s">
        <v>36</v>
      </c>
      <c r="E15" s="343"/>
      <c r="F15" s="343"/>
      <c r="G15" s="313"/>
      <c r="H15" s="344" t="s">
        <v>37</v>
      </c>
      <c r="I15" s="345"/>
      <c r="J15" s="345" t="s">
        <v>7</v>
      </c>
      <c r="K15" s="348"/>
      <c r="L15" s="314" t="s">
        <v>8</v>
      </c>
      <c r="M15" s="325"/>
      <c r="N15" s="328" t="s">
        <v>9</v>
      </c>
      <c r="O15" s="315"/>
      <c r="P15" s="314" t="s">
        <v>10</v>
      </c>
      <c r="Q15" s="315"/>
      <c r="R15" s="314" t="s">
        <v>11</v>
      </c>
      <c r="S15" s="315"/>
      <c r="T15" s="314" t="s">
        <v>12</v>
      </c>
      <c r="U15" s="315"/>
      <c r="V15" s="314" t="s">
        <v>43</v>
      </c>
      <c r="W15" s="315"/>
      <c r="X15" s="304" t="s">
        <v>122</v>
      </c>
      <c r="Y15" s="305"/>
      <c r="Z15" s="306"/>
      <c r="AA15" s="310" t="s">
        <v>107</v>
      </c>
      <c r="AB15" t="s">
        <v>32</v>
      </c>
    </row>
    <row r="16" spans="1:32" ht="14.15" customHeight="1" x14ac:dyDescent="0.2">
      <c r="A16" s="341"/>
      <c r="B16" s="342"/>
      <c r="C16" s="341"/>
      <c r="D16" s="312" t="s">
        <v>14</v>
      </c>
      <c r="E16" s="313"/>
      <c r="F16" s="312" t="s">
        <v>15</v>
      </c>
      <c r="G16" s="313"/>
      <c r="H16" s="346"/>
      <c r="I16" s="347"/>
      <c r="J16" s="347"/>
      <c r="K16" s="349"/>
      <c r="L16" s="326"/>
      <c r="M16" s="327"/>
      <c r="N16" s="329"/>
      <c r="O16" s="317"/>
      <c r="P16" s="316"/>
      <c r="Q16" s="317"/>
      <c r="R16" s="316"/>
      <c r="S16" s="317"/>
      <c r="T16" s="316"/>
      <c r="U16" s="317"/>
      <c r="V16" s="316"/>
      <c r="W16" s="317"/>
      <c r="X16" s="307"/>
      <c r="Y16" s="308"/>
      <c r="Z16" s="309"/>
      <c r="AA16" s="311"/>
      <c r="AB16" t="s">
        <v>210</v>
      </c>
      <c r="AC16" s="59"/>
    </row>
    <row r="17" spans="1:30" s="59" customFormat="1" ht="14.15" customHeight="1" x14ac:dyDescent="0.2">
      <c r="A17" s="318">
        <f ca="1">A3</f>
        <v>46143</v>
      </c>
      <c r="B17" s="319"/>
      <c r="C17" s="78">
        <f ca="1">IF(A17="","",IF(WEEKDAY(A17,1)=1,1,IF(COUNTIF(祝日管理!B:B,A17)=1,"祝",WEEKDAY(A17,1))))</f>
        <v>6</v>
      </c>
      <c r="D17" s="320"/>
      <c r="E17" s="320"/>
      <c r="F17" s="320"/>
      <c r="G17" s="320"/>
      <c r="H17" s="320"/>
      <c r="I17" s="321"/>
      <c r="J17" s="322">
        <f>IF(OR(D17="",F17="",H17=""),0,IF(F17&gt;D17,F17,F17+24)-D17-H17)</f>
        <v>0</v>
      </c>
      <c r="K17" s="323"/>
      <c r="L17" s="299">
        <f>IF(J17="",0,(HOUR(J17))+(ROUNDDOWN(MINUTE(J17)/60,2)*1))</f>
        <v>0</v>
      </c>
      <c r="M17" s="324"/>
      <c r="N17" s="330">
        <f ca="1">+IF(ISERROR(IF(A17="",0,IF(OR(X17="法休",X17="所休")=1,0,IF(L17=0,0,MIN(8,L17-R17))))),"",IF(A17="","",IF(OR(X17="法休",X17="所休"),0,IF(L17=0,0,MIN(8,L17-R17)))))</f>
        <v>0</v>
      </c>
      <c r="O17" s="300"/>
      <c r="P17" s="299">
        <f ca="1">+IF(ISERROR(IF(A17="","",IF(X17="法休",0,MAX(0,L17-N17-R17)))),0,IF(A17="","",IF(X17="法休",0,MAX(0,L17-N17-R17))))</f>
        <v>0</v>
      </c>
      <c r="Q17" s="300"/>
      <c r="R17" s="299">
        <f ca="1">+IF(A17="",0,IF(X17="法休",0,NOT(OR(D17="",F17=""))*MIN(7,(MAX(0,MIN(F17,$AC$8)-D17)+MAX(0,F17-$AC$7+(D17&gt;F17)))*24)))</f>
        <v>0</v>
      </c>
      <c r="S17" s="300"/>
      <c r="T17" s="299">
        <f t="shared" ref="T17" ca="1" si="0">+IF(A17="",0,IF(X17="法休",L17-V17,0))</f>
        <v>0</v>
      </c>
      <c r="U17" s="300"/>
      <c r="V17" s="299">
        <f t="shared" ref="V17" ca="1" si="1">+IF(A17="",0,IF(X17&lt;&gt;"法休",0,NOT(OR(D17="",F17=""))*MIN(7,(MAX(0,MIN(F17,$AC$8)-D17)+MAX(0,F17-$AC$7+(D17&gt;F17)))*24)))</f>
        <v>0</v>
      </c>
      <c r="W17" s="300"/>
      <c r="X17" s="301"/>
      <c r="Y17" s="302"/>
      <c r="Z17" s="303"/>
      <c r="AA17" s="79"/>
      <c r="AB17" s="93">
        <f t="shared" ref="AB17:AB46" ca="1" si="2">IF(ISERROR((X17="")*(7.5-N17)),0,(X17="")*(7.5-N17))</f>
        <v>7.5</v>
      </c>
      <c r="AD17" s="67"/>
    </row>
    <row r="18" spans="1:30" ht="14.15" customHeight="1" x14ac:dyDescent="0.2">
      <c r="A18" s="290">
        <f t="shared" ref="A18:A44" ca="1" si="3">A17+1</f>
        <v>46144</v>
      </c>
      <c r="B18" s="291"/>
      <c r="C18" s="80">
        <f ca="1">IF(A18="","",IF(WEEKDAY(A18,1)=1,1,IF(COUNTIF(祝日管理!B:B,A18)=1,"祝",WEEKDAY(A18,1))))</f>
        <v>7</v>
      </c>
      <c r="D18" s="292"/>
      <c r="E18" s="292"/>
      <c r="F18" s="292"/>
      <c r="G18" s="292"/>
      <c r="H18" s="292"/>
      <c r="I18" s="293"/>
      <c r="J18" s="298">
        <f t="shared" ref="J18:J47" si="4">IF(OR(D18="",F18="",H18=""),0,IF(F18&gt;D18,F18,F18+24)-D18-H18)</f>
        <v>0</v>
      </c>
      <c r="K18" s="294"/>
      <c r="L18" s="285">
        <f t="shared" ref="L18:L47" si="5">IF(J18="",0,(HOUR(J18))+(ROUNDDOWN(MINUTE(J18)/60,2)*1))</f>
        <v>0</v>
      </c>
      <c r="M18" s="296"/>
      <c r="N18" s="297">
        <f t="shared" ref="N18:N47" ca="1" si="6">+IF(ISERROR(IF(A18="",0,IF(OR(X18="法休",X18="所休")=1,0,IF(L18=0,0,MIN(8,L18-R18))))),"",IF(A18="","",IF(OR(X18="法休",X18="所休"),0,IF(L18=0,0,MIN(8,L18-R18)))))</f>
        <v>0</v>
      </c>
      <c r="O18" s="286"/>
      <c r="P18" s="285">
        <f t="shared" ref="P18:P47" ca="1" si="7">+IF(ISERROR(IF(A18="","",IF(X18="法休",0,MAX(0,L18-N18-R18)))),0,IF(A18="","",IF(X18="法休",0,MAX(0,L18-N18-R18))))</f>
        <v>0</v>
      </c>
      <c r="Q18" s="286"/>
      <c r="R18" s="285">
        <f t="shared" ref="R18:R47" ca="1" si="8">+IF(A18="",0,IF(X18="法休",0,NOT(OR(D18="",F18=""))*MIN(7,(MAX(0,MIN(F18,$AC$8)-D18)+MAX(0,F18-$AC$7+(D18&gt;F18)))*24)))</f>
        <v>0</v>
      </c>
      <c r="S18" s="286"/>
      <c r="T18" s="285">
        <f t="shared" ref="T18:T47" ca="1" si="9">+IF(A18="",0,IF(X18="法休",L18-V18,0))</f>
        <v>0</v>
      </c>
      <c r="U18" s="286"/>
      <c r="V18" s="285">
        <f t="shared" ref="V18:V47" ca="1" si="10">+IF(A18="",0,IF(X18&lt;&gt;"法休",0,NOT(OR(D18="",F18=""))*MIN(7,(MAX(0,MIN(F18,$AC$8)-D18)+MAX(0,F18-$AC$7+(D18&gt;F18)))*24)))</f>
        <v>0</v>
      </c>
      <c r="W18" s="286"/>
      <c r="X18" s="287"/>
      <c r="Y18" s="288"/>
      <c r="Z18" s="289"/>
      <c r="AA18" s="81"/>
      <c r="AB18" s="93">
        <f t="shared" ca="1" si="2"/>
        <v>7.5</v>
      </c>
      <c r="AC18" s="59"/>
      <c r="AD18" t="s">
        <v>175</v>
      </c>
    </row>
    <row r="19" spans="1:30" ht="14.15" customHeight="1" x14ac:dyDescent="0.2">
      <c r="A19" s="290">
        <f t="shared" ca="1" si="3"/>
        <v>46145</v>
      </c>
      <c r="B19" s="291"/>
      <c r="C19" s="80">
        <f ca="1">IF(A19="","",IF(WEEKDAY(A19,1)=1,1,IF(COUNTIF(祝日管理!B:B,A19)=1,"祝",WEEKDAY(A19,1))))</f>
        <v>1</v>
      </c>
      <c r="D19" s="292"/>
      <c r="E19" s="292"/>
      <c r="F19" s="292"/>
      <c r="G19" s="292"/>
      <c r="H19" s="292"/>
      <c r="I19" s="293"/>
      <c r="J19" s="298">
        <f t="shared" si="4"/>
        <v>0</v>
      </c>
      <c r="K19" s="294"/>
      <c r="L19" s="285">
        <f t="shared" si="5"/>
        <v>0</v>
      </c>
      <c r="M19" s="296"/>
      <c r="N19" s="297">
        <f t="shared" ca="1" si="6"/>
        <v>0</v>
      </c>
      <c r="O19" s="286"/>
      <c r="P19" s="285">
        <f t="shared" ca="1" si="7"/>
        <v>0</v>
      </c>
      <c r="Q19" s="286"/>
      <c r="R19" s="285">
        <f t="shared" ca="1" si="8"/>
        <v>0</v>
      </c>
      <c r="S19" s="286"/>
      <c r="T19" s="285">
        <f t="shared" ca="1" si="9"/>
        <v>0</v>
      </c>
      <c r="U19" s="286"/>
      <c r="V19" s="285">
        <f t="shared" ca="1" si="10"/>
        <v>0</v>
      </c>
      <c r="W19" s="286"/>
      <c r="X19" s="287" t="s">
        <v>187</v>
      </c>
      <c r="Y19" s="288"/>
      <c r="Z19" s="289"/>
      <c r="AA19" s="81"/>
      <c r="AB19" s="93">
        <f t="shared" ca="1" si="2"/>
        <v>0</v>
      </c>
      <c r="AC19" s="59"/>
    </row>
    <row r="20" spans="1:30" ht="14.15" customHeight="1" x14ac:dyDescent="0.2">
      <c r="A20" s="290">
        <f t="shared" ca="1" si="3"/>
        <v>46146</v>
      </c>
      <c r="B20" s="291"/>
      <c r="C20" s="80">
        <f ca="1">IF(A20="","",IF(WEEKDAY(A20,1)=1,1,IF(COUNTIF(祝日管理!B:B,A20)=1,"祝",WEEKDAY(A20,1))))</f>
        <v>2</v>
      </c>
      <c r="D20" s="292"/>
      <c r="E20" s="292"/>
      <c r="F20" s="292"/>
      <c r="G20" s="292"/>
      <c r="H20" s="292"/>
      <c r="I20" s="293"/>
      <c r="J20" s="298">
        <f t="shared" si="4"/>
        <v>0</v>
      </c>
      <c r="K20" s="294"/>
      <c r="L20" s="285">
        <f t="shared" si="5"/>
        <v>0</v>
      </c>
      <c r="M20" s="296"/>
      <c r="N20" s="297">
        <f t="shared" ca="1" si="6"/>
        <v>0</v>
      </c>
      <c r="O20" s="286"/>
      <c r="P20" s="285">
        <f t="shared" ca="1" si="7"/>
        <v>0</v>
      </c>
      <c r="Q20" s="286"/>
      <c r="R20" s="285">
        <f t="shared" ca="1" si="8"/>
        <v>0</v>
      </c>
      <c r="S20" s="286"/>
      <c r="T20" s="285">
        <f t="shared" ca="1" si="9"/>
        <v>0</v>
      </c>
      <c r="U20" s="286"/>
      <c r="V20" s="285">
        <f t="shared" ca="1" si="10"/>
        <v>0</v>
      </c>
      <c r="W20" s="286"/>
      <c r="X20" s="287" t="s">
        <v>185</v>
      </c>
      <c r="Y20" s="288"/>
      <c r="Z20" s="289"/>
      <c r="AA20" s="81"/>
      <c r="AB20" s="93">
        <f t="shared" ca="1" si="2"/>
        <v>0</v>
      </c>
      <c r="AC20" s="59"/>
    </row>
    <row r="21" spans="1:30" ht="14.15" customHeight="1" x14ac:dyDescent="0.2">
      <c r="A21" s="290">
        <f t="shared" ca="1" si="3"/>
        <v>46147</v>
      </c>
      <c r="B21" s="291"/>
      <c r="C21" s="80">
        <f ca="1">IF(A21="","",IF(WEEKDAY(A21,1)=1,1,IF(COUNTIF(祝日管理!B:B,A21)=1,"祝",WEEKDAY(A21,1))))</f>
        <v>3</v>
      </c>
      <c r="D21" s="292"/>
      <c r="E21" s="292"/>
      <c r="F21" s="292"/>
      <c r="G21" s="292"/>
      <c r="H21" s="292"/>
      <c r="I21" s="293"/>
      <c r="J21" s="298">
        <f t="shared" si="4"/>
        <v>0</v>
      </c>
      <c r="K21" s="294"/>
      <c r="L21" s="285">
        <f t="shared" si="5"/>
        <v>0</v>
      </c>
      <c r="M21" s="296"/>
      <c r="N21" s="297">
        <f t="shared" ca="1" si="6"/>
        <v>0</v>
      </c>
      <c r="O21" s="286"/>
      <c r="P21" s="285">
        <f t="shared" ca="1" si="7"/>
        <v>0</v>
      </c>
      <c r="Q21" s="286"/>
      <c r="R21" s="285">
        <f t="shared" ca="1" si="8"/>
        <v>0</v>
      </c>
      <c r="S21" s="286"/>
      <c r="T21" s="285">
        <f t="shared" ca="1" si="9"/>
        <v>0</v>
      </c>
      <c r="U21" s="286"/>
      <c r="V21" s="285">
        <f t="shared" ca="1" si="10"/>
        <v>0</v>
      </c>
      <c r="W21" s="286"/>
      <c r="X21" s="287" t="s">
        <v>187</v>
      </c>
      <c r="Y21" s="288"/>
      <c r="Z21" s="289"/>
      <c r="AA21" s="81"/>
      <c r="AB21" s="93">
        <f t="shared" ca="1" si="2"/>
        <v>0</v>
      </c>
      <c r="AC21" s="59"/>
      <c r="AD21" t="s">
        <v>176</v>
      </c>
    </row>
    <row r="22" spans="1:30" s="59" customFormat="1" ht="14.15" customHeight="1" x14ac:dyDescent="0.2">
      <c r="A22" s="290">
        <f t="shared" ca="1" si="3"/>
        <v>46148</v>
      </c>
      <c r="B22" s="291"/>
      <c r="C22" s="80">
        <f ca="1">IF(A22="","",IF(WEEKDAY(A22,1)=1,1,IF(COUNTIF(祝日管理!B:B,A22)=1,"祝",WEEKDAY(A22,1))))</f>
        <v>4</v>
      </c>
      <c r="D22" s="292"/>
      <c r="E22" s="292"/>
      <c r="F22" s="292"/>
      <c r="G22" s="292"/>
      <c r="H22" s="292"/>
      <c r="I22" s="293"/>
      <c r="J22" s="298">
        <f t="shared" si="4"/>
        <v>0</v>
      </c>
      <c r="K22" s="294"/>
      <c r="L22" s="285">
        <f t="shared" si="5"/>
        <v>0</v>
      </c>
      <c r="M22" s="296"/>
      <c r="N22" s="297">
        <f t="shared" ca="1" si="6"/>
        <v>0</v>
      </c>
      <c r="O22" s="286"/>
      <c r="P22" s="285">
        <f t="shared" ca="1" si="7"/>
        <v>0</v>
      </c>
      <c r="Q22" s="286"/>
      <c r="R22" s="285">
        <f t="shared" ca="1" si="8"/>
        <v>0</v>
      </c>
      <c r="S22" s="286"/>
      <c r="T22" s="285">
        <f t="shared" ca="1" si="9"/>
        <v>0</v>
      </c>
      <c r="U22" s="286"/>
      <c r="V22" s="285">
        <f t="shared" ca="1" si="10"/>
        <v>0</v>
      </c>
      <c r="W22" s="286"/>
      <c r="X22" s="287" t="s">
        <v>187</v>
      </c>
      <c r="Y22" s="288"/>
      <c r="Z22" s="289"/>
      <c r="AA22" s="81"/>
      <c r="AB22" s="93">
        <f t="shared" ca="1" si="2"/>
        <v>0</v>
      </c>
    </row>
    <row r="23" spans="1:30" ht="14.15" customHeight="1" x14ac:dyDescent="0.2">
      <c r="A23" s="290">
        <f t="shared" ca="1" si="3"/>
        <v>46149</v>
      </c>
      <c r="B23" s="291"/>
      <c r="C23" s="80">
        <f ca="1">IF(A23="","",IF(WEEKDAY(A23,1)=1,1,IF(COUNTIF(祝日管理!B:B,A23)=1,"祝",WEEKDAY(A23,1))))</f>
        <v>5</v>
      </c>
      <c r="D23" s="292"/>
      <c r="E23" s="292"/>
      <c r="F23" s="292"/>
      <c r="G23" s="292"/>
      <c r="H23" s="292"/>
      <c r="I23" s="293"/>
      <c r="J23" s="298">
        <f t="shared" si="4"/>
        <v>0</v>
      </c>
      <c r="K23" s="294"/>
      <c r="L23" s="285">
        <f t="shared" si="5"/>
        <v>0</v>
      </c>
      <c r="M23" s="296"/>
      <c r="N23" s="297">
        <f t="shared" ca="1" si="6"/>
        <v>0</v>
      </c>
      <c r="O23" s="286"/>
      <c r="P23" s="285">
        <f t="shared" ca="1" si="7"/>
        <v>0</v>
      </c>
      <c r="Q23" s="286"/>
      <c r="R23" s="285">
        <f t="shared" ca="1" si="8"/>
        <v>0</v>
      </c>
      <c r="S23" s="286"/>
      <c r="T23" s="285">
        <f t="shared" ca="1" si="9"/>
        <v>0</v>
      </c>
      <c r="U23" s="286"/>
      <c r="V23" s="285">
        <f t="shared" ca="1" si="10"/>
        <v>0</v>
      </c>
      <c r="W23" s="286"/>
      <c r="X23" s="287"/>
      <c r="Y23" s="288"/>
      <c r="Z23" s="289"/>
      <c r="AA23" s="81"/>
      <c r="AB23" s="93">
        <f t="shared" ca="1" si="2"/>
        <v>7.5</v>
      </c>
    </row>
    <row r="24" spans="1:30" ht="14.15" customHeight="1" x14ac:dyDescent="0.2">
      <c r="A24" s="290">
        <f t="shared" ca="1" si="3"/>
        <v>46150</v>
      </c>
      <c r="B24" s="291"/>
      <c r="C24" s="80">
        <f ca="1">IF(A24="","",IF(WEEKDAY(A24,1)=1,1,IF(COUNTIF(祝日管理!B:B,A24)=1,"祝",WEEKDAY(A24,1))))</f>
        <v>6</v>
      </c>
      <c r="D24" s="292"/>
      <c r="E24" s="292"/>
      <c r="F24" s="292"/>
      <c r="G24" s="292"/>
      <c r="H24" s="292"/>
      <c r="I24" s="293"/>
      <c r="J24" s="298">
        <f t="shared" si="4"/>
        <v>0</v>
      </c>
      <c r="K24" s="294"/>
      <c r="L24" s="285">
        <f t="shared" si="5"/>
        <v>0</v>
      </c>
      <c r="M24" s="296"/>
      <c r="N24" s="297">
        <f t="shared" ca="1" si="6"/>
        <v>0</v>
      </c>
      <c r="O24" s="286"/>
      <c r="P24" s="285">
        <f t="shared" ca="1" si="7"/>
        <v>0</v>
      </c>
      <c r="Q24" s="286"/>
      <c r="R24" s="285">
        <f t="shared" ca="1" si="8"/>
        <v>0</v>
      </c>
      <c r="S24" s="286"/>
      <c r="T24" s="285">
        <f t="shared" ca="1" si="9"/>
        <v>0</v>
      </c>
      <c r="U24" s="286"/>
      <c r="V24" s="285">
        <f t="shared" ca="1" si="10"/>
        <v>0</v>
      </c>
      <c r="W24" s="286"/>
      <c r="X24" s="287"/>
      <c r="Y24" s="288"/>
      <c r="Z24" s="289"/>
      <c r="AA24" s="81"/>
      <c r="AB24" s="93">
        <f t="shared" ca="1" si="2"/>
        <v>7.5</v>
      </c>
      <c r="AD24" t="s">
        <v>177</v>
      </c>
    </row>
    <row r="25" spans="1:30" ht="14.15" customHeight="1" x14ac:dyDescent="0.2">
      <c r="A25" s="290">
        <f t="shared" ca="1" si="3"/>
        <v>46151</v>
      </c>
      <c r="B25" s="291"/>
      <c r="C25" s="80">
        <f ca="1">IF(A25="","",IF(WEEKDAY(A25,1)=1,1,IF(COUNTIF(祝日管理!B:B,A25)=1,"祝",WEEKDAY(A25,1))))</f>
        <v>7</v>
      </c>
      <c r="D25" s="292"/>
      <c r="E25" s="292"/>
      <c r="F25" s="292"/>
      <c r="G25" s="292"/>
      <c r="H25" s="292"/>
      <c r="I25" s="293"/>
      <c r="J25" s="298">
        <f t="shared" si="4"/>
        <v>0</v>
      </c>
      <c r="K25" s="294"/>
      <c r="L25" s="285">
        <f t="shared" si="5"/>
        <v>0</v>
      </c>
      <c r="M25" s="296"/>
      <c r="N25" s="297">
        <f t="shared" ca="1" si="6"/>
        <v>0</v>
      </c>
      <c r="O25" s="286"/>
      <c r="P25" s="285">
        <f t="shared" ca="1" si="7"/>
        <v>0</v>
      </c>
      <c r="Q25" s="286"/>
      <c r="R25" s="285">
        <f t="shared" ca="1" si="8"/>
        <v>0</v>
      </c>
      <c r="S25" s="286"/>
      <c r="T25" s="285">
        <f t="shared" ca="1" si="9"/>
        <v>0</v>
      </c>
      <c r="U25" s="286"/>
      <c r="V25" s="285">
        <f t="shared" ca="1" si="10"/>
        <v>0</v>
      </c>
      <c r="W25" s="286"/>
      <c r="X25" s="287"/>
      <c r="Y25" s="288"/>
      <c r="Z25" s="289"/>
      <c r="AA25" s="81"/>
      <c r="AB25" s="93">
        <f t="shared" ca="1" si="2"/>
        <v>7.5</v>
      </c>
    </row>
    <row r="26" spans="1:30" ht="14.15" customHeight="1" x14ac:dyDescent="0.2">
      <c r="A26" s="290">
        <f t="shared" ca="1" si="3"/>
        <v>46152</v>
      </c>
      <c r="B26" s="291"/>
      <c r="C26" s="80">
        <f ca="1">IF(A26="","",IF(WEEKDAY(A26,1)=1,1,IF(COUNTIF(祝日管理!B:B,A26)=1,"祝",WEEKDAY(A26,1))))</f>
        <v>1</v>
      </c>
      <c r="D26" s="292"/>
      <c r="E26" s="292"/>
      <c r="F26" s="292"/>
      <c r="G26" s="292"/>
      <c r="H26" s="292"/>
      <c r="I26" s="293"/>
      <c r="J26" s="298">
        <f t="shared" si="4"/>
        <v>0</v>
      </c>
      <c r="K26" s="294"/>
      <c r="L26" s="285">
        <f t="shared" si="5"/>
        <v>0</v>
      </c>
      <c r="M26" s="296"/>
      <c r="N26" s="297">
        <f t="shared" ca="1" si="6"/>
        <v>0</v>
      </c>
      <c r="O26" s="286"/>
      <c r="P26" s="285">
        <f t="shared" ca="1" si="7"/>
        <v>0</v>
      </c>
      <c r="Q26" s="286"/>
      <c r="R26" s="285">
        <f t="shared" ca="1" si="8"/>
        <v>0</v>
      </c>
      <c r="S26" s="286"/>
      <c r="T26" s="285">
        <f t="shared" ca="1" si="9"/>
        <v>0</v>
      </c>
      <c r="U26" s="286"/>
      <c r="V26" s="285">
        <f t="shared" ca="1" si="10"/>
        <v>0</v>
      </c>
      <c r="W26" s="286"/>
      <c r="X26" s="287" t="s">
        <v>187</v>
      </c>
      <c r="Y26" s="288"/>
      <c r="Z26" s="289"/>
      <c r="AA26" s="81"/>
      <c r="AB26" s="93">
        <f t="shared" ca="1" si="2"/>
        <v>0</v>
      </c>
      <c r="AD26" t="s">
        <v>213</v>
      </c>
    </row>
    <row r="27" spans="1:30" ht="14.15" customHeight="1" x14ac:dyDescent="0.2">
      <c r="A27" s="290">
        <f t="shared" ca="1" si="3"/>
        <v>46153</v>
      </c>
      <c r="B27" s="291"/>
      <c r="C27" s="80">
        <f ca="1">IF(A27="","",IF(WEEKDAY(A27,1)=1,1,IF(COUNTIF(祝日管理!B:B,A27)=1,"祝",WEEKDAY(A27,1))))</f>
        <v>2</v>
      </c>
      <c r="D27" s="292"/>
      <c r="E27" s="292"/>
      <c r="F27" s="292"/>
      <c r="G27" s="292"/>
      <c r="H27" s="292"/>
      <c r="I27" s="293"/>
      <c r="J27" s="298">
        <f t="shared" si="4"/>
        <v>0</v>
      </c>
      <c r="K27" s="294"/>
      <c r="L27" s="285">
        <f t="shared" si="5"/>
        <v>0</v>
      </c>
      <c r="M27" s="296"/>
      <c r="N27" s="297">
        <f t="shared" ca="1" si="6"/>
        <v>0</v>
      </c>
      <c r="O27" s="286"/>
      <c r="P27" s="285">
        <f t="shared" ca="1" si="7"/>
        <v>0</v>
      </c>
      <c r="Q27" s="286"/>
      <c r="R27" s="285">
        <f t="shared" ca="1" si="8"/>
        <v>0</v>
      </c>
      <c r="S27" s="286"/>
      <c r="T27" s="285">
        <f t="shared" ca="1" si="9"/>
        <v>0</v>
      </c>
      <c r="U27" s="286"/>
      <c r="V27" s="285">
        <f t="shared" ca="1" si="10"/>
        <v>0</v>
      </c>
      <c r="W27" s="286"/>
      <c r="X27" s="287" t="s">
        <v>185</v>
      </c>
      <c r="Y27" s="288"/>
      <c r="Z27" s="289"/>
      <c r="AA27" s="81"/>
      <c r="AB27" s="93">
        <f t="shared" ca="1" si="2"/>
        <v>0</v>
      </c>
    </row>
    <row r="28" spans="1:30" ht="14.15" customHeight="1" x14ac:dyDescent="0.2">
      <c r="A28" s="290">
        <f t="shared" ca="1" si="3"/>
        <v>46154</v>
      </c>
      <c r="B28" s="291"/>
      <c r="C28" s="80">
        <f ca="1">IF(A28="","",IF(WEEKDAY(A28,1)=1,1,IF(COUNTIF(祝日管理!B:B,A28)=1,"祝",WEEKDAY(A28,1))))</f>
        <v>3</v>
      </c>
      <c r="D28" s="292"/>
      <c r="E28" s="292"/>
      <c r="F28" s="292"/>
      <c r="G28" s="292"/>
      <c r="H28" s="292"/>
      <c r="I28" s="293"/>
      <c r="J28" s="298">
        <f t="shared" si="4"/>
        <v>0</v>
      </c>
      <c r="K28" s="294"/>
      <c r="L28" s="285">
        <f t="shared" si="5"/>
        <v>0</v>
      </c>
      <c r="M28" s="296"/>
      <c r="N28" s="297">
        <f t="shared" ca="1" si="6"/>
        <v>0</v>
      </c>
      <c r="O28" s="286"/>
      <c r="P28" s="285">
        <f t="shared" ca="1" si="7"/>
        <v>0</v>
      </c>
      <c r="Q28" s="286"/>
      <c r="R28" s="285">
        <f t="shared" ca="1" si="8"/>
        <v>0</v>
      </c>
      <c r="S28" s="286"/>
      <c r="T28" s="285">
        <f t="shared" ca="1" si="9"/>
        <v>0</v>
      </c>
      <c r="U28" s="286"/>
      <c r="V28" s="285">
        <f t="shared" ca="1" si="10"/>
        <v>0</v>
      </c>
      <c r="W28" s="286"/>
      <c r="X28" s="287"/>
      <c r="Y28" s="288"/>
      <c r="Z28" s="289"/>
      <c r="AA28" s="81"/>
      <c r="AB28" s="93">
        <f t="shared" ca="1" si="2"/>
        <v>7.5</v>
      </c>
    </row>
    <row r="29" spans="1:30" s="59" customFormat="1" ht="14.15" customHeight="1" x14ac:dyDescent="0.2">
      <c r="A29" s="290">
        <f t="shared" ca="1" si="3"/>
        <v>46155</v>
      </c>
      <c r="B29" s="291"/>
      <c r="C29" s="80">
        <f ca="1">IF(A29="","",IF(WEEKDAY(A29,1)=1,1,IF(COUNTIF(祝日管理!B:B,A29)=1,"祝",WEEKDAY(A29,1))))</f>
        <v>4</v>
      </c>
      <c r="D29" s="292"/>
      <c r="E29" s="292"/>
      <c r="F29" s="292"/>
      <c r="G29" s="292"/>
      <c r="H29" s="292"/>
      <c r="I29" s="293"/>
      <c r="J29" s="298">
        <f t="shared" si="4"/>
        <v>0</v>
      </c>
      <c r="K29" s="294"/>
      <c r="L29" s="285">
        <f t="shared" si="5"/>
        <v>0</v>
      </c>
      <c r="M29" s="296"/>
      <c r="N29" s="297">
        <f t="shared" ca="1" si="6"/>
        <v>0</v>
      </c>
      <c r="O29" s="286"/>
      <c r="P29" s="285">
        <f t="shared" ca="1" si="7"/>
        <v>0</v>
      </c>
      <c r="Q29" s="286"/>
      <c r="R29" s="285">
        <f t="shared" ca="1" si="8"/>
        <v>0</v>
      </c>
      <c r="S29" s="286"/>
      <c r="T29" s="285">
        <f t="shared" ca="1" si="9"/>
        <v>0</v>
      </c>
      <c r="U29" s="286"/>
      <c r="V29" s="285">
        <f t="shared" ca="1" si="10"/>
        <v>0</v>
      </c>
      <c r="W29" s="286"/>
      <c r="X29" s="287"/>
      <c r="Y29" s="288"/>
      <c r="Z29" s="289"/>
      <c r="AA29" s="81"/>
      <c r="AB29" s="93">
        <f t="shared" ca="1" si="2"/>
        <v>7.5</v>
      </c>
      <c r="AC29" s="59" t="s">
        <v>207</v>
      </c>
    </row>
    <row r="30" spans="1:30" ht="14.15" customHeight="1" x14ac:dyDescent="0.2">
      <c r="A30" s="290">
        <f t="shared" ca="1" si="3"/>
        <v>46156</v>
      </c>
      <c r="B30" s="291"/>
      <c r="C30" s="80">
        <f ca="1">IF(A30="","",IF(WEEKDAY(A30,1)=1,1,IF(COUNTIF(祝日管理!B:B,A30)=1,"祝",WEEKDAY(A30,1))))</f>
        <v>5</v>
      </c>
      <c r="D30" s="292"/>
      <c r="E30" s="292"/>
      <c r="F30" s="292"/>
      <c r="G30" s="292"/>
      <c r="H30" s="292"/>
      <c r="I30" s="293"/>
      <c r="J30" s="298">
        <f t="shared" si="4"/>
        <v>0</v>
      </c>
      <c r="K30" s="294"/>
      <c r="L30" s="285">
        <f t="shared" si="5"/>
        <v>0</v>
      </c>
      <c r="M30" s="296"/>
      <c r="N30" s="297">
        <f t="shared" ca="1" si="6"/>
        <v>0</v>
      </c>
      <c r="O30" s="286"/>
      <c r="P30" s="285">
        <f t="shared" ca="1" si="7"/>
        <v>0</v>
      </c>
      <c r="Q30" s="286"/>
      <c r="R30" s="285">
        <f t="shared" ca="1" si="8"/>
        <v>0</v>
      </c>
      <c r="S30" s="286"/>
      <c r="T30" s="285">
        <f t="shared" ca="1" si="9"/>
        <v>0</v>
      </c>
      <c r="U30" s="286"/>
      <c r="V30" s="285">
        <f t="shared" ca="1" si="10"/>
        <v>0</v>
      </c>
      <c r="W30" s="286"/>
      <c r="X30" s="287"/>
      <c r="Y30" s="288"/>
      <c r="Z30" s="289"/>
      <c r="AA30" s="81"/>
      <c r="AB30" s="93">
        <f t="shared" ca="1" si="2"/>
        <v>7.5</v>
      </c>
      <c r="AC30" t="s">
        <v>208</v>
      </c>
    </row>
    <row r="31" spans="1:30" ht="14.15" customHeight="1" x14ac:dyDescent="0.2">
      <c r="A31" s="290">
        <f t="shared" ca="1" si="3"/>
        <v>46157</v>
      </c>
      <c r="B31" s="291"/>
      <c r="C31" s="80">
        <f ca="1">IF(A31="","",IF(WEEKDAY(A31,1)=1,1,IF(COUNTIF(祝日管理!B:B,A31)=1,"祝",WEEKDAY(A31,1))))</f>
        <v>6</v>
      </c>
      <c r="D31" s="292"/>
      <c r="E31" s="292"/>
      <c r="F31" s="292"/>
      <c r="G31" s="292"/>
      <c r="H31" s="292"/>
      <c r="I31" s="293"/>
      <c r="J31" s="298">
        <f t="shared" si="4"/>
        <v>0</v>
      </c>
      <c r="K31" s="294"/>
      <c r="L31" s="285">
        <f t="shared" si="5"/>
        <v>0</v>
      </c>
      <c r="M31" s="296"/>
      <c r="N31" s="297">
        <f t="shared" ca="1" si="6"/>
        <v>0</v>
      </c>
      <c r="O31" s="286"/>
      <c r="P31" s="285">
        <f t="shared" ca="1" si="7"/>
        <v>0</v>
      </c>
      <c r="Q31" s="286"/>
      <c r="R31" s="285">
        <f t="shared" ca="1" si="8"/>
        <v>0</v>
      </c>
      <c r="S31" s="286"/>
      <c r="T31" s="285">
        <f t="shared" ca="1" si="9"/>
        <v>0</v>
      </c>
      <c r="U31" s="286"/>
      <c r="V31" s="285">
        <f t="shared" ca="1" si="10"/>
        <v>0</v>
      </c>
      <c r="W31" s="286"/>
      <c r="X31" s="287"/>
      <c r="Y31" s="288"/>
      <c r="Z31" s="289"/>
      <c r="AA31" s="81"/>
      <c r="AB31" s="93">
        <f t="shared" ca="1" si="2"/>
        <v>7.5</v>
      </c>
      <c r="AC31" t="s">
        <v>209</v>
      </c>
    </row>
    <row r="32" spans="1:30" ht="14.15" customHeight="1" x14ac:dyDescent="0.2">
      <c r="A32" s="290">
        <f t="shared" ca="1" si="3"/>
        <v>46158</v>
      </c>
      <c r="B32" s="291"/>
      <c r="C32" s="80">
        <f ca="1">IF(A32="","",IF(WEEKDAY(A32,1)=1,1,IF(COUNTIF(祝日管理!B:B,A32)=1,"祝",WEEKDAY(A32,1))))</f>
        <v>7</v>
      </c>
      <c r="D32" s="292"/>
      <c r="E32" s="292"/>
      <c r="F32" s="292"/>
      <c r="G32" s="292"/>
      <c r="H32" s="292"/>
      <c r="I32" s="293"/>
      <c r="J32" s="298">
        <f t="shared" si="4"/>
        <v>0</v>
      </c>
      <c r="K32" s="294"/>
      <c r="L32" s="285">
        <f t="shared" si="5"/>
        <v>0</v>
      </c>
      <c r="M32" s="296"/>
      <c r="N32" s="297">
        <f t="shared" ca="1" si="6"/>
        <v>0</v>
      </c>
      <c r="O32" s="286"/>
      <c r="P32" s="285">
        <f t="shared" ca="1" si="7"/>
        <v>0</v>
      </c>
      <c r="Q32" s="286"/>
      <c r="R32" s="285">
        <f t="shared" ca="1" si="8"/>
        <v>0</v>
      </c>
      <c r="S32" s="286"/>
      <c r="T32" s="285">
        <f t="shared" ca="1" si="9"/>
        <v>0</v>
      </c>
      <c r="U32" s="286"/>
      <c r="V32" s="285">
        <f t="shared" ca="1" si="10"/>
        <v>0</v>
      </c>
      <c r="W32" s="286"/>
      <c r="X32" s="287"/>
      <c r="Y32" s="288"/>
      <c r="Z32" s="289"/>
      <c r="AA32" s="81"/>
      <c r="AB32" s="93">
        <f t="shared" ca="1" si="2"/>
        <v>7.5</v>
      </c>
    </row>
    <row r="33" spans="1:32" ht="14.15" customHeight="1" x14ac:dyDescent="0.2">
      <c r="A33" s="290">
        <f t="shared" ca="1" si="3"/>
        <v>46159</v>
      </c>
      <c r="B33" s="291"/>
      <c r="C33" s="80">
        <f ca="1">IF(A33="","",IF(WEEKDAY(A33,1)=1,1,IF(COUNTIF(祝日管理!B:B,A33)=1,"祝",WEEKDAY(A33,1))))</f>
        <v>1</v>
      </c>
      <c r="D33" s="292"/>
      <c r="E33" s="292"/>
      <c r="F33" s="292"/>
      <c r="G33" s="292"/>
      <c r="H33" s="292"/>
      <c r="I33" s="293"/>
      <c r="J33" s="298">
        <f t="shared" si="4"/>
        <v>0</v>
      </c>
      <c r="K33" s="294"/>
      <c r="L33" s="285">
        <f t="shared" si="5"/>
        <v>0</v>
      </c>
      <c r="M33" s="296"/>
      <c r="N33" s="297">
        <f t="shared" ca="1" si="6"/>
        <v>0</v>
      </c>
      <c r="O33" s="286"/>
      <c r="P33" s="285">
        <f t="shared" ca="1" si="7"/>
        <v>0</v>
      </c>
      <c r="Q33" s="286"/>
      <c r="R33" s="285">
        <f t="shared" ca="1" si="8"/>
        <v>0</v>
      </c>
      <c r="S33" s="286"/>
      <c r="T33" s="285">
        <f t="shared" ca="1" si="9"/>
        <v>0</v>
      </c>
      <c r="U33" s="286"/>
      <c r="V33" s="285">
        <f t="shared" ca="1" si="10"/>
        <v>0</v>
      </c>
      <c r="W33" s="286"/>
      <c r="X33" s="287" t="s">
        <v>187</v>
      </c>
      <c r="Y33" s="288"/>
      <c r="Z33" s="289"/>
      <c r="AA33" s="81"/>
      <c r="AB33" s="93">
        <f t="shared" ca="1" si="2"/>
        <v>0</v>
      </c>
      <c r="AD33" t="s">
        <v>214</v>
      </c>
    </row>
    <row r="34" spans="1:32" ht="14.15" customHeight="1" x14ac:dyDescent="0.2">
      <c r="A34" s="290">
        <f t="shared" ca="1" si="3"/>
        <v>46160</v>
      </c>
      <c r="B34" s="291"/>
      <c r="C34" s="80">
        <f ca="1">IF(A34="","",IF(WEEKDAY(A34,1)=1,1,IF(COUNTIF(祝日管理!B:B,A34)=1,"祝",WEEKDAY(A34,1))))</f>
        <v>2</v>
      </c>
      <c r="D34" s="292"/>
      <c r="E34" s="292"/>
      <c r="F34" s="292"/>
      <c r="G34" s="292"/>
      <c r="H34" s="292"/>
      <c r="I34" s="293"/>
      <c r="J34" s="298">
        <f t="shared" si="4"/>
        <v>0</v>
      </c>
      <c r="K34" s="294"/>
      <c r="L34" s="285">
        <f t="shared" si="5"/>
        <v>0</v>
      </c>
      <c r="M34" s="296"/>
      <c r="N34" s="297">
        <f t="shared" ca="1" si="6"/>
        <v>0</v>
      </c>
      <c r="O34" s="286"/>
      <c r="P34" s="285">
        <f t="shared" ca="1" si="7"/>
        <v>0</v>
      </c>
      <c r="Q34" s="286"/>
      <c r="R34" s="285">
        <f t="shared" ca="1" si="8"/>
        <v>0</v>
      </c>
      <c r="S34" s="286"/>
      <c r="T34" s="285">
        <f t="shared" ca="1" si="9"/>
        <v>0</v>
      </c>
      <c r="U34" s="286"/>
      <c r="V34" s="285">
        <f t="shared" ca="1" si="10"/>
        <v>0</v>
      </c>
      <c r="W34" s="286"/>
      <c r="X34" s="287" t="s">
        <v>185</v>
      </c>
      <c r="Y34" s="288"/>
      <c r="Z34" s="289"/>
      <c r="AA34" s="81"/>
      <c r="AB34" s="93">
        <f ca="1">IF(ISERROR((X34="")*(7.5-N34)),0,(X34="")*(7.5-N34))</f>
        <v>0</v>
      </c>
      <c r="AD34" t="s">
        <v>215</v>
      </c>
    </row>
    <row r="35" spans="1:32" ht="14.15" customHeight="1" x14ac:dyDescent="0.2">
      <c r="A35" s="290">
        <f t="shared" ca="1" si="3"/>
        <v>46161</v>
      </c>
      <c r="B35" s="291"/>
      <c r="C35" s="80">
        <f ca="1">IF(A35="","",IF(WEEKDAY(A35,1)=1,1,IF(COUNTIF(祝日管理!B:B,A35)=1,"祝",WEEKDAY(A35,1))))</f>
        <v>3</v>
      </c>
      <c r="D35" s="292"/>
      <c r="E35" s="292"/>
      <c r="F35" s="292"/>
      <c r="G35" s="292"/>
      <c r="H35" s="292"/>
      <c r="I35" s="293"/>
      <c r="J35" s="298">
        <f t="shared" si="4"/>
        <v>0</v>
      </c>
      <c r="K35" s="294"/>
      <c r="L35" s="285">
        <f t="shared" si="5"/>
        <v>0</v>
      </c>
      <c r="M35" s="296"/>
      <c r="N35" s="297">
        <f t="shared" ca="1" si="6"/>
        <v>0</v>
      </c>
      <c r="O35" s="286"/>
      <c r="P35" s="285">
        <f t="shared" ca="1" si="7"/>
        <v>0</v>
      </c>
      <c r="Q35" s="286"/>
      <c r="R35" s="285">
        <f t="shared" ca="1" si="8"/>
        <v>0</v>
      </c>
      <c r="S35" s="286"/>
      <c r="T35" s="285">
        <f t="shared" ca="1" si="9"/>
        <v>0</v>
      </c>
      <c r="U35" s="286"/>
      <c r="V35" s="285">
        <f t="shared" ca="1" si="10"/>
        <v>0</v>
      </c>
      <c r="W35" s="286"/>
      <c r="X35" s="287"/>
      <c r="Y35" s="288"/>
      <c r="Z35" s="289"/>
      <c r="AA35" s="81"/>
      <c r="AB35" s="93">
        <f ca="1">IF(ISERROR((X35="")*(7.5-N35)),0,(X35="")*(7.5-N35))</f>
        <v>7.5</v>
      </c>
    </row>
    <row r="36" spans="1:32" ht="14.15" customHeight="1" x14ac:dyDescent="0.2">
      <c r="A36" s="290">
        <f t="shared" ca="1" si="3"/>
        <v>46162</v>
      </c>
      <c r="B36" s="291"/>
      <c r="C36" s="80">
        <f ca="1">IF(A36="","",IF(WEEKDAY(A36,1)=1,1,IF(COUNTIF(祝日管理!B:B,A36)=1,"祝",WEEKDAY(A36,1))))</f>
        <v>4</v>
      </c>
      <c r="D36" s="292"/>
      <c r="E36" s="292"/>
      <c r="F36" s="292"/>
      <c r="G36" s="292"/>
      <c r="H36" s="292"/>
      <c r="I36" s="293"/>
      <c r="J36" s="298">
        <f t="shared" si="4"/>
        <v>0</v>
      </c>
      <c r="K36" s="294"/>
      <c r="L36" s="285">
        <f t="shared" si="5"/>
        <v>0</v>
      </c>
      <c r="M36" s="296"/>
      <c r="N36" s="297">
        <f t="shared" ca="1" si="6"/>
        <v>0</v>
      </c>
      <c r="O36" s="286"/>
      <c r="P36" s="285">
        <f t="shared" ca="1" si="7"/>
        <v>0</v>
      </c>
      <c r="Q36" s="286"/>
      <c r="R36" s="285">
        <f t="shared" ca="1" si="8"/>
        <v>0</v>
      </c>
      <c r="S36" s="286"/>
      <c r="T36" s="285">
        <f t="shared" ca="1" si="9"/>
        <v>0</v>
      </c>
      <c r="U36" s="286"/>
      <c r="V36" s="285">
        <f t="shared" ca="1" si="10"/>
        <v>0</v>
      </c>
      <c r="W36" s="286"/>
      <c r="X36" s="287"/>
      <c r="Y36" s="288"/>
      <c r="Z36" s="289"/>
      <c r="AA36" s="81"/>
      <c r="AB36" s="93">
        <f t="shared" ca="1" si="2"/>
        <v>7.5</v>
      </c>
    </row>
    <row r="37" spans="1:32" ht="14.15" customHeight="1" x14ac:dyDescent="0.2">
      <c r="A37" s="290">
        <f t="shared" ca="1" si="3"/>
        <v>46163</v>
      </c>
      <c r="B37" s="291"/>
      <c r="C37" s="80">
        <f ca="1">IF(A37="","",IF(WEEKDAY(A37,1)=1,1,IF(COUNTIF(祝日管理!B:B,A37)=1,"祝",WEEKDAY(A37,1))))</f>
        <v>5</v>
      </c>
      <c r="D37" s="292"/>
      <c r="E37" s="292"/>
      <c r="F37" s="292"/>
      <c r="G37" s="292"/>
      <c r="H37" s="292"/>
      <c r="I37" s="293"/>
      <c r="J37" s="298">
        <f t="shared" si="4"/>
        <v>0</v>
      </c>
      <c r="K37" s="294"/>
      <c r="L37" s="285">
        <f t="shared" si="5"/>
        <v>0</v>
      </c>
      <c r="M37" s="296"/>
      <c r="N37" s="297">
        <f t="shared" ca="1" si="6"/>
        <v>0</v>
      </c>
      <c r="O37" s="286"/>
      <c r="P37" s="285">
        <f t="shared" ca="1" si="7"/>
        <v>0</v>
      </c>
      <c r="Q37" s="286"/>
      <c r="R37" s="285">
        <f t="shared" ca="1" si="8"/>
        <v>0</v>
      </c>
      <c r="S37" s="286"/>
      <c r="T37" s="285">
        <f t="shared" ca="1" si="9"/>
        <v>0</v>
      </c>
      <c r="U37" s="286"/>
      <c r="V37" s="285">
        <f t="shared" ca="1" si="10"/>
        <v>0</v>
      </c>
      <c r="W37" s="286"/>
      <c r="X37" s="287"/>
      <c r="Y37" s="288"/>
      <c r="Z37" s="289"/>
      <c r="AA37" s="81"/>
      <c r="AB37" s="93">
        <f t="shared" ca="1" si="2"/>
        <v>7.5</v>
      </c>
    </row>
    <row r="38" spans="1:32" ht="14.15" customHeight="1" x14ac:dyDescent="0.2">
      <c r="A38" s="290">
        <f t="shared" ca="1" si="3"/>
        <v>46164</v>
      </c>
      <c r="B38" s="291"/>
      <c r="C38" s="80">
        <f ca="1">IF(A38="","",IF(WEEKDAY(A38,1)=1,1,IF(COUNTIF(祝日管理!B:B,A38)=1,"祝",WEEKDAY(A38,1))))</f>
        <v>6</v>
      </c>
      <c r="D38" s="292"/>
      <c r="E38" s="292"/>
      <c r="F38" s="292"/>
      <c r="G38" s="292"/>
      <c r="H38" s="292"/>
      <c r="I38" s="293"/>
      <c r="J38" s="298">
        <f t="shared" si="4"/>
        <v>0</v>
      </c>
      <c r="K38" s="294"/>
      <c r="L38" s="285">
        <f t="shared" si="5"/>
        <v>0</v>
      </c>
      <c r="M38" s="296"/>
      <c r="N38" s="297">
        <f t="shared" ca="1" si="6"/>
        <v>0</v>
      </c>
      <c r="O38" s="286"/>
      <c r="P38" s="285">
        <f t="shared" ca="1" si="7"/>
        <v>0</v>
      </c>
      <c r="Q38" s="286"/>
      <c r="R38" s="285">
        <f t="shared" ca="1" si="8"/>
        <v>0</v>
      </c>
      <c r="S38" s="286"/>
      <c r="T38" s="285">
        <f t="shared" ca="1" si="9"/>
        <v>0</v>
      </c>
      <c r="U38" s="286"/>
      <c r="V38" s="285">
        <f t="shared" ca="1" si="10"/>
        <v>0</v>
      </c>
      <c r="W38" s="286"/>
      <c r="X38" s="287"/>
      <c r="Y38" s="288"/>
      <c r="Z38" s="289"/>
      <c r="AA38" s="81"/>
      <c r="AB38" s="93">
        <f t="shared" ca="1" si="2"/>
        <v>7.5</v>
      </c>
    </row>
    <row r="39" spans="1:32" ht="14.15" customHeight="1" x14ac:dyDescent="0.2">
      <c r="A39" s="290">
        <f t="shared" ca="1" si="3"/>
        <v>46165</v>
      </c>
      <c r="B39" s="291"/>
      <c r="C39" s="80">
        <f ca="1">IF(A39="","",IF(WEEKDAY(A39,1)=1,1,IF(COUNTIF(祝日管理!B:B,A39)=1,"祝",WEEKDAY(A39,1))))</f>
        <v>7</v>
      </c>
      <c r="D39" s="292"/>
      <c r="E39" s="292"/>
      <c r="F39" s="292"/>
      <c r="G39" s="292"/>
      <c r="H39" s="292"/>
      <c r="I39" s="293"/>
      <c r="J39" s="298">
        <f t="shared" si="4"/>
        <v>0</v>
      </c>
      <c r="K39" s="294"/>
      <c r="L39" s="285">
        <f t="shared" si="5"/>
        <v>0</v>
      </c>
      <c r="M39" s="296"/>
      <c r="N39" s="297">
        <f t="shared" ca="1" si="6"/>
        <v>0</v>
      </c>
      <c r="O39" s="286"/>
      <c r="P39" s="285">
        <f t="shared" ca="1" si="7"/>
        <v>0</v>
      </c>
      <c r="Q39" s="286"/>
      <c r="R39" s="285">
        <f t="shared" ca="1" si="8"/>
        <v>0</v>
      </c>
      <c r="S39" s="286"/>
      <c r="T39" s="285">
        <f t="shared" ca="1" si="9"/>
        <v>0</v>
      </c>
      <c r="U39" s="286"/>
      <c r="V39" s="285">
        <f t="shared" ca="1" si="10"/>
        <v>0</v>
      </c>
      <c r="W39" s="286"/>
      <c r="X39" s="287"/>
      <c r="Y39" s="288"/>
      <c r="Z39" s="289"/>
      <c r="AA39" s="81"/>
      <c r="AB39" s="93">
        <f t="shared" ca="1" si="2"/>
        <v>7.5</v>
      </c>
    </row>
    <row r="40" spans="1:32" ht="14.15" customHeight="1" x14ac:dyDescent="0.2">
      <c r="A40" s="290">
        <f t="shared" ca="1" si="3"/>
        <v>46166</v>
      </c>
      <c r="B40" s="291"/>
      <c r="C40" s="80">
        <f ca="1">IF(A40="","",IF(WEEKDAY(A40,1)=1,1,IF(COUNTIF(祝日管理!B:B,A40)=1,"祝",WEEKDAY(A40,1))))</f>
        <v>1</v>
      </c>
      <c r="D40" s="292"/>
      <c r="E40" s="292"/>
      <c r="F40" s="292"/>
      <c r="G40" s="292"/>
      <c r="H40" s="292"/>
      <c r="I40" s="293"/>
      <c r="J40" s="298">
        <f t="shared" si="4"/>
        <v>0</v>
      </c>
      <c r="K40" s="294"/>
      <c r="L40" s="285">
        <f t="shared" si="5"/>
        <v>0</v>
      </c>
      <c r="M40" s="296"/>
      <c r="N40" s="297">
        <f t="shared" ca="1" si="6"/>
        <v>0</v>
      </c>
      <c r="O40" s="286"/>
      <c r="P40" s="285">
        <f t="shared" ca="1" si="7"/>
        <v>0</v>
      </c>
      <c r="Q40" s="286"/>
      <c r="R40" s="285">
        <f t="shared" ca="1" si="8"/>
        <v>0</v>
      </c>
      <c r="S40" s="286"/>
      <c r="T40" s="285">
        <f t="shared" ca="1" si="9"/>
        <v>0</v>
      </c>
      <c r="U40" s="286"/>
      <c r="V40" s="285">
        <f t="shared" ca="1" si="10"/>
        <v>0</v>
      </c>
      <c r="W40" s="286"/>
      <c r="X40" s="287" t="s">
        <v>187</v>
      </c>
      <c r="Y40" s="288"/>
      <c r="Z40" s="289"/>
      <c r="AA40" s="81"/>
      <c r="AB40" s="93">
        <f t="shared" ca="1" si="2"/>
        <v>0</v>
      </c>
    </row>
    <row r="41" spans="1:32" ht="14.15" customHeight="1" x14ac:dyDescent="0.2">
      <c r="A41" s="290">
        <f t="shared" ca="1" si="3"/>
        <v>46167</v>
      </c>
      <c r="B41" s="291"/>
      <c r="C41" s="80">
        <f ca="1">IF(A41="","",IF(WEEKDAY(A41,1)=1,1,IF(COUNTIF(祝日管理!B:B,A41)=1,"祝",WEEKDAY(A41,1))))</f>
        <v>2</v>
      </c>
      <c r="D41" s="292"/>
      <c r="E41" s="292"/>
      <c r="F41" s="292"/>
      <c r="G41" s="292"/>
      <c r="H41" s="292"/>
      <c r="I41" s="293"/>
      <c r="J41" s="298">
        <f t="shared" si="4"/>
        <v>0</v>
      </c>
      <c r="K41" s="294"/>
      <c r="L41" s="285">
        <f t="shared" si="5"/>
        <v>0</v>
      </c>
      <c r="M41" s="296"/>
      <c r="N41" s="297">
        <f t="shared" ca="1" si="6"/>
        <v>0</v>
      </c>
      <c r="O41" s="286"/>
      <c r="P41" s="285">
        <f t="shared" ca="1" si="7"/>
        <v>0</v>
      </c>
      <c r="Q41" s="286"/>
      <c r="R41" s="285">
        <f t="shared" ca="1" si="8"/>
        <v>0</v>
      </c>
      <c r="S41" s="286"/>
      <c r="T41" s="285">
        <f t="shared" ca="1" si="9"/>
        <v>0</v>
      </c>
      <c r="U41" s="286"/>
      <c r="V41" s="285">
        <f t="shared" ca="1" si="10"/>
        <v>0</v>
      </c>
      <c r="W41" s="286"/>
      <c r="X41" s="287" t="s">
        <v>185</v>
      </c>
      <c r="Y41" s="288"/>
      <c r="Z41" s="289"/>
      <c r="AA41" s="81"/>
      <c r="AB41" s="93">
        <f t="shared" ca="1" si="2"/>
        <v>0</v>
      </c>
    </row>
    <row r="42" spans="1:32" ht="14.15" customHeight="1" x14ac:dyDescent="0.2">
      <c r="A42" s="290">
        <f t="shared" ca="1" si="3"/>
        <v>46168</v>
      </c>
      <c r="B42" s="291"/>
      <c r="C42" s="80">
        <f ca="1">IF(A42="","",IF(WEEKDAY(A42,1)=1,1,IF(COUNTIF(祝日管理!B:B,A42)=1,"祝",WEEKDAY(A42,1))))</f>
        <v>3</v>
      </c>
      <c r="D42" s="292"/>
      <c r="E42" s="292"/>
      <c r="F42" s="292"/>
      <c r="G42" s="292"/>
      <c r="H42" s="292"/>
      <c r="I42" s="293"/>
      <c r="J42" s="298">
        <f t="shared" si="4"/>
        <v>0</v>
      </c>
      <c r="K42" s="294"/>
      <c r="L42" s="285">
        <f t="shared" si="5"/>
        <v>0</v>
      </c>
      <c r="M42" s="296"/>
      <c r="N42" s="297">
        <f t="shared" ca="1" si="6"/>
        <v>0</v>
      </c>
      <c r="O42" s="286"/>
      <c r="P42" s="285">
        <f t="shared" ca="1" si="7"/>
        <v>0</v>
      </c>
      <c r="Q42" s="286"/>
      <c r="R42" s="285">
        <f t="shared" ca="1" si="8"/>
        <v>0</v>
      </c>
      <c r="S42" s="286"/>
      <c r="T42" s="285">
        <f t="shared" ca="1" si="9"/>
        <v>0</v>
      </c>
      <c r="U42" s="286"/>
      <c r="V42" s="285">
        <f t="shared" ca="1" si="10"/>
        <v>0</v>
      </c>
      <c r="W42" s="286"/>
      <c r="X42" s="287"/>
      <c r="Y42" s="288"/>
      <c r="Z42" s="289"/>
      <c r="AA42" s="81"/>
      <c r="AB42" s="93">
        <f t="shared" ca="1" si="2"/>
        <v>7.5</v>
      </c>
    </row>
    <row r="43" spans="1:32" ht="14.15" customHeight="1" x14ac:dyDescent="0.2">
      <c r="A43" s="290">
        <f t="shared" ca="1" si="3"/>
        <v>46169</v>
      </c>
      <c r="B43" s="291"/>
      <c r="C43" s="80">
        <f ca="1">IF(A43="","",IF(WEEKDAY(A43,1)=1,1,IF(COUNTIF(祝日管理!B:B,A43)=1,"祝",WEEKDAY(A43,1))))</f>
        <v>4</v>
      </c>
      <c r="D43" s="292"/>
      <c r="E43" s="292"/>
      <c r="F43" s="292"/>
      <c r="G43" s="292"/>
      <c r="H43" s="292"/>
      <c r="I43" s="293"/>
      <c r="J43" s="298">
        <f t="shared" si="4"/>
        <v>0</v>
      </c>
      <c r="K43" s="294"/>
      <c r="L43" s="285">
        <f t="shared" si="5"/>
        <v>0</v>
      </c>
      <c r="M43" s="296"/>
      <c r="N43" s="297">
        <f t="shared" ca="1" si="6"/>
        <v>0</v>
      </c>
      <c r="O43" s="286"/>
      <c r="P43" s="285">
        <f t="shared" ca="1" si="7"/>
        <v>0</v>
      </c>
      <c r="Q43" s="286"/>
      <c r="R43" s="285">
        <f t="shared" ca="1" si="8"/>
        <v>0</v>
      </c>
      <c r="S43" s="286"/>
      <c r="T43" s="285">
        <f t="shared" ca="1" si="9"/>
        <v>0</v>
      </c>
      <c r="U43" s="286"/>
      <c r="V43" s="285">
        <f t="shared" ca="1" si="10"/>
        <v>0</v>
      </c>
      <c r="W43" s="286"/>
      <c r="X43" s="287"/>
      <c r="Y43" s="288"/>
      <c r="Z43" s="289"/>
      <c r="AA43" s="81"/>
      <c r="AB43" s="93">
        <f t="shared" ca="1" si="2"/>
        <v>7.5</v>
      </c>
    </row>
    <row r="44" spans="1:32" ht="14.15" customHeight="1" x14ac:dyDescent="0.2">
      <c r="A44" s="290">
        <f t="shared" ca="1" si="3"/>
        <v>46170</v>
      </c>
      <c r="B44" s="291"/>
      <c r="C44" s="80">
        <f ca="1">IF(A44="","",IF(WEEKDAY(A44,1)=1,1,IF(COUNTIF(祝日管理!B:B,A44)=1,"祝",WEEKDAY(A44,1))))</f>
        <v>5</v>
      </c>
      <c r="D44" s="292"/>
      <c r="E44" s="292"/>
      <c r="F44" s="292"/>
      <c r="G44" s="292"/>
      <c r="H44" s="292"/>
      <c r="I44" s="293"/>
      <c r="J44" s="298">
        <f t="shared" si="4"/>
        <v>0</v>
      </c>
      <c r="K44" s="294"/>
      <c r="L44" s="285">
        <f t="shared" si="5"/>
        <v>0</v>
      </c>
      <c r="M44" s="296"/>
      <c r="N44" s="297">
        <f t="shared" ca="1" si="6"/>
        <v>0</v>
      </c>
      <c r="O44" s="286"/>
      <c r="P44" s="285">
        <f t="shared" ca="1" si="7"/>
        <v>0</v>
      </c>
      <c r="Q44" s="286"/>
      <c r="R44" s="285">
        <f t="shared" ca="1" si="8"/>
        <v>0</v>
      </c>
      <c r="S44" s="286"/>
      <c r="T44" s="285">
        <f t="shared" ca="1" si="9"/>
        <v>0</v>
      </c>
      <c r="U44" s="286"/>
      <c r="V44" s="285">
        <f t="shared" ca="1" si="10"/>
        <v>0</v>
      </c>
      <c r="W44" s="286"/>
      <c r="X44" s="287"/>
      <c r="Y44" s="288"/>
      <c r="Z44" s="289"/>
      <c r="AA44" s="81"/>
      <c r="AB44" s="93">
        <f t="shared" ca="1" si="2"/>
        <v>7.5</v>
      </c>
    </row>
    <row r="45" spans="1:32" ht="14.15" customHeight="1" x14ac:dyDescent="0.2">
      <c r="A45" s="290">
        <f ca="1">IF(DAY(A44+1)=29,A44+1,"")</f>
        <v>46171</v>
      </c>
      <c r="B45" s="291"/>
      <c r="C45" s="80">
        <f ca="1">IF(A45="","",IF(WEEKDAY(A45,1)=1,1,IF(COUNTIF(祝日管理!B:B,A45)=1,"祝",WEEKDAY(A45,1))))</f>
        <v>6</v>
      </c>
      <c r="D45" s="292"/>
      <c r="E45" s="292"/>
      <c r="F45" s="292"/>
      <c r="G45" s="292"/>
      <c r="H45" s="292"/>
      <c r="I45" s="293"/>
      <c r="J45" s="298">
        <f t="shared" si="4"/>
        <v>0</v>
      </c>
      <c r="K45" s="294"/>
      <c r="L45" s="285">
        <f t="shared" si="5"/>
        <v>0</v>
      </c>
      <c r="M45" s="296"/>
      <c r="N45" s="297">
        <f t="shared" ca="1" si="6"/>
        <v>0</v>
      </c>
      <c r="O45" s="286"/>
      <c r="P45" s="285">
        <f t="shared" ca="1" si="7"/>
        <v>0</v>
      </c>
      <c r="Q45" s="286"/>
      <c r="R45" s="285">
        <f t="shared" ca="1" si="8"/>
        <v>0</v>
      </c>
      <c r="S45" s="286"/>
      <c r="T45" s="285">
        <f t="shared" ca="1" si="9"/>
        <v>0</v>
      </c>
      <c r="U45" s="286"/>
      <c r="V45" s="285">
        <f t="shared" ca="1" si="10"/>
        <v>0</v>
      </c>
      <c r="W45" s="286"/>
      <c r="X45" s="287"/>
      <c r="Y45" s="288"/>
      <c r="Z45" s="289"/>
      <c r="AA45" s="82"/>
      <c r="AB45" s="93">
        <f t="shared" ca="1" si="2"/>
        <v>7.5</v>
      </c>
    </row>
    <row r="46" spans="1:32" ht="14.15" customHeight="1" x14ac:dyDescent="0.2">
      <c r="A46" s="290">
        <f ca="1">IF(A45="","",IF(DAY(A45+1)=30,A45+1,""))</f>
        <v>46172</v>
      </c>
      <c r="B46" s="291"/>
      <c r="C46" s="80">
        <f ca="1">IF(A46="","",IF(WEEKDAY(A46,1)=1,1,IF(COUNTIF(祝日管理!B:B,A46)=1,"祝",WEEKDAY(A46,1))))</f>
        <v>7</v>
      </c>
      <c r="D46" s="292"/>
      <c r="E46" s="292"/>
      <c r="F46" s="292"/>
      <c r="G46" s="292"/>
      <c r="H46" s="292"/>
      <c r="I46" s="293"/>
      <c r="J46" s="298">
        <f t="shared" si="4"/>
        <v>0</v>
      </c>
      <c r="K46" s="294"/>
      <c r="L46" s="285">
        <f t="shared" si="5"/>
        <v>0</v>
      </c>
      <c r="M46" s="296"/>
      <c r="N46" s="297">
        <f t="shared" ca="1" si="6"/>
        <v>0</v>
      </c>
      <c r="O46" s="286"/>
      <c r="P46" s="285">
        <f t="shared" ca="1" si="7"/>
        <v>0</v>
      </c>
      <c r="Q46" s="286"/>
      <c r="R46" s="285">
        <f t="shared" ca="1" si="8"/>
        <v>0</v>
      </c>
      <c r="S46" s="286"/>
      <c r="T46" s="285">
        <f t="shared" ca="1" si="9"/>
        <v>0</v>
      </c>
      <c r="U46" s="286"/>
      <c r="V46" s="285">
        <f t="shared" ca="1" si="10"/>
        <v>0</v>
      </c>
      <c r="W46" s="286"/>
      <c r="X46" s="287"/>
      <c r="Y46" s="288"/>
      <c r="Z46" s="289"/>
      <c r="AA46" s="81"/>
      <c r="AB46" s="93">
        <f t="shared" ca="1" si="2"/>
        <v>7.5</v>
      </c>
      <c r="AF46">
        <f>+時間・月額</f>
        <v>250000</v>
      </c>
    </row>
    <row r="47" spans="1:32" ht="14.15" customHeight="1" thickBot="1" x14ac:dyDescent="0.25">
      <c r="A47" s="290">
        <f ca="1">IF(A46="","",IF(DAY(A46+1)=31,A46+1,""))</f>
        <v>46173</v>
      </c>
      <c r="B47" s="291"/>
      <c r="C47" s="80">
        <f ca="1">IF(A47="","",IF(WEEKDAY(A47,1)=1,1,IF(COUNTIF(祝日管理!B:B,A47)=1,"祝",WEEKDAY(A47,1))))</f>
        <v>1</v>
      </c>
      <c r="D47" s="292"/>
      <c r="E47" s="292"/>
      <c r="F47" s="292"/>
      <c r="G47" s="292"/>
      <c r="H47" s="292"/>
      <c r="I47" s="293"/>
      <c r="J47" s="294">
        <f t="shared" si="4"/>
        <v>0</v>
      </c>
      <c r="K47" s="295"/>
      <c r="L47" s="285">
        <f t="shared" si="5"/>
        <v>0</v>
      </c>
      <c r="M47" s="296"/>
      <c r="N47" s="283">
        <f t="shared" ca="1" si="6"/>
        <v>0</v>
      </c>
      <c r="O47" s="284"/>
      <c r="P47" s="285">
        <f t="shared" ca="1" si="7"/>
        <v>0</v>
      </c>
      <c r="Q47" s="286"/>
      <c r="R47" s="285">
        <f t="shared" ca="1" si="8"/>
        <v>0</v>
      </c>
      <c r="S47" s="286"/>
      <c r="T47" s="285">
        <f t="shared" ca="1" si="9"/>
        <v>0</v>
      </c>
      <c r="U47" s="286"/>
      <c r="V47" s="285">
        <f t="shared" ca="1" si="10"/>
        <v>0</v>
      </c>
      <c r="W47" s="286"/>
      <c r="X47" s="287" t="s">
        <v>187</v>
      </c>
      <c r="Y47" s="288"/>
      <c r="Z47" s="289"/>
      <c r="AA47" s="81"/>
      <c r="AB47" s="93">
        <f ca="1">IF(ISERROR((X47="")*(7.5-N47)),0,(X47="")*(7.5-N47))</f>
        <v>0</v>
      </c>
    </row>
    <row r="48" spans="1:32" ht="14.15" customHeight="1" thickBot="1" x14ac:dyDescent="0.25">
      <c r="A48" s="274" t="s">
        <v>56</v>
      </c>
      <c r="B48" s="275"/>
      <c r="C48" s="35"/>
      <c r="D48" s="276"/>
      <c r="E48" s="277"/>
      <c r="F48" s="276"/>
      <c r="G48" s="277"/>
      <c r="H48" s="276"/>
      <c r="I48" s="278"/>
      <c r="J48" s="279"/>
      <c r="K48" s="280"/>
      <c r="L48" s="281" t="s">
        <v>198</v>
      </c>
      <c r="M48" s="282"/>
      <c r="N48" s="265"/>
      <c r="O48" s="266"/>
      <c r="P48" s="267" t="s">
        <v>200</v>
      </c>
      <c r="Q48" s="268"/>
      <c r="R48" s="265"/>
      <c r="S48" s="266"/>
      <c r="T48" s="269"/>
      <c r="U48" s="270"/>
      <c r="V48" s="269"/>
      <c r="W48" s="270"/>
      <c r="X48" s="271"/>
      <c r="Y48" s="272"/>
      <c r="Z48" s="273"/>
      <c r="AA48" s="66"/>
      <c r="AB48" t="s">
        <v>191</v>
      </c>
    </row>
    <row r="49" spans="1:34" ht="14.15" customHeight="1" x14ac:dyDescent="0.2">
      <c r="A49" s="255" t="s">
        <v>196</v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8">
        <f>SUM(L17:M47)+N48</f>
        <v>0</v>
      </c>
      <c r="M49" s="259"/>
      <c r="N49" s="260">
        <f ca="1">ROUNDDOWN((SUM(N17:O48)+0.01)*4,0)/4</f>
        <v>0</v>
      </c>
      <c r="O49" s="261"/>
      <c r="P49" s="262">
        <f ca="1">ROUNDDOWN((SUM(P17:Q47)+0.01)*4,0)/4</f>
        <v>0</v>
      </c>
      <c r="Q49" s="263"/>
      <c r="R49" s="242">
        <f ca="1">ROUNDDOWN((SUM(R17:S47)+0.01)*4,0)/4</f>
        <v>0</v>
      </c>
      <c r="S49" s="264"/>
      <c r="T49" s="242">
        <f ca="1">ROUNDDOWN((SUM(T17:U47)+0.01)*4,0)/4</f>
        <v>0</v>
      </c>
      <c r="U49" s="243"/>
      <c r="V49" s="242">
        <f ca="1">ROUNDDOWN((SUM(V17:W47)+0.01)*4,0)/4</f>
        <v>0</v>
      </c>
      <c r="W49" s="243"/>
      <c r="X49" s="244">
        <f ca="1">SUM(通常時間計:休日深夜時間計)</f>
        <v>0</v>
      </c>
      <c r="Y49" s="245"/>
      <c r="Z49" s="245"/>
      <c r="AA49" s="64" t="s">
        <v>142</v>
      </c>
    </row>
    <row r="50" spans="1:34" ht="14.15" customHeight="1" thickBot="1" x14ac:dyDescent="0.25">
      <c r="A50" s="246" t="s">
        <v>106</v>
      </c>
      <c r="B50" s="246"/>
      <c r="C50" s="246"/>
      <c r="D50" s="246"/>
      <c r="E50" s="246"/>
      <c r="F50" s="246"/>
      <c r="G50" s="246"/>
      <c r="H50" s="246"/>
      <c r="I50" s="246"/>
      <c r="J50" s="246"/>
      <c r="K50" s="246"/>
      <c r="L50" s="247">
        <f ca="1">SUM(N50:W50)</f>
        <v>0</v>
      </c>
      <c r="M50" s="248"/>
      <c r="N50" s="249">
        <f ca="1">通常時間計</f>
        <v>0</v>
      </c>
      <c r="O50" s="250"/>
      <c r="P50" s="249">
        <f ca="1">IF(給与体系="140-160時間制",超過勤務時間計,MAX(0,超過勤務時間計+深夜残業時間計-60)*0.25+超過勤務時間計*1.25)</f>
        <v>0</v>
      </c>
      <c r="Q50" s="250"/>
      <c r="R50" s="251">
        <f ca="1">IF(給与体系="140-160時間制",深夜残業時間計,深夜残業時間計*1.5)</f>
        <v>0</v>
      </c>
      <c r="S50" s="252"/>
      <c r="T50" s="251">
        <f ca="1">IF(給与体系="140-160時間制",休日出勤時間計,休日出勤時間計*1.35)</f>
        <v>0</v>
      </c>
      <c r="U50" s="252"/>
      <c r="V50" s="251">
        <f ca="1">IF(給与体系="140-160時間制",休日深夜時間計,休日深夜時間計*1.6)</f>
        <v>0</v>
      </c>
      <c r="W50" s="252"/>
      <c r="X50" s="253">
        <f ca="1">SUM(N50:W50)</f>
        <v>0</v>
      </c>
      <c r="Y50" s="254"/>
      <c r="Z50" s="254"/>
      <c r="AA50" s="88">
        <f>+'4月'!AA50</f>
        <v>45748</v>
      </c>
      <c r="AB50" s="98">
        <f ca="1">+IFERROR(((MAX(0,超過勤務時間計+深夜残業時間計-60)*0.25+(超過勤務時間計+深夜残業時間計)*1.25))/(超過勤務時間計+深夜残業時間計),0)</f>
        <v>0</v>
      </c>
      <c r="AC50" s="2" t="s">
        <v>158</v>
      </c>
      <c r="AD50" s="2"/>
      <c r="AE50" s="231"/>
      <c r="AF50" s="231"/>
      <c r="AG50" s="60"/>
      <c r="AH50" s="61"/>
    </row>
    <row r="51" spans="1:34" ht="14.15" customHeight="1" thickTop="1" thickBot="1" x14ac:dyDescent="0.25">
      <c r="A51" s="232" t="s">
        <v>38</v>
      </c>
      <c r="B51" s="233"/>
      <c r="C51" s="234">
        <f>COUNTA(D17:D47)-W51-W52</f>
        <v>0</v>
      </c>
      <c r="D51" s="235"/>
      <c r="E51" s="236" t="s">
        <v>32</v>
      </c>
      <c r="F51" s="233"/>
      <c r="G51" s="237">
        <f>+COUNTIF($X17:$Z47,E51)</f>
        <v>0</v>
      </c>
      <c r="H51" s="238"/>
      <c r="I51" s="169" t="s">
        <v>111</v>
      </c>
      <c r="J51" s="170"/>
      <c r="K51" s="167">
        <f>+COUNTIF($X17:$Z47,I51)</f>
        <v>0</v>
      </c>
      <c r="L51" s="168"/>
      <c r="M51" s="169" t="s">
        <v>113</v>
      </c>
      <c r="N51" s="170"/>
      <c r="O51" s="167">
        <f>+COUNTIF($X17:$Z47,M51)</f>
        <v>0</v>
      </c>
      <c r="P51" s="168"/>
      <c r="Q51" s="169" t="s">
        <v>112</v>
      </c>
      <c r="R51" s="170"/>
      <c r="S51" s="167">
        <f>+COUNTIF($X17:$Z47,Q51)</f>
        <v>0</v>
      </c>
      <c r="T51" s="168"/>
      <c r="U51" s="169" t="s">
        <v>123</v>
      </c>
      <c r="V51" s="170"/>
      <c r="W51" s="171">
        <f>+K51+(O51+S51)/2</f>
        <v>0</v>
      </c>
      <c r="X51" s="172"/>
      <c r="Y51" s="208" t="s">
        <v>124</v>
      </c>
      <c r="Z51" s="209"/>
      <c r="AA51" s="63">
        <f>+AA52-W51-AA53</f>
        <v>35</v>
      </c>
      <c r="AB51" t="s">
        <v>174</v>
      </c>
    </row>
    <row r="52" spans="1:34" ht="14.15" customHeight="1" thickTop="1" thickBot="1" x14ac:dyDescent="0.25">
      <c r="A52" s="239" t="s">
        <v>153</v>
      </c>
      <c r="B52" s="239"/>
      <c r="C52" s="239"/>
      <c r="D52" s="239"/>
      <c r="E52" s="239"/>
      <c r="F52" s="240">
        <f>テーブル!O7</f>
        <v>250000</v>
      </c>
      <c r="G52" s="240"/>
      <c r="H52" s="241"/>
      <c r="I52" s="169" t="s">
        <v>126</v>
      </c>
      <c r="J52" s="170"/>
      <c r="K52" s="167">
        <f>+COUNTIF($X17:$Z47,"*全*")-COUNTIF($X17:$Z47,"*欠勤(全*")-COUNTIF($X17:$Z47,"*振休(全*")-COUNTIF($X17:$Z47,"*代休(全*")-K51</f>
        <v>0</v>
      </c>
      <c r="L52" s="168"/>
      <c r="M52" s="169" t="s">
        <v>135</v>
      </c>
      <c r="N52" s="170"/>
      <c r="O52" s="167">
        <f>+COUNTIF($X17:$Z47,"*AM*")-COUNTIF($X17:$Z47,"*欠勤(A*")-COUNTIF($X17:$Z47,"*代休(A*")-O51</f>
        <v>0</v>
      </c>
      <c r="P52" s="168"/>
      <c r="Q52" s="169" t="s">
        <v>136</v>
      </c>
      <c r="R52" s="170"/>
      <c r="S52" s="167">
        <f>+COUNTIF($X17:$Z47,"*PM*")-COUNTIF($X17:$Z47,"*代休(P*")-S51</f>
        <v>0</v>
      </c>
      <c r="T52" s="168"/>
      <c r="U52" s="169" t="s">
        <v>127</v>
      </c>
      <c r="V52" s="170"/>
      <c r="W52" s="171">
        <f>+K52+(O52+S52)/2</f>
        <v>0</v>
      </c>
      <c r="X52" s="172"/>
      <c r="Y52" s="208" t="s">
        <v>125</v>
      </c>
      <c r="Z52" s="209"/>
      <c r="AA52" s="62">
        <f>'4月'!$AA$51</f>
        <v>35</v>
      </c>
      <c r="AB52" t="s">
        <v>173</v>
      </c>
    </row>
    <row r="53" spans="1:34" ht="14.15" customHeight="1" thickTop="1" thickBot="1" x14ac:dyDescent="0.25">
      <c r="A53" s="224"/>
      <c r="B53" s="225"/>
      <c r="C53" s="226"/>
      <c r="D53" s="227" t="s">
        <v>21</v>
      </c>
      <c r="E53" s="228"/>
      <c r="F53" s="33"/>
      <c r="G53" s="228" t="s">
        <v>22</v>
      </c>
      <c r="H53" s="228"/>
      <c r="I53" s="34"/>
      <c r="J53" s="229"/>
      <c r="K53" s="225"/>
      <c r="L53" s="230"/>
      <c r="M53" s="27"/>
      <c r="N53" s="28"/>
      <c r="O53" s="32"/>
      <c r="P53" s="4"/>
      <c r="S53" s="4"/>
      <c r="Y53" s="208" t="s">
        <v>166</v>
      </c>
      <c r="Z53" s="209"/>
      <c r="AA53" s="63">
        <v>0</v>
      </c>
      <c r="AB53" t="s">
        <v>167</v>
      </c>
    </row>
    <row r="54" spans="1:34" ht="14.15" customHeight="1" thickTop="1" thickBot="1" x14ac:dyDescent="0.25">
      <c r="A54" s="217" t="s">
        <v>256</v>
      </c>
      <c r="B54" s="218"/>
      <c r="C54" s="218"/>
      <c r="D54" s="219" t="e">
        <f ca="1">ROUNDUP(IF(給与種別=0,時間・月額+手当１金額,IF(給与体系="時給制",(時間・月額+手当１金額/150),(時間・月額+手当１金額)/SUMIF(テーブル_勤務時間,給与体系,テーブル!C:C))),0)</f>
        <v>#DIV/0!</v>
      </c>
      <c r="E54" s="220"/>
      <c r="F54" s="99" t="s">
        <v>39</v>
      </c>
      <c r="G54" s="195">
        <f ca="1">+IF(給与種別=0,1,IF(給与体系&lt;&gt;"時給制",SUMIF(テーブル_勤務時間,給与体系,テーブル!K:K),通常時間計))</f>
        <v>0</v>
      </c>
      <c r="H54" s="195"/>
      <c r="I54" s="100" t="str">
        <f ca="1">IF(給与種別=2,"h","m")</f>
        <v>h</v>
      </c>
      <c r="J54" s="221">
        <f ca="1">IF(給与体系="時給制",基本給単価*基本給時間,SUMIF(テーブル!U2:U13,当月,テーブル!V2:V13))</f>
        <v>0</v>
      </c>
      <c r="K54" s="222"/>
      <c r="L54" s="223"/>
      <c r="M54" s="4"/>
      <c r="N54" s="202" t="s">
        <v>188</v>
      </c>
      <c r="O54" s="203"/>
      <c r="P54" s="203"/>
      <c r="Q54" s="204">
        <f>(合計_15分未満切捨て-(K51+K52)*7.5-(O51+O52)*3-(S51+S52)*4.5)</f>
        <v>0</v>
      </c>
      <c r="R54" s="205"/>
      <c r="S54" s="206"/>
      <c r="T54" s="207"/>
      <c r="U54" s="92" t="s">
        <v>197</v>
      </c>
      <c r="Y54" s="208" t="s">
        <v>203</v>
      </c>
      <c r="Z54" s="209"/>
      <c r="AA54" s="63">
        <f>+SUM('5月'!W51:X51)</f>
        <v>0</v>
      </c>
      <c r="AB54" t="s">
        <v>204</v>
      </c>
    </row>
    <row r="55" spans="1:34" ht="14.15" customHeight="1" thickTop="1" thickBot="1" x14ac:dyDescent="0.25">
      <c r="A55" s="192" t="str">
        <f ca="1">+IF(給与体系="時給制","超過勤務","みなし給")</f>
        <v>みなし給</v>
      </c>
      <c r="B55" s="193"/>
      <c r="C55" s="194"/>
      <c r="D55" s="210" t="e">
        <f ca="1">IF(給与体系="140-160時間制",基本給単価/4,IF(時間外係数=0,基本給単価*1.25,ROUNDUP(IF(給与体系="時給制",(時間・月額+手当１金額/150)*時間外係数,(時間・月額+手当１金額)/SUMIF(テーブル_勤務時間,給与体系,テーブル!C:C)*SUMIF(テーブル_勤務時間,給与体系,テーブル!E:E)),0)))</f>
        <v>#DIV/0!</v>
      </c>
      <c r="E55" s="211"/>
      <c r="F55" s="99" t="s">
        <v>39</v>
      </c>
      <c r="G55" s="195">
        <f ca="1">+IF(給与体系="時給制",超過勤務時間計,SUMIF(テーブル_勤務時間,給与体系,テーブル_みなし時間))</f>
        <v>0</v>
      </c>
      <c r="H55" s="195"/>
      <c r="I55" s="100" t="s">
        <v>40</v>
      </c>
      <c r="J55" s="212">
        <f ca="1">IF(みなし給時間="","",IF(給与体系="時給制",みなし給単価*みなし給時間,SUMIF(テーブル!U2:U13,当月,テーブル!W2:W13)))</f>
        <v>0</v>
      </c>
      <c r="K55" s="213"/>
      <c r="L55" s="214"/>
      <c r="M55" s="4"/>
      <c r="N55" s="215" t="s">
        <v>189</v>
      </c>
      <c r="O55" s="216"/>
      <c r="P55" s="216"/>
      <c r="Q55" s="204">
        <f>+N48+R48*7.5</f>
        <v>0</v>
      </c>
      <c r="R55" s="205"/>
      <c r="S55" s="206"/>
      <c r="T55" s="207"/>
      <c r="U55" s="92" t="s">
        <v>201</v>
      </c>
      <c r="AA55" s="87" t="s">
        <v>192</v>
      </c>
    </row>
    <row r="56" spans="1:34" ht="14.15" customHeight="1" thickTop="1" thickBot="1" x14ac:dyDescent="0.25">
      <c r="A56" s="192" t="str">
        <f ca="1">+IF(給与体系="時給制","深夜残業","月額給")</f>
        <v>月額給</v>
      </c>
      <c r="B56" s="193"/>
      <c r="C56" s="194"/>
      <c r="D56" s="200" t="e">
        <f ca="1">IF(給与体系="時給制",ROUND(基本給単価*(1.5+MAX(0,時間外係数-1.25)),0),IF(給与体系="月給制","",VLOOKUP(給与体系,テーブル!B:F,5,0)))</f>
        <v>#N/A</v>
      </c>
      <c r="E56" s="201"/>
      <c r="F56" s="99" t="str">
        <f ca="1">+IF(給与体系="時給制","＊",IF(給与体系="月給制","","－"))</f>
        <v>－</v>
      </c>
      <c r="G56" s="195" t="e">
        <f ca="1">+IF(給与体系="時給制",深夜残業時間計,IF(給与体系="月給制","月額給",VLOOKUP(給与体系,テーブル!B:G,6,0)))</f>
        <v>#N/A</v>
      </c>
      <c r="H56" s="195"/>
      <c r="I56" s="100" t="str">
        <f ca="1">+IF(給与体系="時給制","h","制")</f>
        <v>制</v>
      </c>
      <c r="J56" s="179">
        <f ca="1">IF(給与体系="時給制",D56*G56,基本給+みなし給)</f>
        <v>0</v>
      </c>
      <c r="K56" s="180"/>
      <c r="L56" s="181"/>
      <c r="M56" s="4"/>
      <c r="N56" s="202" t="s">
        <v>190</v>
      </c>
      <c r="O56" s="203"/>
      <c r="P56" s="203"/>
      <c r="Q56" s="204">
        <f>+Q54-Q55</f>
        <v>0</v>
      </c>
      <c r="R56" s="205"/>
      <c r="S56" s="206"/>
      <c r="T56" s="207"/>
      <c r="U56" s="92" t="s">
        <v>199</v>
      </c>
      <c r="AA56" s="86">
        <f>IF(D62="テレワーク手当",J62/400,IF(D63="テレワーク手当",J63/400,IF(D64="テレワーク手当",J64/400,0)))</f>
        <v>0</v>
      </c>
      <c r="AB56" t="s">
        <v>193</v>
      </c>
    </row>
    <row r="57" spans="1:34" ht="14.15" customHeight="1" thickTop="1" thickBot="1" x14ac:dyDescent="0.25">
      <c r="A57" s="192" t="str">
        <f ca="1">+IF(給与体系="時給制","休日出勤","控除精算")</f>
        <v>控除精算</v>
      </c>
      <c r="B57" s="193"/>
      <c r="C57" s="194"/>
      <c r="D57" s="176" t="e">
        <f ca="1">ROUNDUP(IF(給与種別=0,0,IF(給与体系="時給制",(基本給単価)*1.35,(時間・月額)/SUMIF(テーブル_勤務時間,給与体系,テーブル!C:C))),0)</f>
        <v>#DIV/0!</v>
      </c>
      <c r="E57" s="177"/>
      <c r="F57" s="99" t="s">
        <v>39</v>
      </c>
      <c r="G57" s="195">
        <f ca="1">IF(給与体系="時給制",休日出勤時間計,IF(給与体系="月給制",-1*欠勤時間計,IF(給与体系="140-160時間制",MIN(0,時間合計-140),MIN(0,補正勤務時間合計-SUMIF(テーブル_勤務時間,給与体系,テーブル!H:H)))))</f>
        <v>0</v>
      </c>
      <c r="H57" s="195"/>
      <c r="I57" s="100" t="s">
        <v>40</v>
      </c>
      <c r="J57" s="179" t="e">
        <f ca="1">MAX(控除単価*控除時間,時間・月額*-1)</f>
        <v>#DIV/0!</v>
      </c>
      <c r="K57" s="180"/>
      <c r="L57" s="181"/>
      <c r="M57" s="4"/>
      <c r="N57" s="196" t="s">
        <v>134</v>
      </c>
      <c r="O57" s="197"/>
      <c r="P57" s="198">
        <f ca="1">_xlfn.XLOOKUP(当月,テーブル!U2:U13,テーブル!X2:X13,テーブル!$O$6,FALSE)</f>
        <v>0</v>
      </c>
      <c r="Q57" s="198"/>
      <c r="R57" s="198"/>
      <c r="S57" s="198"/>
      <c r="T57" s="198"/>
      <c r="U57" s="198"/>
      <c r="V57" s="198"/>
      <c r="W57" s="199"/>
    </row>
    <row r="58" spans="1:34" ht="14.15" customHeight="1" x14ac:dyDescent="0.2">
      <c r="A58" s="173" t="str">
        <f ca="1">+IF(給与体系="時給制","休日深夜","超過精算")</f>
        <v>超過精算</v>
      </c>
      <c r="B58" s="174"/>
      <c r="C58" s="175"/>
      <c r="D58" s="176" t="e">
        <f ca="1">ROUNDUP(IF(給与種別=0,((時間・月額+手当１金額)/150),IF(給与体系="時給制",(基本給単価)*1.6,(時間・月額)/SUMIF(テーブル_勤務時間,給与体系,テーブル!C:C))),0)</f>
        <v>#DIV/0!</v>
      </c>
      <c r="E58" s="177"/>
      <c r="F58" s="101" t="s">
        <v>39</v>
      </c>
      <c r="G58" s="178">
        <f ca="1">IF(給与体系="時給制",休日深夜時間計,IF(給与体系="140-160時間制",MAX(0,時間合計-160)*1.25+MAX(0,深夜残業時間計-80)*0.25,(IF(給与体系="管理監督者",(深夜残業時間計+休日深夜時間計)*0.25,MAX(0,補正勤務時間合計-SUMIF(テーブル_勤務時間,給与体系,テーブル!I:I))))))</f>
        <v>0</v>
      </c>
      <c r="H58" s="178"/>
      <c r="I58" s="102" t="s">
        <v>40</v>
      </c>
      <c r="J58" s="179" t="e">
        <f ca="1">超過単価*超過時間</f>
        <v>#DIV/0!</v>
      </c>
      <c r="K58" s="180"/>
      <c r="L58" s="181"/>
      <c r="M58" s="4"/>
      <c r="N58" s="182" t="s">
        <v>157</v>
      </c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94" t="s">
        <v>211</v>
      </c>
    </row>
    <row r="59" spans="1:34" ht="14.15" customHeight="1" thickBot="1" x14ac:dyDescent="0.25">
      <c r="A59" s="183" t="s">
        <v>227</v>
      </c>
      <c r="B59" s="184"/>
      <c r="C59" s="185"/>
      <c r="D59" s="186"/>
      <c r="E59" s="187"/>
      <c r="F59" s="83"/>
      <c r="G59" s="188" t="s">
        <v>255</v>
      </c>
      <c r="H59" s="188"/>
      <c r="I59" s="84"/>
      <c r="J59" s="189" t="str">
        <f>+IF(ISERROR(過不足調整単価*過不足調整時間),"",過不足調整単価*過不足調整時間)</f>
        <v/>
      </c>
      <c r="K59" s="190"/>
      <c r="L59" s="191"/>
      <c r="M59" s="4"/>
      <c r="N59" s="154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95">
        <f ca="1">+SUM(AB17:AB47)+G51*7.5+AB59</f>
        <v>150</v>
      </c>
    </row>
    <row r="60" spans="1:34" ht="14.15" customHeight="1" thickTop="1" x14ac:dyDescent="0.2">
      <c r="A60" s="145"/>
      <c r="B60" s="146"/>
      <c r="C60" s="147"/>
      <c r="D60" s="148" t="s">
        <v>148</v>
      </c>
      <c r="E60" s="149"/>
      <c r="F60" s="149"/>
      <c r="G60" s="149"/>
      <c r="H60" s="149"/>
      <c r="I60" s="150"/>
      <c r="J60" s="151" t="e">
        <f ca="1">IF(給与体系="時給制",SUM(基本給:L59),SUM(J56:L59))</f>
        <v>#DIV/0!</v>
      </c>
      <c r="K60" s="152"/>
      <c r="L60" s="153"/>
      <c r="M60" s="4"/>
      <c r="N60" s="154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6"/>
      <c r="AB60" t="s">
        <v>229</v>
      </c>
    </row>
    <row r="61" spans="1:34" ht="14.15" customHeight="1" x14ac:dyDescent="0.2">
      <c r="A61" s="157" t="s">
        <v>137</v>
      </c>
      <c r="B61" s="158" t="s">
        <v>182</v>
      </c>
      <c r="C61" s="159"/>
      <c r="D61" s="160">
        <f>'4月'!D61</f>
        <v>0</v>
      </c>
      <c r="E61" s="161"/>
      <c r="F61" s="161"/>
      <c r="G61" s="161"/>
      <c r="H61" s="161"/>
      <c r="I61" s="162"/>
      <c r="J61" s="126">
        <f>'4月'!手当１金額</f>
        <v>0</v>
      </c>
      <c r="K61" s="127"/>
      <c r="L61" s="128"/>
      <c r="M61" s="4"/>
      <c r="N61" s="115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7"/>
      <c r="AB61" t="s">
        <v>232</v>
      </c>
      <c r="AC61" t="s">
        <v>235</v>
      </c>
    </row>
    <row r="62" spans="1:34" ht="14.15" customHeight="1" x14ac:dyDescent="0.2">
      <c r="A62" s="157"/>
      <c r="B62" s="163" t="s">
        <v>183</v>
      </c>
      <c r="C62" s="120"/>
      <c r="D62" s="133"/>
      <c r="E62" s="134"/>
      <c r="F62" s="134"/>
      <c r="G62" s="134"/>
      <c r="H62" s="134"/>
      <c r="I62" s="135"/>
      <c r="J62" s="126"/>
      <c r="K62" s="127"/>
      <c r="L62" s="128"/>
      <c r="M62" s="4"/>
      <c r="N62" s="115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7"/>
      <c r="AB62" t="s">
        <v>239</v>
      </c>
      <c r="AC62" t="s">
        <v>236</v>
      </c>
    </row>
    <row r="63" spans="1:34" ht="14.15" customHeight="1" x14ac:dyDescent="0.2">
      <c r="A63" s="157"/>
      <c r="B63" s="164"/>
      <c r="C63" s="165"/>
      <c r="D63" s="133"/>
      <c r="E63" s="134"/>
      <c r="F63" s="134"/>
      <c r="G63" s="134"/>
      <c r="H63" s="134"/>
      <c r="I63" s="135"/>
      <c r="J63" s="126"/>
      <c r="K63" s="127"/>
      <c r="L63" s="128"/>
      <c r="M63" s="4"/>
      <c r="N63" s="115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7"/>
      <c r="AB63" t="s">
        <v>245</v>
      </c>
      <c r="AC63" t="s">
        <v>249</v>
      </c>
    </row>
    <row r="64" spans="1:34" ht="14.15" customHeight="1" x14ac:dyDescent="0.2">
      <c r="A64" s="157"/>
      <c r="B64" s="166"/>
      <c r="C64" s="123"/>
      <c r="D64" s="133"/>
      <c r="E64" s="134"/>
      <c r="F64" s="134"/>
      <c r="G64" s="134"/>
      <c r="H64" s="134"/>
      <c r="I64" s="135"/>
      <c r="J64" s="126"/>
      <c r="K64" s="127"/>
      <c r="L64" s="128"/>
      <c r="M64" s="4"/>
      <c r="N64" s="115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7"/>
      <c r="AB64" t="s">
        <v>247</v>
      </c>
      <c r="AC64" t="s">
        <v>237</v>
      </c>
    </row>
    <row r="65" spans="1:29" ht="14.15" customHeight="1" x14ac:dyDescent="0.2">
      <c r="A65" s="136" t="s">
        <v>28</v>
      </c>
      <c r="B65" s="137"/>
      <c r="C65" s="137"/>
      <c r="D65" s="137"/>
      <c r="E65" s="137"/>
      <c r="F65" s="137"/>
      <c r="G65" s="137"/>
      <c r="H65" s="137"/>
      <c r="I65" s="138"/>
      <c r="J65" s="139" t="e">
        <f ca="1">J60+SUM(J62:L64)</f>
        <v>#DIV/0!</v>
      </c>
      <c r="K65" s="140"/>
      <c r="L65" s="141"/>
      <c r="M65" s="4"/>
      <c r="N65" s="142" t="str">
        <f>+IF('4月'!J66=0," ※前月の通勤費がゼロのため通勤交通費が表示されない","")</f>
        <v xml:space="preserve"> ※前月の通勤費がゼロのため通勤交通費が表示されない</v>
      </c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4"/>
    </row>
    <row r="66" spans="1:29" ht="14.15" customHeight="1" x14ac:dyDescent="0.2">
      <c r="A66" s="132" t="s">
        <v>169</v>
      </c>
      <c r="B66" s="124"/>
      <c r="C66" s="124"/>
      <c r="D66" s="124"/>
      <c r="E66" s="124"/>
      <c r="F66" s="124"/>
      <c r="G66" s="124"/>
      <c r="H66" s="124"/>
      <c r="I66" s="125"/>
      <c r="J66" s="126">
        <v>0</v>
      </c>
      <c r="K66" s="127"/>
      <c r="L66" s="128"/>
      <c r="M66" s="4"/>
      <c r="N66" s="115" t="str">
        <f>+IF(C51=0," ※出勤がないため通勤交通費の支給は無し","")</f>
        <v xml:space="preserve"> ※出勤がないため通勤交通費の支給は無し</v>
      </c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7"/>
      <c r="AB66" t="s">
        <v>246</v>
      </c>
      <c r="AC66" t="s">
        <v>253</v>
      </c>
    </row>
    <row r="67" spans="1:29" ht="14.15" customHeight="1" x14ac:dyDescent="0.2">
      <c r="A67" s="132" t="s">
        <v>141</v>
      </c>
      <c r="B67" s="124"/>
      <c r="C67" s="125"/>
      <c r="D67" s="124" t="s">
        <v>138</v>
      </c>
      <c r="E67" s="124"/>
      <c r="F67" s="124"/>
      <c r="G67" s="124"/>
      <c r="H67" s="124"/>
      <c r="I67" s="125"/>
      <c r="J67" s="126">
        <v>0</v>
      </c>
      <c r="K67" s="127"/>
      <c r="L67" s="128"/>
      <c r="N67" s="115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7"/>
      <c r="AB67" t="s">
        <v>248</v>
      </c>
      <c r="AC67" t="s">
        <v>254</v>
      </c>
    </row>
    <row r="68" spans="1:29" ht="14.15" customHeight="1" x14ac:dyDescent="0.2">
      <c r="A68" s="118" t="s">
        <v>140</v>
      </c>
      <c r="B68" s="119"/>
      <c r="C68" s="120"/>
      <c r="D68" s="124" t="s">
        <v>138</v>
      </c>
      <c r="E68" s="124"/>
      <c r="F68" s="124"/>
      <c r="G68" s="124"/>
      <c r="H68" s="124"/>
      <c r="I68" s="125"/>
      <c r="J68" s="126">
        <v>0</v>
      </c>
      <c r="K68" s="127"/>
      <c r="L68" s="128"/>
      <c r="N68" s="115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7"/>
    </row>
    <row r="69" spans="1:29" ht="13.5" customHeight="1" x14ac:dyDescent="0.2">
      <c r="A69" s="121"/>
      <c r="B69" s="122"/>
      <c r="C69" s="123"/>
      <c r="D69" s="124" t="s">
        <v>139</v>
      </c>
      <c r="E69" s="124"/>
      <c r="F69" s="124"/>
      <c r="G69" s="124"/>
      <c r="H69" s="124"/>
      <c r="I69" s="125"/>
      <c r="J69" s="129"/>
      <c r="K69" s="130"/>
      <c r="L69" s="131"/>
      <c r="N69" s="115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7"/>
      <c r="AB69" t="s">
        <v>240</v>
      </c>
      <c r="AC69" t="s">
        <v>233</v>
      </c>
    </row>
    <row r="70" spans="1:29" ht="14.15" customHeight="1" thickBot="1" x14ac:dyDescent="0.25">
      <c r="A70" s="109" t="s">
        <v>31</v>
      </c>
      <c r="B70" s="110"/>
      <c r="C70" s="110"/>
      <c r="D70" s="110"/>
      <c r="E70" s="110"/>
      <c r="F70" s="110"/>
      <c r="G70" s="110"/>
      <c r="H70" s="110"/>
      <c r="I70" s="111"/>
      <c r="J70" s="112" t="e">
        <f ca="1">SUM(J65:L69)</f>
        <v>#DIV/0!</v>
      </c>
      <c r="K70" s="113"/>
      <c r="L70" s="114"/>
      <c r="N70" s="115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7"/>
      <c r="AB70" t="s">
        <v>242</v>
      </c>
      <c r="AC70" t="s">
        <v>241</v>
      </c>
    </row>
    <row r="71" spans="1:29" ht="13.5" thickTop="1" x14ac:dyDescent="0.2">
      <c r="T71">
        <v>0</v>
      </c>
      <c r="AB71" t="s">
        <v>230</v>
      </c>
      <c r="AC71" t="s">
        <v>231</v>
      </c>
    </row>
    <row r="73" spans="1:29" x14ac:dyDescent="0.2">
      <c r="AB73" t="s">
        <v>228</v>
      </c>
    </row>
    <row r="74" spans="1:29" x14ac:dyDescent="0.2">
      <c r="AB74" t="s">
        <v>232</v>
      </c>
      <c r="AC74" t="s">
        <v>234</v>
      </c>
    </row>
    <row r="75" spans="1:29" x14ac:dyDescent="0.2">
      <c r="AB75" t="s">
        <v>239</v>
      </c>
      <c r="AC75" t="s">
        <v>238</v>
      </c>
    </row>
    <row r="76" spans="1:29" x14ac:dyDescent="0.2">
      <c r="AB76" t="s">
        <v>245</v>
      </c>
      <c r="AC76" t="s">
        <v>250</v>
      </c>
    </row>
    <row r="79" spans="1:29" x14ac:dyDescent="0.2">
      <c r="AB79" t="s">
        <v>246</v>
      </c>
      <c r="AC79" t="s">
        <v>251</v>
      </c>
    </row>
    <row r="80" spans="1:29" x14ac:dyDescent="0.2">
      <c r="AB80" t="s">
        <v>248</v>
      </c>
      <c r="AC80" t="s">
        <v>252</v>
      </c>
    </row>
    <row r="82" spans="28:29" x14ac:dyDescent="0.2">
      <c r="AB82" t="s">
        <v>240</v>
      </c>
      <c r="AC82" t="s">
        <v>243</v>
      </c>
    </row>
    <row r="83" spans="28:29" x14ac:dyDescent="0.2">
      <c r="AB83" t="s">
        <v>242</v>
      </c>
      <c r="AC83" t="s">
        <v>244</v>
      </c>
    </row>
  </sheetData>
  <dataConsolidate/>
  <mergeCells count="534">
    <mergeCell ref="A70:I70"/>
    <mergeCell ref="J70:L70"/>
    <mergeCell ref="N70:Z70"/>
    <mergeCell ref="X35:Z35"/>
    <mergeCell ref="A68:C69"/>
    <mergeCell ref="D68:I68"/>
    <mergeCell ref="J68:L68"/>
    <mergeCell ref="N68:Z68"/>
    <mergeCell ref="D69:I69"/>
    <mergeCell ref="J69:L69"/>
    <mergeCell ref="N69:Z69"/>
    <mergeCell ref="A66:I66"/>
    <mergeCell ref="J66:L66"/>
    <mergeCell ref="N66:Z66"/>
    <mergeCell ref="A67:C67"/>
    <mergeCell ref="D67:I67"/>
    <mergeCell ref="J67:L67"/>
    <mergeCell ref="N67:Z67"/>
    <mergeCell ref="D64:I64"/>
    <mergeCell ref="J64:L64"/>
    <mergeCell ref="N64:Z64"/>
    <mergeCell ref="A65:I65"/>
    <mergeCell ref="J65:L65"/>
    <mergeCell ref="N65:Z65"/>
    <mergeCell ref="D62:I62"/>
    <mergeCell ref="J62:L62"/>
    <mergeCell ref="N62:Z62"/>
    <mergeCell ref="D63:I63"/>
    <mergeCell ref="J63:L63"/>
    <mergeCell ref="N63:Z63"/>
    <mergeCell ref="A60:C60"/>
    <mergeCell ref="D60:I60"/>
    <mergeCell ref="J60:L60"/>
    <mergeCell ref="N60:Z60"/>
    <mergeCell ref="A61:A64"/>
    <mergeCell ref="B61:C61"/>
    <mergeCell ref="D61:I61"/>
    <mergeCell ref="J61:L61"/>
    <mergeCell ref="N61:Z61"/>
    <mergeCell ref="B62:C64"/>
    <mergeCell ref="N58:Z58"/>
    <mergeCell ref="A59:C59"/>
    <mergeCell ref="D59:E59"/>
    <mergeCell ref="G59:H59"/>
    <mergeCell ref="J59:L59"/>
    <mergeCell ref="N59:Z59"/>
    <mergeCell ref="A57:C57"/>
    <mergeCell ref="D57:E57"/>
    <mergeCell ref="G57:H57"/>
    <mergeCell ref="J57:L57"/>
    <mergeCell ref="A58:C58"/>
    <mergeCell ref="D58:E58"/>
    <mergeCell ref="G58:H58"/>
    <mergeCell ref="J58:L58"/>
    <mergeCell ref="N57:O57"/>
    <mergeCell ref="P57:W57"/>
    <mergeCell ref="A56:C56"/>
    <mergeCell ref="D56:E56"/>
    <mergeCell ref="G56:H56"/>
    <mergeCell ref="J56:L56"/>
    <mergeCell ref="N56:P56"/>
    <mergeCell ref="Q56:T56"/>
    <mergeCell ref="Y54:Z54"/>
    <mergeCell ref="A55:C55"/>
    <mergeCell ref="D55:E55"/>
    <mergeCell ref="G55:H55"/>
    <mergeCell ref="J55:L55"/>
    <mergeCell ref="N55:P55"/>
    <mergeCell ref="Q55:T55"/>
    <mergeCell ref="A54:C54"/>
    <mergeCell ref="D54:E54"/>
    <mergeCell ref="G54:H54"/>
    <mergeCell ref="J54:L54"/>
    <mergeCell ref="N54:P54"/>
    <mergeCell ref="Q54:T54"/>
    <mergeCell ref="Q52:R52"/>
    <mergeCell ref="S52:T52"/>
    <mergeCell ref="U52:V52"/>
    <mergeCell ref="W52:X52"/>
    <mergeCell ref="Y52:Z52"/>
    <mergeCell ref="A53:C53"/>
    <mergeCell ref="D53:E53"/>
    <mergeCell ref="G53:H53"/>
    <mergeCell ref="J53:L53"/>
    <mergeCell ref="Y53:Z53"/>
    <mergeCell ref="A52:E52"/>
    <mergeCell ref="F52:H52"/>
    <mergeCell ref="I52:J52"/>
    <mergeCell ref="K52:L52"/>
    <mergeCell ref="M52:N52"/>
    <mergeCell ref="O52:P52"/>
    <mergeCell ref="Q51:R51"/>
    <mergeCell ref="S51:T51"/>
    <mergeCell ref="U51:V51"/>
    <mergeCell ref="W51:X51"/>
    <mergeCell ref="Y51:Z51"/>
    <mergeCell ref="V50:W50"/>
    <mergeCell ref="X50:Z50"/>
    <mergeCell ref="AE50:AF50"/>
    <mergeCell ref="P50:Q50"/>
    <mergeCell ref="R50:S50"/>
    <mergeCell ref="T50:U50"/>
    <mergeCell ref="A51:B51"/>
    <mergeCell ref="C51:D51"/>
    <mergeCell ref="E51:F51"/>
    <mergeCell ref="G51:H51"/>
    <mergeCell ref="I51:J51"/>
    <mergeCell ref="K51:L51"/>
    <mergeCell ref="M51:N51"/>
    <mergeCell ref="A50:K50"/>
    <mergeCell ref="L50:M50"/>
    <mergeCell ref="N50:O50"/>
    <mergeCell ref="O51:P51"/>
    <mergeCell ref="A48:B48"/>
    <mergeCell ref="D48:E48"/>
    <mergeCell ref="F48:G48"/>
    <mergeCell ref="H48:I48"/>
    <mergeCell ref="J48:K48"/>
    <mergeCell ref="X48:Z48"/>
    <mergeCell ref="A49:K49"/>
    <mergeCell ref="L49:M49"/>
    <mergeCell ref="N49:O49"/>
    <mergeCell ref="P49:Q49"/>
    <mergeCell ref="R49:S49"/>
    <mergeCell ref="T49:U49"/>
    <mergeCell ref="V49:W49"/>
    <mergeCell ref="X49:Z49"/>
    <mergeCell ref="L48:M48"/>
    <mergeCell ref="N48:O48"/>
    <mergeCell ref="P48:Q48"/>
    <mergeCell ref="R48:S48"/>
    <mergeCell ref="T48:U48"/>
    <mergeCell ref="V48:W48"/>
    <mergeCell ref="T46:U46"/>
    <mergeCell ref="V46:W46"/>
    <mergeCell ref="X46:Z46"/>
    <mergeCell ref="A47:B47"/>
    <mergeCell ref="D47:E47"/>
    <mergeCell ref="F47:G47"/>
    <mergeCell ref="H47:I47"/>
    <mergeCell ref="J47:K47"/>
    <mergeCell ref="L47:M47"/>
    <mergeCell ref="N47:O47"/>
    <mergeCell ref="P47:Q47"/>
    <mergeCell ref="R47:S47"/>
    <mergeCell ref="T47:U47"/>
    <mergeCell ref="V47:W47"/>
    <mergeCell ref="X47:Z47"/>
    <mergeCell ref="A46:B46"/>
    <mergeCell ref="D46:E46"/>
    <mergeCell ref="F46:G46"/>
    <mergeCell ref="H46:I46"/>
    <mergeCell ref="J46:K46"/>
    <mergeCell ref="L46:M46"/>
    <mergeCell ref="N46:O46"/>
    <mergeCell ref="P46:Q46"/>
    <mergeCell ref="R46:S46"/>
    <mergeCell ref="T44:U44"/>
    <mergeCell ref="V44:W44"/>
    <mergeCell ref="X44:Z44"/>
    <mergeCell ref="A45:B45"/>
    <mergeCell ref="D45:E45"/>
    <mergeCell ref="F45:G45"/>
    <mergeCell ref="H45:I45"/>
    <mergeCell ref="J45:K45"/>
    <mergeCell ref="X45:Z45"/>
    <mergeCell ref="L45:M45"/>
    <mergeCell ref="N45:O45"/>
    <mergeCell ref="P45:Q45"/>
    <mergeCell ref="R45:S45"/>
    <mergeCell ref="T45:U45"/>
    <mergeCell ref="V45:W45"/>
    <mergeCell ref="A44:B44"/>
    <mergeCell ref="D44:E44"/>
    <mergeCell ref="F44:G44"/>
    <mergeCell ref="H44:I44"/>
    <mergeCell ref="J44:K44"/>
    <mergeCell ref="L44:M44"/>
    <mergeCell ref="N44:O44"/>
    <mergeCell ref="P44:Q44"/>
    <mergeCell ref="R44:S44"/>
    <mergeCell ref="A42:B42"/>
    <mergeCell ref="D42:E42"/>
    <mergeCell ref="F42:G42"/>
    <mergeCell ref="H42:I42"/>
    <mergeCell ref="J42:K42"/>
    <mergeCell ref="X42:Z42"/>
    <mergeCell ref="A43:B43"/>
    <mergeCell ref="D43:E43"/>
    <mergeCell ref="F43:G43"/>
    <mergeCell ref="H43:I43"/>
    <mergeCell ref="J43:K43"/>
    <mergeCell ref="L43:M43"/>
    <mergeCell ref="N43:O43"/>
    <mergeCell ref="P43:Q43"/>
    <mergeCell ref="R43:S43"/>
    <mergeCell ref="L42:M42"/>
    <mergeCell ref="N42:O42"/>
    <mergeCell ref="P42:Q42"/>
    <mergeCell ref="R42:S42"/>
    <mergeCell ref="T42:U42"/>
    <mergeCell ref="V42:W42"/>
    <mergeCell ref="T43:U43"/>
    <mergeCell ref="V43:W43"/>
    <mergeCell ref="X43:Z43"/>
    <mergeCell ref="T40:U40"/>
    <mergeCell ref="V40:W40"/>
    <mergeCell ref="X40:Z40"/>
    <mergeCell ref="A41:B41"/>
    <mergeCell ref="D41:E41"/>
    <mergeCell ref="F41:G41"/>
    <mergeCell ref="H41:I41"/>
    <mergeCell ref="J41:K41"/>
    <mergeCell ref="L41:M41"/>
    <mergeCell ref="N41:O41"/>
    <mergeCell ref="P41:Q41"/>
    <mergeCell ref="R41:S41"/>
    <mergeCell ref="T41:U41"/>
    <mergeCell ref="V41:W41"/>
    <mergeCell ref="X41:Z41"/>
    <mergeCell ref="A40:B40"/>
    <mergeCell ref="D40:E40"/>
    <mergeCell ref="F40:G40"/>
    <mergeCell ref="H40:I40"/>
    <mergeCell ref="J40:K40"/>
    <mergeCell ref="L40:M40"/>
    <mergeCell ref="N40:O40"/>
    <mergeCell ref="P40:Q40"/>
    <mergeCell ref="R40:S40"/>
    <mergeCell ref="T38:U38"/>
    <mergeCell ref="V38:W38"/>
    <mergeCell ref="X38:Z38"/>
    <mergeCell ref="A39:B39"/>
    <mergeCell ref="D39:E39"/>
    <mergeCell ref="F39:G39"/>
    <mergeCell ref="H39:I39"/>
    <mergeCell ref="J39:K39"/>
    <mergeCell ref="X39:Z39"/>
    <mergeCell ref="L39:M39"/>
    <mergeCell ref="N39:O39"/>
    <mergeCell ref="P39:Q39"/>
    <mergeCell ref="R39:S39"/>
    <mergeCell ref="T39:U39"/>
    <mergeCell ref="V39:W39"/>
    <mergeCell ref="A38:B38"/>
    <mergeCell ref="D38:E38"/>
    <mergeCell ref="F38:G38"/>
    <mergeCell ref="H38:I38"/>
    <mergeCell ref="J38:K38"/>
    <mergeCell ref="L38:M38"/>
    <mergeCell ref="N38:O38"/>
    <mergeCell ref="P38:Q38"/>
    <mergeCell ref="R38:S38"/>
    <mergeCell ref="A36:B36"/>
    <mergeCell ref="D36:E36"/>
    <mergeCell ref="F36:G36"/>
    <mergeCell ref="H36:I36"/>
    <mergeCell ref="J36:K36"/>
    <mergeCell ref="X36:Z36"/>
    <mergeCell ref="A37:B37"/>
    <mergeCell ref="D37:E37"/>
    <mergeCell ref="F37:G37"/>
    <mergeCell ref="H37:I37"/>
    <mergeCell ref="J37:K37"/>
    <mergeCell ref="L37:M37"/>
    <mergeCell ref="N37:O37"/>
    <mergeCell ref="P37:Q37"/>
    <mergeCell ref="R37:S37"/>
    <mergeCell ref="L36:M36"/>
    <mergeCell ref="N36:O36"/>
    <mergeCell ref="P36:Q36"/>
    <mergeCell ref="R36:S36"/>
    <mergeCell ref="T36:U36"/>
    <mergeCell ref="V36:W36"/>
    <mergeCell ref="T37:U37"/>
    <mergeCell ref="V37:W37"/>
    <mergeCell ref="X37:Z37"/>
    <mergeCell ref="T34:U34"/>
    <mergeCell ref="V34:W34"/>
    <mergeCell ref="X34:Z34"/>
    <mergeCell ref="A35:B35"/>
    <mergeCell ref="D35:E35"/>
    <mergeCell ref="F35:G35"/>
    <mergeCell ref="H35:I35"/>
    <mergeCell ref="J35:K35"/>
    <mergeCell ref="L35:M35"/>
    <mergeCell ref="N35:O35"/>
    <mergeCell ref="P35:Q35"/>
    <mergeCell ref="R35:S35"/>
    <mergeCell ref="T35:U35"/>
    <mergeCell ref="V35:W35"/>
    <mergeCell ref="A34:B34"/>
    <mergeCell ref="D34:E34"/>
    <mergeCell ref="F34:G34"/>
    <mergeCell ref="H34:I34"/>
    <mergeCell ref="J34:K34"/>
    <mergeCell ref="L34:M34"/>
    <mergeCell ref="N34:O34"/>
    <mergeCell ref="P34:Q34"/>
    <mergeCell ref="R34:S34"/>
    <mergeCell ref="T32:U32"/>
    <mergeCell ref="V32:W32"/>
    <mergeCell ref="X32:Z32"/>
    <mergeCell ref="A33:B33"/>
    <mergeCell ref="D33:E33"/>
    <mergeCell ref="F33:G33"/>
    <mergeCell ref="H33:I33"/>
    <mergeCell ref="J33:K33"/>
    <mergeCell ref="X33:Z33"/>
    <mergeCell ref="L33:M33"/>
    <mergeCell ref="N33:O33"/>
    <mergeCell ref="P33:Q33"/>
    <mergeCell ref="R33:S33"/>
    <mergeCell ref="T33:U33"/>
    <mergeCell ref="V33:W33"/>
    <mergeCell ref="A32:B32"/>
    <mergeCell ref="D32:E32"/>
    <mergeCell ref="F32:G32"/>
    <mergeCell ref="H32:I32"/>
    <mergeCell ref="J32:K32"/>
    <mergeCell ref="L32:M32"/>
    <mergeCell ref="N32:O32"/>
    <mergeCell ref="P32:Q32"/>
    <mergeCell ref="R32:S32"/>
    <mergeCell ref="A30:B30"/>
    <mergeCell ref="D30:E30"/>
    <mergeCell ref="F30:G30"/>
    <mergeCell ref="H30:I30"/>
    <mergeCell ref="J30:K30"/>
    <mergeCell ref="X30:Z30"/>
    <mergeCell ref="A31:B31"/>
    <mergeCell ref="D31:E31"/>
    <mergeCell ref="F31:G31"/>
    <mergeCell ref="H31:I31"/>
    <mergeCell ref="J31:K31"/>
    <mergeCell ref="L31:M31"/>
    <mergeCell ref="N31:O31"/>
    <mergeCell ref="P31:Q31"/>
    <mergeCell ref="R31:S31"/>
    <mergeCell ref="L30:M30"/>
    <mergeCell ref="N30:O30"/>
    <mergeCell ref="P30:Q30"/>
    <mergeCell ref="R30:S30"/>
    <mergeCell ref="T30:U30"/>
    <mergeCell ref="V30:W30"/>
    <mergeCell ref="T31:U31"/>
    <mergeCell ref="V31:W31"/>
    <mergeCell ref="X31:Z31"/>
    <mergeCell ref="T28:U28"/>
    <mergeCell ref="V28:W28"/>
    <mergeCell ref="X28:Z28"/>
    <mergeCell ref="A29:B29"/>
    <mergeCell ref="D29:E29"/>
    <mergeCell ref="F29:G29"/>
    <mergeCell ref="H29:I29"/>
    <mergeCell ref="J29:K29"/>
    <mergeCell ref="L29:M29"/>
    <mergeCell ref="N29:O29"/>
    <mergeCell ref="P29:Q29"/>
    <mergeCell ref="R29:S29"/>
    <mergeCell ref="T29:U29"/>
    <mergeCell ref="V29:W29"/>
    <mergeCell ref="X29:Z29"/>
    <mergeCell ref="A28:B28"/>
    <mergeCell ref="D28:E28"/>
    <mergeCell ref="F28:G28"/>
    <mergeCell ref="H28:I28"/>
    <mergeCell ref="J28:K28"/>
    <mergeCell ref="L28:M28"/>
    <mergeCell ref="N28:O28"/>
    <mergeCell ref="P28:Q28"/>
    <mergeCell ref="R28:S28"/>
    <mergeCell ref="T26:U26"/>
    <mergeCell ref="V26:W26"/>
    <mergeCell ref="X26:Z26"/>
    <mergeCell ref="A27:B27"/>
    <mergeCell ref="D27:E27"/>
    <mergeCell ref="F27:G27"/>
    <mergeCell ref="H27:I27"/>
    <mergeCell ref="J27:K27"/>
    <mergeCell ref="X27:Z27"/>
    <mergeCell ref="L27:M27"/>
    <mergeCell ref="N27:O27"/>
    <mergeCell ref="P27:Q27"/>
    <mergeCell ref="R27:S27"/>
    <mergeCell ref="T27:U27"/>
    <mergeCell ref="V27:W27"/>
    <mergeCell ref="A26:B26"/>
    <mergeCell ref="D26:E26"/>
    <mergeCell ref="F26:G26"/>
    <mergeCell ref="H26:I26"/>
    <mergeCell ref="J26:K26"/>
    <mergeCell ref="L26:M26"/>
    <mergeCell ref="N26:O26"/>
    <mergeCell ref="P26:Q26"/>
    <mergeCell ref="R26:S26"/>
    <mergeCell ref="A24:B24"/>
    <mergeCell ref="D24:E24"/>
    <mergeCell ref="F24:G24"/>
    <mergeCell ref="H24:I24"/>
    <mergeCell ref="J24:K24"/>
    <mergeCell ref="X24:Z24"/>
    <mergeCell ref="A25:B25"/>
    <mergeCell ref="D25:E25"/>
    <mergeCell ref="F25:G25"/>
    <mergeCell ref="H25:I25"/>
    <mergeCell ref="J25:K25"/>
    <mergeCell ref="L25:M25"/>
    <mergeCell ref="N25:O25"/>
    <mergeCell ref="P25:Q25"/>
    <mergeCell ref="R25:S25"/>
    <mergeCell ref="L24:M24"/>
    <mergeCell ref="N24:O24"/>
    <mergeCell ref="P24:Q24"/>
    <mergeCell ref="R24:S24"/>
    <mergeCell ref="T24:U24"/>
    <mergeCell ref="V24:W24"/>
    <mergeCell ref="T25:U25"/>
    <mergeCell ref="V25:W25"/>
    <mergeCell ref="X25:Z25"/>
    <mergeCell ref="T22:U22"/>
    <mergeCell ref="V22:W22"/>
    <mergeCell ref="X22:Z22"/>
    <mergeCell ref="A23:B23"/>
    <mergeCell ref="D23:E23"/>
    <mergeCell ref="F23:G23"/>
    <mergeCell ref="H23:I23"/>
    <mergeCell ref="J23:K23"/>
    <mergeCell ref="L23:M23"/>
    <mergeCell ref="N23:O23"/>
    <mergeCell ref="P23:Q23"/>
    <mergeCell ref="R23:S23"/>
    <mergeCell ref="T23:U23"/>
    <mergeCell ref="V23:W23"/>
    <mergeCell ref="X23:Z23"/>
    <mergeCell ref="A22:B22"/>
    <mergeCell ref="D22:E22"/>
    <mergeCell ref="F22:G22"/>
    <mergeCell ref="H22:I22"/>
    <mergeCell ref="J22:K22"/>
    <mergeCell ref="L22:M22"/>
    <mergeCell ref="N22:O22"/>
    <mergeCell ref="P22:Q22"/>
    <mergeCell ref="R22:S22"/>
    <mergeCell ref="T20:U20"/>
    <mergeCell ref="V20:W20"/>
    <mergeCell ref="X20:Z20"/>
    <mergeCell ref="A21:B21"/>
    <mergeCell ref="D21:E21"/>
    <mergeCell ref="F21:G21"/>
    <mergeCell ref="H21:I21"/>
    <mergeCell ref="J21:K21"/>
    <mergeCell ref="X21:Z21"/>
    <mergeCell ref="L21:M21"/>
    <mergeCell ref="N21:O21"/>
    <mergeCell ref="P21:Q21"/>
    <mergeCell ref="R21:S21"/>
    <mergeCell ref="T21:U21"/>
    <mergeCell ref="V21:W21"/>
    <mergeCell ref="A20:B20"/>
    <mergeCell ref="D20:E20"/>
    <mergeCell ref="F20:G20"/>
    <mergeCell ref="H20:I20"/>
    <mergeCell ref="J20:K20"/>
    <mergeCell ref="L20:M20"/>
    <mergeCell ref="N20:O20"/>
    <mergeCell ref="P20:Q20"/>
    <mergeCell ref="R20:S20"/>
    <mergeCell ref="A18:B18"/>
    <mergeCell ref="D18:E18"/>
    <mergeCell ref="F18:G18"/>
    <mergeCell ref="H18:I18"/>
    <mergeCell ref="J18:K18"/>
    <mergeCell ref="X18:Z18"/>
    <mergeCell ref="A19:B19"/>
    <mergeCell ref="D19:E19"/>
    <mergeCell ref="F19:G19"/>
    <mergeCell ref="H19:I19"/>
    <mergeCell ref="J19:K19"/>
    <mergeCell ref="L19:M19"/>
    <mergeCell ref="N19:O19"/>
    <mergeCell ref="P19:Q19"/>
    <mergeCell ref="R19:S19"/>
    <mergeCell ref="L18:M18"/>
    <mergeCell ref="N18:O18"/>
    <mergeCell ref="P18:Q18"/>
    <mergeCell ref="R18:S18"/>
    <mergeCell ref="T18:U18"/>
    <mergeCell ref="V18:W18"/>
    <mergeCell ref="T19:U19"/>
    <mergeCell ref="V19:W19"/>
    <mergeCell ref="X19:Z19"/>
    <mergeCell ref="AA15:AA16"/>
    <mergeCell ref="D16:E16"/>
    <mergeCell ref="F16:G16"/>
    <mergeCell ref="A17:B17"/>
    <mergeCell ref="D17:E17"/>
    <mergeCell ref="F17:G17"/>
    <mergeCell ref="H17:I17"/>
    <mergeCell ref="J17:K17"/>
    <mergeCell ref="L17:M17"/>
    <mergeCell ref="N17:O17"/>
    <mergeCell ref="N15:O16"/>
    <mergeCell ref="P15:Q16"/>
    <mergeCell ref="R15:S16"/>
    <mergeCell ref="T15:U16"/>
    <mergeCell ref="V15:W16"/>
    <mergeCell ref="X15:Z16"/>
    <mergeCell ref="P17:Q17"/>
    <mergeCell ref="R17:S17"/>
    <mergeCell ref="T17:U17"/>
    <mergeCell ref="V17:W17"/>
    <mergeCell ref="X17:Z17"/>
    <mergeCell ref="A12:B13"/>
    <mergeCell ref="C12:J13"/>
    <mergeCell ref="A15:B16"/>
    <mergeCell ref="C15:C16"/>
    <mergeCell ref="D15:G15"/>
    <mergeCell ref="H15:I16"/>
    <mergeCell ref="J15:K16"/>
    <mergeCell ref="L15:M16"/>
    <mergeCell ref="A8:B9"/>
    <mergeCell ref="C8:J9"/>
    <mergeCell ref="T9:Z9"/>
    <mergeCell ref="A10:B11"/>
    <mergeCell ref="C10:J11"/>
    <mergeCell ref="T10:Z10"/>
    <mergeCell ref="Y2:Z2"/>
    <mergeCell ref="A3:Z4"/>
    <mergeCell ref="A5:D5"/>
    <mergeCell ref="E5:I6"/>
    <mergeCell ref="A6:D6"/>
    <mergeCell ref="P7:Z7"/>
    <mergeCell ref="N7:O7"/>
  </mergeCells>
  <phoneticPr fontId="3"/>
  <conditionalFormatting sqref="A17:AA47">
    <cfRule type="expression" dxfId="631" priority="313">
      <formula>$X17="法休"</formula>
    </cfRule>
    <cfRule type="expression" dxfId="630" priority="314" stopIfTrue="1">
      <formula>$X17="所休"</formula>
    </cfRule>
  </conditionalFormatting>
  <conditionalFormatting sqref="J17:K17">
    <cfRule type="cellIs" dxfId="629" priority="312" stopIfTrue="1" operator="equal">
      <formula>0</formula>
    </cfRule>
  </conditionalFormatting>
  <conditionalFormatting sqref="L17:M17">
    <cfRule type="cellIs" dxfId="628" priority="311" stopIfTrue="1" operator="equal">
      <formula>0</formula>
    </cfRule>
  </conditionalFormatting>
  <conditionalFormatting sqref="N17:O17">
    <cfRule type="cellIs" dxfId="627" priority="310" stopIfTrue="1" operator="equal">
      <formula>0</formula>
    </cfRule>
  </conditionalFormatting>
  <conditionalFormatting sqref="P17:Q17">
    <cfRule type="cellIs" dxfId="626" priority="309" stopIfTrue="1" operator="equal">
      <formula>0</formula>
    </cfRule>
  </conditionalFormatting>
  <conditionalFormatting sqref="R17:S17">
    <cfRule type="cellIs" dxfId="625" priority="308" stopIfTrue="1" operator="equal">
      <formula>0</formula>
    </cfRule>
  </conditionalFormatting>
  <conditionalFormatting sqref="T17:U17">
    <cfRule type="cellIs" dxfId="624" priority="307" stopIfTrue="1" operator="equal">
      <formula>0</formula>
    </cfRule>
  </conditionalFormatting>
  <conditionalFormatting sqref="V17:W17">
    <cfRule type="cellIs" dxfId="623" priority="306" stopIfTrue="1" operator="equal">
      <formula>0</formula>
    </cfRule>
  </conditionalFormatting>
  <conditionalFormatting sqref="J18:K18">
    <cfRule type="cellIs" dxfId="622" priority="305" stopIfTrue="1" operator="equal">
      <formula>0</formula>
    </cfRule>
  </conditionalFormatting>
  <conditionalFormatting sqref="L18:M18">
    <cfRule type="cellIs" dxfId="621" priority="304" stopIfTrue="1" operator="equal">
      <formula>0</formula>
    </cfRule>
  </conditionalFormatting>
  <conditionalFormatting sqref="N18:O18">
    <cfRule type="cellIs" dxfId="620" priority="303" stopIfTrue="1" operator="equal">
      <formula>0</formula>
    </cfRule>
  </conditionalFormatting>
  <conditionalFormatting sqref="P18:Q18">
    <cfRule type="cellIs" dxfId="619" priority="302" stopIfTrue="1" operator="equal">
      <formula>0</formula>
    </cfRule>
  </conditionalFormatting>
  <conditionalFormatting sqref="R18:S18">
    <cfRule type="cellIs" dxfId="618" priority="301" stopIfTrue="1" operator="equal">
      <formula>0</formula>
    </cfRule>
  </conditionalFormatting>
  <conditionalFormatting sqref="T18:U18">
    <cfRule type="cellIs" dxfId="617" priority="300" stopIfTrue="1" operator="equal">
      <formula>0</formula>
    </cfRule>
  </conditionalFormatting>
  <conditionalFormatting sqref="V18:W18">
    <cfRule type="cellIs" dxfId="616" priority="299" stopIfTrue="1" operator="equal">
      <formula>0</formula>
    </cfRule>
  </conditionalFormatting>
  <conditionalFormatting sqref="J19:K19">
    <cfRule type="cellIs" dxfId="615" priority="298" stopIfTrue="1" operator="equal">
      <formula>0</formula>
    </cfRule>
  </conditionalFormatting>
  <conditionalFormatting sqref="L19:M19">
    <cfRule type="cellIs" dxfId="614" priority="297" stopIfTrue="1" operator="equal">
      <formula>0</formula>
    </cfRule>
  </conditionalFormatting>
  <conditionalFormatting sqref="N19:O19">
    <cfRule type="cellIs" dxfId="613" priority="296" stopIfTrue="1" operator="equal">
      <formula>0</formula>
    </cfRule>
  </conditionalFormatting>
  <conditionalFormatting sqref="P19:Q19">
    <cfRule type="cellIs" dxfId="612" priority="295" stopIfTrue="1" operator="equal">
      <formula>0</formula>
    </cfRule>
  </conditionalFormatting>
  <conditionalFormatting sqref="R19:S19">
    <cfRule type="cellIs" dxfId="611" priority="294" stopIfTrue="1" operator="equal">
      <formula>0</formula>
    </cfRule>
  </conditionalFormatting>
  <conditionalFormatting sqref="T19:U19">
    <cfRule type="cellIs" dxfId="610" priority="293" stopIfTrue="1" operator="equal">
      <formula>0</formula>
    </cfRule>
  </conditionalFormatting>
  <conditionalFormatting sqref="V19:W19">
    <cfRule type="cellIs" dxfId="609" priority="292" stopIfTrue="1" operator="equal">
      <formula>0</formula>
    </cfRule>
  </conditionalFormatting>
  <conditionalFormatting sqref="J20:K20">
    <cfRule type="cellIs" dxfId="608" priority="291" stopIfTrue="1" operator="equal">
      <formula>0</formula>
    </cfRule>
  </conditionalFormatting>
  <conditionalFormatting sqref="L20:M20">
    <cfRule type="cellIs" dxfId="607" priority="290" stopIfTrue="1" operator="equal">
      <formula>0</formula>
    </cfRule>
  </conditionalFormatting>
  <conditionalFormatting sqref="N20:O20">
    <cfRule type="cellIs" dxfId="606" priority="289" stopIfTrue="1" operator="equal">
      <formula>0</formula>
    </cfRule>
  </conditionalFormatting>
  <conditionalFormatting sqref="P20:Q20">
    <cfRule type="cellIs" dxfId="605" priority="288" stopIfTrue="1" operator="equal">
      <formula>0</formula>
    </cfRule>
  </conditionalFormatting>
  <conditionalFormatting sqref="R20:S20">
    <cfRule type="cellIs" dxfId="604" priority="287" stopIfTrue="1" operator="equal">
      <formula>0</formula>
    </cfRule>
  </conditionalFormatting>
  <conditionalFormatting sqref="T20:U20">
    <cfRule type="cellIs" dxfId="603" priority="286" stopIfTrue="1" operator="equal">
      <formula>0</formula>
    </cfRule>
  </conditionalFormatting>
  <conditionalFormatting sqref="V20:W20">
    <cfRule type="cellIs" dxfId="602" priority="285" stopIfTrue="1" operator="equal">
      <formula>0</formula>
    </cfRule>
  </conditionalFormatting>
  <conditionalFormatting sqref="J21:K21">
    <cfRule type="cellIs" dxfId="601" priority="284" stopIfTrue="1" operator="equal">
      <formula>0</formula>
    </cfRule>
  </conditionalFormatting>
  <conditionalFormatting sqref="L21:M21">
    <cfRule type="cellIs" dxfId="600" priority="283" stopIfTrue="1" operator="equal">
      <formula>0</formula>
    </cfRule>
  </conditionalFormatting>
  <conditionalFormatting sqref="N21:O21">
    <cfRule type="cellIs" dxfId="599" priority="282" stopIfTrue="1" operator="equal">
      <formula>0</formula>
    </cfRule>
  </conditionalFormatting>
  <conditionalFormatting sqref="P21:Q21">
    <cfRule type="cellIs" dxfId="598" priority="281" stopIfTrue="1" operator="equal">
      <formula>0</formula>
    </cfRule>
  </conditionalFormatting>
  <conditionalFormatting sqref="R21:S21">
    <cfRule type="cellIs" dxfId="597" priority="280" stopIfTrue="1" operator="equal">
      <formula>0</formula>
    </cfRule>
  </conditionalFormatting>
  <conditionalFormatting sqref="T21:U21">
    <cfRule type="cellIs" dxfId="596" priority="279" stopIfTrue="1" operator="equal">
      <formula>0</formula>
    </cfRule>
  </conditionalFormatting>
  <conditionalFormatting sqref="V21:W21">
    <cfRule type="cellIs" dxfId="595" priority="278" stopIfTrue="1" operator="equal">
      <formula>0</formula>
    </cfRule>
  </conditionalFormatting>
  <conditionalFormatting sqref="J22:K22">
    <cfRule type="cellIs" dxfId="594" priority="277" stopIfTrue="1" operator="equal">
      <formula>0</formula>
    </cfRule>
  </conditionalFormatting>
  <conditionalFormatting sqref="L22:M22">
    <cfRule type="cellIs" dxfId="593" priority="276" stopIfTrue="1" operator="equal">
      <formula>0</formula>
    </cfRule>
  </conditionalFormatting>
  <conditionalFormatting sqref="N22:O22">
    <cfRule type="cellIs" dxfId="592" priority="275" stopIfTrue="1" operator="equal">
      <formula>0</formula>
    </cfRule>
  </conditionalFormatting>
  <conditionalFormatting sqref="P22:Q22">
    <cfRule type="cellIs" dxfId="591" priority="274" stopIfTrue="1" operator="equal">
      <formula>0</formula>
    </cfRule>
  </conditionalFormatting>
  <conditionalFormatting sqref="R22:S22">
    <cfRule type="cellIs" dxfId="590" priority="273" stopIfTrue="1" operator="equal">
      <formula>0</formula>
    </cfRule>
  </conditionalFormatting>
  <conditionalFormatting sqref="T22:U22">
    <cfRule type="cellIs" dxfId="589" priority="272" stopIfTrue="1" operator="equal">
      <formula>0</formula>
    </cfRule>
  </conditionalFormatting>
  <conditionalFormatting sqref="V22:W22">
    <cfRule type="cellIs" dxfId="588" priority="271" stopIfTrue="1" operator="equal">
      <formula>0</formula>
    </cfRule>
  </conditionalFormatting>
  <conditionalFormatting sqref="J23:K23">
    <cfRule type="cellIs" dxfId="587" priority="270" stopIfTrue="1" operator="equal">
      <formula>0</formula>
    </cfRule>
  </conditionalFormatting>
  <conditionalFormatting sqref="L23:M23">
    <cfRule type="cellIs" dxfId="586" priority="269" stopIfTrue="1" operator="equal">
      <formula>0</formula>
    </cfRule>
  </conditionalFormatting>
  <conditionalFormatting sqref="N23:O23">
    <cfRule type="cellIs" dxfId="585" priority="268" stopIfTrue="1" operator="equal">
      <formula>0</formula>
    </cfRule>
  </conditionalFormatting>
  <conditionalFormatting sqref="P23:Q23">
    <cfRule type="cellIs" dxfId="584" priority="267" stopIfTrue="1" operator="equal">
      <formula>0</formula>
    </cfRule>
  </conditionalFormatting>
  <conditionalFormatting sqref="R23:S23">
    <cfRule type="cellIs" dxfId="583" priority="266" stopIfTrue="1" operator="equal">
      <formula>0</formula>
    </cfRule>
  </conditionalFormatting>
  <conditionalFormatting sqref="T23:U23">
    <cfRule type="cellIs" dxfId="582" priority="265" stopIfTrue="1" operator="equal">
      <formula>0</formula>
    </cfRule>
  </conditionalFormatting>
  <conditionalFormatting sqref="V23:W23">
    <cfRule type="cellIs" dxfId="581" priority="264" stopIfTrue="1" operator="equal">
      <formula>0</formula>
    </cfRule>
  </conditionalFormatting>
  <conditionalFormatting sqref="J24:K24">
    <cfRule type="cellIs" dxfId="580" priority="263" stopIfTrue="1" operator="equal">
      <formula>0</formula>
    </cfRule>
  </conditionalFormatting>
  <conditionalFormatting sqref="L24:M24">
    <cfRule type="cellIs" dxfId="579" priority="262" stopIfTrue="1" operator="equal">
      <formula>0</formula>
    </cfRule>
  </conditionalFormatting>
  <conditionalFormatting sqref="N24:O24">
    <cfRule type="cellIs" dxfId="578" priority="261" stopIfTrue="1" operator="equal">
      <formula>0</formula>
    </cfRule>
  </conditionalFormatting>
  <conditionalFormatting sqref="P24:Q24">
    <cfRule type="cellIs" dxfId="577" priority="260" stopIfTrue="1" operator="equal">
      <formula>0</formula>
    </cfRule>
  </conditionalFormatting>
  <conditionalFormatting sqref="R24:S24">
    <cfRule type="cellIs" dxfId="576" priority="259" stopIfTrue="1" operator="equal">
      <formula>0</formula>
    </cfRule>
  </conditionalFormatting>
  <conditionalFormatting sqref="T24:U24">
    <cfRule type="cellIs" dxfId="575" priority="258" stopIfTrue="1" operator="equal">
      <formula>0</formula>
    </cfRule>
  </conditionalFormatting>
  <conditionalFormatting sqref="V24:W24">
    <cfRule type="cellIs" dxfId="574" priority="257" stopIfTrue="1" operator="equal">
      <formula>0</formula>
    </cfRule>
  </conditionalFormatting>
  <conditionalFormatting sqref="J25:K25">
    <cfRule type="cellIs" dxfId="573" priority="256" stopIfTrue="1" operator="equal">
      <formula>0</formula>
    </cfRule>
  </conditionalFormatting>
  <conditionalFormatting sqref="L25:M25">
    <cfRule type="cellIs" dxfId="572" priority="255" stopIfTrue="1" operator="equal">
      <formula>0</formula>
    </cfRule>
  </conditionalFormatting>
  <conditionalFormatting sqref="N25:O25">
    <cfRule type="cellIs" dxfId="571" priority="254" stopIfTrue="1" operator="equal">
      <formula>0</formula>
    </cfRule>
  </conditionalFormatting>
  <conditionalFormatting sqref="P25:Q25">
    <cfRule type="cellIs" dxfId="570" priority="253" stopIfTrue="1" operator="equal">
      <formula>0</formula>
    </cfRule>
  </conditionalFormatting>
  <conditionalFormatting sqref="R25:S25">
    <cfRule type="cellIs" dxfId="569" priority="252" stopIfTrue="1" operator="equal">
      <formula>0</formula>
    </cfRule>
  </conditionalFormatting>
  <conditionalFormatting sqref="T25:U25">
    <cfRule type="cellIs" dxfId="568" priority="251" stopIfTrue="1" operator="equal">
      <formula>0</formula>
    </cfRule>
  </conditionalFormatting>
  <conditionalFormatting sqref="V25:W25">
    <cfRule type="cellIs" dxfId="567" priority="250" stopIfTrue="1" operator="equal">
      <formula>0</formula>
    </cfRule>
  </conditionalFormatting>
  <conditionalFormatting sqref="J26:K26">
    <cfRule type="cellIs" dxfId="566" priority="249" stopIfTrue="1" operator="equal">
      <formula>0</formula>
    </cfRule>
  </conditionalFormatting>
  <conditionalFormatting sqref="L26:M26">
    <cfRule type="cellIs" dxfId="565" priority="248" stopIfTrue="1" operator="equal">
      <formula>0</formula>
    </cfRule>
  </conditionalFormatting>
  <conditionalFormatting sqref="N26:O26">
    <cfRule type="cellIs" dxfId="564" priority="247" stopIfTrue="1" operator="equal">
      <formula>0</formula>
    </cfRule>
  </conditionalFormatting>
  <conditionalFormatting sqref="P26:Q26">
    <cfRule type="cellIs" dxfId="563" priority="246" stopIfTrue="1" operator="equal">
      <formula>0</formula>
    </cfRule>
  </conditionalFormatting>
  <conditionalFormatting sqref="R26:S26">
    <cfRule type="cellIs" dxfId="562" priority="245" stopIfTrue="1" operator="equal">
      <formula>0</formula>
    </cfRule>
  </conditionalFormatting>
  <conditionalFormatting sqref="T26:U26">
    <cfRule type="cellIs" dxfId="561" priority="244" stopIfTrue="1" operator="equal">
      <formula>0</formula>
    </cfRule>
  </conditionalFormatting>
  <conditionalFormatting sqref="V26:W26">
    <cfRule type="cellIs" dxfId="560" priority="243" stopIfTrue="1" operator="equal">
      <formula>0</formula>
    </cfRule>
  </conditionalFormatting>
  <conditionalFormatting sqref="J27:K27">
    <cfRule type="cellIs" dxfId="559" priority="242" stopIfTrue="1" operator="equal">
      <formula>0</formula>
    </cfRule>
  </conditionalFormatting>
  <conditionalFormatting sqref="L27:M27">
    <cfRule type="cellIs" dxfId="558" priority="241" stopIfTrue="1" operator="equal">
      <formula>0</formula>
    </cfRule>
  </conditionalFormatting>
  <conditionalFormatting sqref="N27:O27">
    <cfRule type="cellIs" dxfId="557" priority="240" stopIfTrue="1" operator="equal">
      <formula>0</formula>
    </cfRule>
  </conditionalFormatting>
  <conditionalFormatting sqref="P27:Q27">
    <cfRule type="cellIs" dxfId="556" priority="239" stopIfTrue="1" operator="equal">
      <formula>0</formula>
    </cfRule>
  </conditionalFormatting>
  <conditionalFormatting sqref="R27:S27">
    <cfRule type="cellIs" dxfId="555" priority="238" stopIfTrue="1" operator="equal">
      <formula>0</formula>
    </cfRule>
  </conditionalFormatting>
  <conditionalFormatting sqref="T27:U27">
    <cfRule type="cellIs" dxfId="554" priority="237" stopIfTrue="1" operator="equal">
      <formula>0</formula>
    </cfRule>
  </conditionalFormatting>
  <conditionalFormatting sqref="V27:W27">
    <cfRule type="cellIs" dxfId="553" priority="236" stopIfTrue="1" operator="equal">
      <formula>0</formula>
    </cfRule>
  </conditionalFormatting>
  <conditionalFormatting sqref="J28:K28">
    <cfRule type="cellIs" dxfId="552" priority="235" stopIfTrue="1" operator="equal">
      <formula>0</formula>
    </cfRule>
  </conditionalFormatting>
  <conditionalFormatting sqref="L28:M28">
    <cfRule type="cellIs" dxfId="551" priority="234" stopIfTrue="1" operator="equal">
      <formula>0</formula>
    </cfRule>
  </conditionalFormatting>
  <conditionalFormatting sqref="N28:O28">
    <cfRule type="cellIs" dxfId="550" priority="233" stopIfTrue="1" operator="equal">
      <formula>0</formula>
    </cfRule>
  </conditionalFormatting>
  <conditionalFormatting sqref="P28:Q28">
    <cfRule type="cellIs" dxfId="549" priority="232" stopIfTrue="1" operator="equal">
      <formula>0</formula>
    </cfRule>
  </conditionalFormatting>
  <conditionalFormatting sqref="R28:S28">
    <cfRule type="cellIs" dxfId="548" priority="231" stopIfTrue="1" operator="equal">
      <formula>0</formula>
    </cfRule>
  </conditionalFormatting>
  <conditionalFormatting sqref="T28:U28">
    <cfRule type="cellIs" dxfId="547" priority="230" stopIfTrue="1" operator="equal">
      <formula>0</formula>
    </cfRule>
  </conditionalFormatting>
  <conditionalFormatting sqref="V28:W28">
    <cfRule type="cellIs" dxfId="546" priority="229" stopIfTrue="1" operator="equal">
      <formula>0</formula>
    </cfRule>
  </conditionalFormatting>
  <conditionalFormatting sqref="J29:K29">
    <cfRule type="cellIs" dxfId="545" priority="228" stopIfTrue="1" operator="equal">
      <formula>0</formula>
    </cfRule>
  </conditionalFormatting>
  <conditionalFormatting sqref="L29:M29">
    <cfRule type="cellIs" dxfId="544" priority="227" stopIfTrue="1" operator="equal">
      <formula>0</formula>
    </cfRule>
  </conditionalFormatting>
  <conditionalFormatting sqref="N29:O29">
    <cfRule type="cellIs" dxfId="543" priority="226" stopIfTrue="1" operator="equal">
      <formula>0</formula>
    </cfRule>
  </conditionalFormatting>
  <conditionalFormatting sqref="P29:Q29">
    <cfRule type="cellIs" dxfId="542" priority="225" stopIfTrue="1" operator="equal">
      <formula>0</formula>
    </cfRule>
  </conditionalFormatting>
  <conditionalFormatting sqref="R29:S29">
    <cfRule type="cellIs" dxfId="541" priority="224" stopIfTrue="1" operator="equal">
      <formula>0</formula>
    </cfRule>
  </conditionalFormatting>
  <conditionalFormatting sqref="T29:U29">
    <cfRule type="cellIs" dxfId="540" priority="223" stopIfTrue="1" operator="equal">
      <formula>0</formula>
    </cfRule>
  </conditionalFormatting>
  <conditionalFormatting sqref="V29:W29">
    <cfRule type="cellIs" dxfId="539" priority="222" stopIfTrue="1" operator="equal">
      <formula>0</formula>
    </cfRule>
  </conditionalFormatting>
  <conditionalFormatting sqref="J30:K30">
    <cfRule type="cellIs" dxfId="538" priority="221" stopIfTrue="1" operator="equal">
      <formula>0</formula>
    </cfRule>
  </conditionalFormatting>
  <conditionalFormatting sqref="L30:M30">
    <cfRule type="cellIs" dxfId="537" priority="220" stopIfTrue="1" operator="equal">
      <formula>0</formula>
    </cfRule>
  </conditionalFormatting>
  <conditionalFormatting sqref="N30:O30">
    <cfRule type="cellIs" dxfId="536" priority="219" stopIfTrue="1" operator="equal">
      <formula>0</formula>
    </cfRule>
  </conditionalFormatting>
  <conditionalFormatting sqref="P30:Q30">
    <cfRule type="cellIs" dxfId="535" priority="218" stopIfTrue="1" operator="equal">
      <formula>0</formula>
    </cfRule>
  </conditionalFormatting>
  <conditionalFormatting sqref="R30:S30">
    <cfRule type="cellIs" dxfId="534" priority="217" stopIfTrue="1" operator="equal">
      <formula>0</formula>
    </cfRule>
  </conditionalFormatting>
  <conditionalFormatting sqref="T30:U30">
    <cfRule type="cellIs" dxfId="533" priority="216" stopIfTrue="1" operator="equal">
      <formula>0</formula>
    </cfRule>
  </conditionalFormatting>
  <conditionalFormatting sqref="V30:W30">
    <cfRule type="cellIs" dxfId="532" priority="215" stopIfTrue="1" operator="equal">
      <formula>0</formula>
    </cfRule>
  </conditionalFormatting>
  <conditionalFormatting sqref="J31:K31">
    <cfRule type="cellIs" dxfId="531" priority="214" stopIfTrue="1" operator="equal">
      <formula>0</formula>
    </cfRule>
  </conditionalFormatting>
  <conditionalFormatting sqref="L31:M31">
    <cfRule type="cellIs" dxfId="530" priority="213" stopIfTrue="1" operator="equal">
      <formula>0</formula>
    </cfRule>
  </conditionalFormatting>
  <conditionalFormatting sqref="N31:O31">
    <cfRule type="cellIs" dxfId="529" priority="212" stopIfTrue="1" operator="equal">
      <formula>0</formula>
    </cfRule>
  </conditionalFormatting>
  <conditionalFormatting sqref="P31:Q31">
    <cfRule type="cellIs" dxfId="528" priority="211" stopIfTrue="1" operator="equal">
      <formula>0</formula>
    </cfRule>
  </conditionalFormatting>
  <conditionalFormatting sqref="R31:S31">
    <cfRule type="cellIs" dxfId="527" priority="210" stopIfTrue="1" operator="equal">
      <formula>0</formula>
    </cfRule>
  </conditionalFormatting>
  <conditionalFormatting sqref="T31:U31">
    <cfRule type="cellIs" dxfId="526" priority="209" stopIfTrue="1" operator="equal">
      <formula>0</formula>
    </cfRule>
  </conditionalFormatting>
  <conditionalFormatting sqref="V31:W31">
    <cfRule type="cellIs" dxfId="525" priority="208" stopIfTrue="1" operator="equal">
      <formula>0</formula>
    </cfRule>
  </conditionalFormatting>
  <conditionalFormatting sqref="J32:K32">
    <cfRule type="cellIs" dxfId="524" priority="207" stopIfTrue="1" operator="equal">
      <formula>0</formula>
    </cfRule>
  </conditionalFormatting>
  <conditionalFormatting sqref="L32:M32">
    <cfRule type="cellIs" dxfId="523" priority="206" stopIfTrue="1" operator="equal">
      <formula>0</formula>
    </cfRule>
  </conditionalFormatting>
  <conditionalFormatting sqref="N32:O32">
    <cfRule type="cellIs" dxfId="522" priority="205" stopIfTrue="1" operator="equal">
      <formula>0</formula>
    </cfRule>
  </conditionalFormatting>
  <conditionalFormatting sqref="P32:Q32">
    <cfRule type="cellIs" dxfId="521" priority="204" stopIfTrue="1" operator="equal">
      <formula>0</formula>
    </cfRule>
  </conditionalFormatting>
  <conditionalFormatting sqref="R32:S32">
    <cfRule type="cellIs" dxfId="520" priority="203" stopIfTrue="1" operator="equal">
      <formula>0</formula>
    </cfRule>
  </conditionalFormatting>
  <conditionalFormatting sqref="T32:U32">
    <cfRule type="cellIs" dxfId="519" priority="202" stopIfTrue="1" operator="equal">
      <formula>0</formula>
    </cfRule>
  </conditionalFormatting>
  <conditionalFormatting sqref="V32:W32">
    <cfRule type="cellIs" dxfId="518" priority="201" stopIfTrue="1" operator="equal">
      <formula>0</formula>
    </cfRule>
  </conditionalFormatting>
  <conditionalFormatting sqref="J33:K33">
    <cfRule type="cellIs" dxfId="517" priority="200" stopIfTrue="1" operator="equal">
      <formula>0</formula>
    </cfRule>
  </conditionalFormatting>
  <conditionalFormatting sqref="L33:M33">
    <cfRule type="cellIs" dxfId="516" priority="199" stopIfTrue="1" operator="equal">
      <formula>0</formula>
    </cfRule>
  </conditionalFormatting>
  <conditionalFormatting sqref="N33:O33">
    <cfRule type="cellIs" dxfId="515" priority="198" stopIfTrue="1" operator="equal">
      <formula>0</formula>
    </cfRule>
  </conditionalFormatting>
  <conditionalFormatting sqref="P33:Q33">
    <cfRule type="cellIs" dxfId="514" priority="197" stopIfTrue="1" operator="equal">
      <formula>0</formula>
    </cfRule>
  </conditionalFormatting>
  <conditionalFormatting sqref="R33:S33">
    <cfRule type="cellIs" dxfId="513" priority="196" stopIfTrue="1" operator="equal">
      <formula>0</formula>
    </cfRule>
  </conditionalFormatting>
  <conditionalFormatting sqref="T33:U33">
    <cfRule type="cellIs" dxfId="512" priority="195" stopIfTrue="1" operator="equal">
      <formula>0</formula>
    </cfRule>
  </conditionalFormatting>
  <conditionalFormatting sqref="V33:W33">
    <cfRule type="cellIs" dxfId="511" priority="194" stopIfTrue="1" operator="equal">
      <formula>0</formula>
    </cfRule>
  </conditionalFormatting>
  <conditionalFormatting sqref="J34:K34">
    <cfRule type="cellIs" dxfId="510" priority="193" stopIfTrue="1" operator="equal">
      <formula>0</formula>
    </cfRule>
  </conditionalFormatting>
  <conditionalFormatting sqref="L34:M34">
    <cfRule type="cellIs" dxfId="509" priority="192" stopIfTrue="1" operator="equal">
      <formula>0</formula>
    </cfRule>
  </conditionalFormatting>
  <conditionalFormatting sqref="N34:O34">
    <cfRule type="cellIs" dxfId="508" priority="191" stopIfTrue="1" operator="equal">
      <formula>0</formula>
    </cfRule>
  </conditionalFormatting>
  <conditionalFormatting sqref="P34:Q34">
    <cfRule type="cellIs" dxfId="507" priority="190" stopIfTrue="1" operator="equal">
      <formula>0</formula>
    </cfRule>
  </conditionalFormatting>
  <conditionalFormatting sqref="R34:S34">
    <cfRule type="cellIs" dxfId="506" priority="189" stopIfTrue="1" operator="equal">
      <formula>0</formula>
    </cfRule>
  </conditionalFormatting>
  <conditionalFormatting sqref="T34:U34">
    <cfRule type="cellIs" dxfId="505" priority="188" stopIfTrue="1" operator="equal">
      <formula>0</formula>
    </cfRule>
  </conditionalFormatting>
  <conditionalFormatting sqref="V34:W34">
    <cfRule type="cellIs" dxfId="504" priority="187" stopIfTrue="1" operator="equal">
      <formula>0</formula>
    </cfRule>
  </conditionalFormatting>
  <conditionalFormatting sqref="J35:K35">
    <cfRule type="cellIs" dxfId="503" priority="186" stopIfTrue="1" operator="equal">
      <formula>0</formula>
    </cfRule>
  </conditionalFormatting>
  <conditionalFormatting sqref="L35:M35">
    <cfRule type="cellIs" dxfId="502" priority="185" stopIfTrue="1" operator="equal">
      <formula>0</formula>
    </cfRule>
  </conditionalFormatting>
  <conditionalFormatting sqref="N35:O35">
    <cfRule type="cellIs" dxfId="501" priority="184" stopIfTrue="1" operator="equal">
      <formula>0</formula>
    </cfRule>
  </conditionalFormatting>
  <conditionalFormatting sqref="P35:Q35">
    <cfRule type="cellIs" dxfId="500" priority="183" stopIfTrue="1" operator="equal">
      <formula>0</formula>
    </cfRule>
  </conditionalFormatting>
  <conditionalFormatting sqref="R35:S35">
    <cfRule type="cellIs" dxfId="499" priority="182" stopIfTrue="1" operator="equal">
      <formula>0</formula>
    </cfRule>
  </conditionalFormatting>
  <conditionalFormatting sqref="T35:U35">
    <cfRule type="cellIs" dxfId="498" priority="181" stopIfTrue="1" operator="equal">
      <formula>0</formula>
    </cfRule>
  </conditionalFormatting>
  <conditionalFormatting sqref="V35:W35">
    <cfRule type="cellIs" dxfId="497" priority="180" stopIfTrue="1" operator="equal">
      <formula>0</formula>
    </cfRule>
  </conditionalFormatting>
  <conditionalFormatting sqref="J36:K36">
    <cfRule type="cellIs" dxfId="496" priority="179" stopIfTrue="1" operator="equal">
      <formula>0</formula>
    </cfRule>
  </conditionalFormatting>
  <conditionalFormatting sqref="L36:M36">
    <cfRule type="cellIs" dxfId="495" priority="178" stopIfTrue="1" operator="equal">
      <formula>0</formula>
    </cfRule>
  </conditionalFormatting>
  <conditionalFormatting sqref="N36:O36">
    <cfRule type="cellIs" dxfId="494" priority="177" stopIfTrue="1" operator="equal">
      <formula>0</formula>
    </cfRule>
  </conditionalFormatting>
  <conditionalFormatting sqref="P36:Q36">
    <cfRule type="cellIs" dxfId="493" priority="176" stopIfTrue="1" operator="equal">
      <formula>0</formula>
    </cfRule>
  </conditionalFormatting>
  <conditionalFormatting sqref="R36:S36">
    <cfRule type="cellIs" dxfId="492" priority="175" stopIfTrue="1" operator="equal">
      <formula>0</formula>
    </cfRule>
  </conditionalFormatting>
  <conditionalFormatting sqref="T36:U36">
    <cfRule type="cellIs" dxfId="491" priority="174" stopIfTrue="1" operator="equal">
      <formula>0</formula>
    </cfRule>
  </conditionalFormatting>
  <conditionalFormatting sqref="V36:W36">
    <cfRule type="cellIs" dxfId="490" priority="173" stopIfTrue="1" operator="equal">
      <formula>0</formula>
    </cfRule>
  </conditionalFormatting>
  <conditionalFormatting sqref="J37:K37">
    <cfRule type="cellIs" dxfId="489" priority="172" stopIfTrue="1" operator="equal">
      <formula>0</formula>
    </cfRule>
  </conditionalFormatting>
  <conditionalFormatting sqref="L37:M37">
    <cfRule type="cellIs" dxfId="488" priority="171" stopIfTrue="1" operator="equal">
      <formula>0</formula>
    </cfRule>
  </conditionalFormatting>
  <conditionalFormatting sqref="N37:O37">
    <cfRule type="cellIs" dxfId="487" priority="170" stopIfTrue="1" operator="equal">
      <formula>0</formula>
    </cfRule>
  </conditionalFormatting>
  <conditionalFormatting sqref="P37:Q37">
    <cfRule type="cellIs" dxfId="486" priority="169" stopIfTrue="1" operator="equal">
      <formula>0</formula>
    </cfRule>
  </conditionalFormatting>
  <conditionalFormatting sqref="R37:S37">
    <cfRule type="cellIs" dxfId="485" priority="168" stopIfTrue="1" operator="equal">
      <formula>0</formula>
    </cfRule>
  </conditionalFormatting>
  <conditionalFormatting sqref="T37:U37">
    <cfRule type="cellIs" dxfId="484" priority="167" stopIfTrue="1" operator="equal">
      <formula>0</formula>
    </cfRule>
  </conditionalFormatting>
  <conditionalFormatting sqref="V37:W37">
    <cfRule type="cellIs" dxfId="483" priority="166" stopIfTrue="1" operator="equal">
      <formula>0</formula>
    </cfRule>
  </conditionalFormatting>
  <conditionalFormatting sqref="J38:K38">
    <cfRule type="cellIs" dxfId="482" priority="165" stopIfTrue="1" operator="equal">
      <formula>0</formula>
    </cfRule>
  </conditionalFormatting>
  <conditionalFormatting sqref="L38:M38">
    <cfRule type="cellIs" dxfId="481" priority="164" stopIfTrue="1" operator="equal">
      <formula>0</formula>
    </cfRule>
  </conditionalFormatting>
  <conditionalFormatting sqref="N38:O38">
    <cfRule type="cellIs" dxfId="480" priority="163" stopIfTrue="1" operator="equal">
      <formula>0</formula>
    </cfRule>
  </conditionalFormatting>
  <conditionalFormatting sqref="P38:Q38">
    <cfRule type="cellIs" dxfId="479" priority="162" stopIfTrue="1" operator="equal">
      <formula>0</formula>
    </cfRule>
  </conditionalFormatting>
  <conditionalFormatting sqref="R38:S38">
    <cfRule type="cellIs" dxfId="478" priority="161" stopIfTrue="1" operator="equal">
      <formula>0</formula>
    </cfRule>
  </conditionalFormatting>
  <conditionalFormatting sqref="T38:U38">
    <cfRule type="cellIs" dxfId="477" priority="160" stopIfTrue="1" operator="equal">
      <formula>0</formula>
    </cfRule>
  </conditionalFormatting>
  <conditionalFormatting sqref="V38:W38">
    <cfRule type="cellIs" dxfId="476" priority="159" stopIfTrue="1" operator="equal">
      <formula>0</formula>
    </cfRule>
  </conditionalFormatting>
  <conditionalFormatting sqref="J39:K39">
    <cfRule type="cellIs" dxfId="475" priority="158" stopIfTrue="1" operator="equal">
      <formula>0</formula>
    </cfRule>
  </conditionalFormatting>
  <conditionalFormatting sqref="L39:M39">
    <cfRule type="cellIs" dxfId="474" priority="157" stopIfTrue="1" operator="equal">
      <formula>0</formula>
    </cfRule>
  </conditionalFormatting>
  <conditionalFormatting sqref="N39:O39">
    <cfRule type="cellIs" dxfId="473" priority="156" stopIfTrue="1" operator="equal">
      <formula>0</formula>
    </cfRule>
  </conditionalFormatting>
  <conditionalFormatting sqref="P39:Q39">
    <cfRule type="cellIs" dxfId="472" priority="155" stopIfTrue="1" operator="equal">
      <formula>0</formula>
    </cfRule>
  </conditionalFormatting>
  <conditionalFormatting sqref="R39:S39">
    <cfRule type="cellIs" dxfId="471" priority="154" stopIfTrue="1" operator="equal">
      <formula>0</formula>
    </cfRule>
  </conditionalFormatting>
  <conditionalFormatting sqref="T39:U39">
    <cfRule type="cellIs" dxfId="470" priority="153" stopIfTrue="1" operator="equal">
      <formula>0</formula>
    </cfRule>
  </conditionalFormatting>
  <conditionalFormatting sqref="V39:W39">
    <cfRule type="cellIs" dxfId="469" priority="152" stopIfTrue="1" operator="equal">
      <formula>0</formula>
    </cfRule>
  </conditionalFormatting>
  <conditionalFormatting sqref="J40:K40">
    <cfRule type="cellIs" dxfId="468" priority="151" stopIfTrue="1" operator="equal">
      <formula>0</formula>
    </cfRule>
  </conditionalFormatting>
  <conditionalFormatting sqref="L40:M40">
    <cfRule type="cellIs" dxfId="467" priority="150" stopIfTrue="1" operator="equal">
      <formula>0</formula>
    </cfRule>
  </conditionalFormatting>
  <conditionalFormatting sqref="N40:O40">
    <cfRule type="cellIs" dxfId="466" priority="149" stopIfTrue="1" operator="equal">
      <formula>0</formula>
    </cfRule>
  </conditionalFormatting>
  <conditionalFormatting sqref="P40:Q40">
    <cfRule type="cellIs" dxfId="465" priority="148" stopIfTrue="1" operator="equal">
      <formula>0</formula>
    </cfRule>
  </conditionalFormatting>
  <conditionalFormatting sqref="R40:S40">
    <cfRule type="cellIs" dxfId="464" priority="147" stopIfTrue="1" operator="equal">
      <formula>0</formula>
    </cfRule>
  </conditionalFormatting>
  <conditionalFormatting sqref="T40:U40">
    <cfRule type="cellIs" dxfId="463" priority="146" stopIfTrue="1" operator="equal">
      <formula>0</formula>
    </cfRule>
  </conditionalFormatting>
  <conditionalFormatting sqref="V40:W40">
    <cfRule type="cellIs" dxfId="462" priority="145" stopIfTrue="1" operator="equal">
      <formula>0</formula>
    </cfRule>
  </conditionalFormatting>
  <conditionalFormatting sqref="J41:K41">
    <cfRule type="cellIs" dxfId="461" priority="144" stopIfTrue="1" operator="equal">
      <formula>0</formula>
    </cfRule>
  </conditionalFormatting>
  <conditionalFormatting sqref="L41:M41">
    <cfRule type="cellIs" dxfId="460" priority="143" stopIfTrue="1" operator="equal">
      <formula>0</formula>
    </cfRule>
  </conditionalFormatting>
  <conditionalFormatting sqref="N41:O41">
    <cfRule type="cellIs" dxfId="459" priority="142" stopIfTrue="1" operator="equal">
      <formula>0</formula>
    </cfRule>
  </conditionalFormatting>
  <conditionalFormatting sqref="P41:Q41">
    <cfRule type="cellIs" dxfId="458" priority="141" stopIfTrue="1" operator="equal">
      <formula>0</formula>
    </cfRule>
  </conditionalFormatting>
  <conditionalFormatting sqref="R41:S41">
    <cfRule type="cellIs" dxfId="457" priority="140" stopIfTrue="1" operator="equal">
      <formula>0</formula>
    </cfRule>
  </conditionalFormatting>
  <conditionalFormatting sqref="T41:U41">
    <cfRule type="cellIs" dxfId="456" priority="139" stopIfTrue="1" operator="equal">
      <formula>0</formula>
    </cfRule>
  </conditionalFormatting>
  <conditionalFormatting sqref="V41:W41">
    <cfRule type="cellIs" dxfId="455" priority="138" stopIfTrue="1" operator="equal">
      <formula>0</formula>
    </cfRule>
  </conditionalFormatting>
  <conditionalFormatting sqref="J42:K42">
    <cfRule type="cellIs" dxfId="454" priority="137" stopIfTrue="1" operator="equal">
      <formula>0</formula>
    </cfRule>
  </conditionalFormatting>
  <conditionalFormatting sqref="L42:M42">
    <cfRule type="cellIs" dxfId="453" priority="136" stopIfTrue="1" operator="equal">
      <formula>0</formula>
    </cfRule>
  </conditionalFormatting>
  <conditionalFormatting sqref="N42:O42">
    <cfRule type="cellIs" dxfId="452" priority="135" stopIfTrue="1" operator="equal">
      <formula>0</formula>
    </cfRule>
  </conditionalFormatting>
  <conditionalFormatting sqref="P42:Q42">
    <cfRule type="cellIs" dxfId="451" priority="134" stopIfTrue="1" operator="equal">
      <formula>0</formula>
    </cfRule>
  </conditionalFormatting>
  <conditionalFormatting sqref="R42:S42">
    <cfRule type="cellIs" dxfId="450" priority="133" stopIfTrue="1" operator="equal">
      <formula>0</formula>
    </cfRule>
  </conditionalFormatting>
  <conditionalFormatting sqref="T42:U42">
    <cfRule type="cellIs" dxfId="449" priority="132" stopIfTrue="1" operator="equal">
      <formula>0</formula>
    </cfRule>
  </conditionalFormatting>
  <conditionalFormatting sqref="V42:W42">
    <cfRule type="cellIs" dxfId="448" priority="131" stopIfTrue="1" operator="equal">
      <formula>0</formula>
    </cfRule>
  </conditionalFormatting>
  <conditionalFormatting sqref="J43:K43">
    <cfRule type="cellIs" dxfId="447" priority="130" stopIfTrue="1" operator="equal">
      <formula>0</formula>
    </cfRule>
  </conditionalFormatting>
  <conditionalFormatting sqref="L43:M43">
    <cfRule type="cellIs" dxfId="446" priority="129" stopIfTrue="1" operator="equal">
      <formula>0</formula>
    </cfRule>
  </conditionalFormatting>
  <conditionalFormatting sqref="N43:O43">
    <cfRule type="cellIs" dxfId="445" priority="128" stopIfTrue="1" operator="equal">
      <formula>0</formula>
    </cfRule>
  </conditionalFormatting>
  <conditionalFormatting sqref="P43:Q43">
    <cfRule type="cellIs" dxfId="444" priority="127" stopIfTrue="1" operator="equal">
      <formula>0</formula>
    </cfRule>
  </conditionalFormatting>
  <conditionalFormatting sqref="R43:S43">
    <cfRule type="cellIs" dxfId="443" priority="126" stopIfTrue="1" operator="equal">
      <formula>0</formula>
    </cfRule>
  </conditionalFormatting>
  <conditionalFormatting sqref="T43:U43">
    <cfRule type="cellIs" dxfId="442" priority="125" stopIfTrue="1" operator="equal">
      <formula>0</formula>
    </cfRule>
  </conditionalFormatting>
  <conditionalFormatting sqref="V43:W43">
    <cfRule type="cellIs" dxfId="441" priority="124" stopIfTrue="1" operator="equal">
      <formula>0</formula>
    </cfRule>
  </conditionalFormatting>
  <conditionalFormatting sqref="J44:K44">
    <cfRule type="cellIs" dxfId="440" priority="123" stopIfTrue="1" operator="equal">
      <formula>0</formula>
    </cfRule>
  </conditionalFormatting>
  <conditionalFormatting sqref="L44:M44">
    <cfRule type="cellIs" dxfId="439" priority="122" stopIfTrue="1" operator="equal">
      <formula>0</formula>
    </cfRule>
  </conditionalFormatting>
  <conditionalFormatting sqref="N44:O44">
    <cfRule type="cellIs" dxfId="438" priority="121" stopIfTrue="1" operator="equal">
      <formula>0</formula>
    </cfRule>
  </conditionalFormatting>
  <conditionalFormatting sqref="P44:Q44">
    <cfRule type="cellIs" dxfId="437" priority="120" stopIfTrue="1" operator="equal">
      <formula>0</formula>
    </cfRule>
  </conditionalFormatting>
  <conditionalFormatting sqref="R44:S44">
    <cfRule type="cellIs" dxfId="436" priority="119" stopIfTrue="1" operator="equal">
      <formula>0</formula>
    </cfRule>
  </conditionalFormatting>
  <conditionalFormatting sqref="T44:U44">
    <cfRule type="cellIs" dxfId="435" priority="118" stopIfTrue="1" operator="equal">
      <formula>0</formula>
    </cfRule>
  </conditionalFormatting>
  <conditionalFormatting sqref="V44:W44">
    <cfRule type="cellIs" dxfId="434" priority="117" stopIfTrue="1" operator="equal">
      <formula>0</formula>
    </cfRule>
  </conditionalFormatting>
  <conditionalFormatting sqref="J45:K45">
    <cfRule type="cellIs" dxfId="433" priority="116" stopIfTrue="1" operator="equal">
      <formula>0</formula>
    </cfRule>
  </conditionalFormatting>
  <conditionalFormatting sqref="L45:M45">
    <cfRule type="cellIs" dxfId="432" priority="115" stopIfTrue="1" operator="equal">
      <formula>0</formula>
    </cfRule>
  </conditionalFormatting>
  <conditionalFormatting sqref="N45:O45">
    <cfRule type="cellIs" dxfId="431" priority="114" stopIfTrue="1" operator="equal">
      <formula>0</formula>
    </cfRule>
  </conditionalFormatting>
  <conditionalFormatting sqref="P45:Q45">
    <cfRule type="cellIs" dxfId="430" priority="113" stopIfTrue="1" operator="equal">
      <formula>0</formula>
    </cfRule>
  </conditionalFormatting>
  <conditionalFormatting sqref="R45:S45">
    <cfRule type="cellIs" dxfId="429" priority="112" stopIfTrue="1" operator="equal">
      <formula>0</formula>
    </cfRule>
  </conditionalFormatting>
  <conditionalFormatting sqref="T45:U45">
    <cfRule type="cellIs" dxfId="428" priority="111" stopIfTrue="1" operator="equal">
      <formula>0</formula>
    </cfRule>
  </conditionalFormatting>
  <conditionalFormatting sqref="V45:W45">
    <cfRule type="cellIs" dxfId="427" priority="110" stopIfTrue="1" operator="equal">
      <formula>0</formula>
    </cfRule>
  </conditionalFormatting>
  <conditionalFormatting sqref="J46:K46">
    <cfRule type="cellIs" dxfId="426" priority="109" stopIfTrue="1" operator="equal">
      <formula>0</formula>
    </cfRule>
  </conditionalFormatting>
  <conditionalFormatting sqref="L46:M46">
    <cfRule type="cellIs" dxfId="425" priority="108" stopIfTrue="1" operator="equal">
      <formula>0</formula>
    </cfRule>
  </conditionalFormatting>
  <conditionalFormatting sqref="N46:O46">
    <cfRule type="cellIs" dxfId="424" priority="107" stopIfTrue="1" operator="equal">
      <formula>0</formula>
    </cfRule>
  </conditionalFormatting>
  <conditionalFormatting sqref="P46:Q46">
    <cfRule type="cellIs" dxfId="423" priority="106" stopIfTrue="1" operator="equal">
      <formula>0</formula>
    </cfRule>
  </conditionalFormatting>
  <conditionalFormatting sqref="R46:S46">
    <cfRule type="cellIs" dxfId="422" priority="105" stopIfTrue="1" operator="equal">
      <formula>0</formula>
    </cfRule>
  </conditionalFormatting>
  <conditionalFormatting sqref="T46:U46">
    <cfRule type="cellIs" dxfId="421" priority="104" stopIfTrue="1" operator="equal">
      <formula>0</formula>
    </cfRule>
  </conditionalFormatting>
  <conditionalFormatting sqref="V46:W46">
    <cfRule type="cellIs" dxfId="420" priority="103" stopIfTrue="1" operator="equal">
      <formula>0</formula>
    </cfRule>
  </conditionalFormatting>
  <conditionalFormatting sqref="J47:K47">
    <cfRule type="cellIs" dxfId="419" priority="102" stopIfTrue="1" operator="equal">
      <formula>0</formula>
    </cfRule>
  </conditionalFormatting>
  <conditionalFormatting sqref="L47:M47">
    <cfRule type="cellIs" dxfId="418" priority="101" stopIfTrue="1" operator="equal">
      <formula>0</formula>
    </cfRule>
  </conditionalFormatting>
  <conditionalFormatting sqref="N47:O47">
    <cfRule type="cellIs" dxfId="417" priority="100" stopIfTrue="1" operator="equal">
      <formula>0</formula>
    </cfRule>
  </conditionalFormatting>
  <conditionalFormatting sqref="P47:Q47">
    <cfRule type="cellIs" dxfId="416" priority="99" stopIfTrue="1" operator="equal">
      <formula>0</formula>
    </cfRule>
  </conditionalFormatting>
  <conditionalFormatting sqref="R47:S47">
    <cfRule type="cellIs" dxfId="415" priority="98" stopIfTrue="1" operator="equal">
      <formula>0</formula>
    </cfRule>
  </conditionalFormatting>
  <conditionalFormatting sqref="T47:U47">
    <cfRule type="cellIs" dxfId="414" priority="97" stopIfTrue="1" operator="equal">
      <formula>0</formula>
    </cfRule>
  </conditionalFormatting>
  <conditionalFormatting sqref="V47:W47">
    <cfRule type="cellIs" dxfId="413" priority="96" stopIfTrue="1" operator="equal">
      <formula>0</formula>
    </cfRule>
  </conditionalFormatting>
  <conditionalFormatting sqref="D54:L59">
    <cfRule type="expression" dxfId="412" priority="95">
      <formula>$AB$8=0</formula>
    </cfRule>
  </conditionalFormatting>
  <conditionalFormatting sqref="D54:I56">
    <cfRule type="expression" dxfId="411" priority="94">
      <formula>$AB$8=1</formula>
    </cfRule>
  </conditionalFormatting>
  <printOptions horizontalCentered="1"/>
  <pageMargins left="0.7" right="0.7" top="0.39370078740157477" bottom="0.39370078740157477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7" r:id="rId4" name="Button 5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5" name="Button 6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6" name="Button 7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7" name="Button 10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8" name="Button 11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9" name="Button 12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0" name="Button 13">
              <controlPr defaultSize="0" print="0" autoFill="0" autoPict="0" macro="[0]!休日初期化">
                <anchor moveWithCells="1" sizeWithCells="1">
                  <from>
                    <xdr:col>27</xdr:col>
                    <xdr:colOff>488950</xdr:colOff>
                    <xdr:row>25</xdr:row>
                    <xdr:rowOff>69850</xdr:rowOff>
                  </from>
                  <to>
                    <xdr:col>28</xdr:col>
                    <xdr:colOff>266700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1" name="Button 14">
              <controlPr defaultSize="0" print="0" autoFill="0" autoPict="0" macro="[0]!初期状態">
                <anchor moveWithCells="1" sizeWithCells="1">
                  <from>
                    <xdr:col>27</xdr:col>
                    <xdr:colOff>533400</xdr:colOff>
                    <xdr:row>32</xdr:row>
                    <xdr:rowOff>31750</xdr:rowOff>
                  </from>
                  <to>
                    <xdr:col>28</xdr:col>
                    <xdr:colOff>419100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2" name="Button 17">
              <controlPr defaultSize="0" print="0" autoFill="0" autoPict="0" macro="[0]!ws_add">
                <anchor moveWithCells="1" sizeWithCells="1">
                  <from>
                    <xdr:col>27</xdr:col>
                    <xdr:colOff>488950</xdr:colOff>
                    <xdr:row>35</xdr:row>
                    <xdr:rowOff>69850</xdr:rowOff>
                  </from>
                  <to>
                    <xdr:col>29</xdr:col>
                    <xdr:colOff>603250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13" name="Button 18">
              <controlPr defaultSize="0" print="0" autoFill="0" autoPict="0" macro="[0]!統合">
                <anchor moveWithCells="1" sizeWithCells="1">
                  <from>
                    <xdr:col>26</xdr:col>
                    <xdr:colOff>63500</xdr:colOff>
                    <xdr:row>59</xdr:row>
                    <xdr:rowOff>19050</xdr:rowOff>
                  </from>
                  <to>
                    <xdr:col>26</xdr:col>
                    <xdr:colOff>673100</xdr:colOff>
                    <xdr:row>60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14" name="Button 19">
              <controlPr defaultSize="0" print="0" autoFill="0" autoPict="0" macro="[0]!休暇処理">
                <anchor moveWithCells="1" sizeWithCells="1">
                  <from>
                    <xdr:col>26</xdr:col>
                    <xdr:colOff>63500</xdr:colOff>
                    <xdr:row>61</xdr:row>
                    <xdr:rowOff>19050</xdr:rowOff>
                  </from>
                  <to>
                    <xdr:col>26</xdr:col>
                    <xdr:colOff>673100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15" name="Button 20">
              <controlPr defaultSize="0" print="0" autoFill="0" autoPict="0" macro="[0]!化粧直し">
                <anchor moveWithCells="1" sizeWithCells="1">
                  <from>
                    <xdr:col>26</xdr:col>
                    <xdr:colOff>69850</xdr:colOff>
                    <xdr:row>63</xdr:row>
                    <xdr:rowOff>31750</xdr:rowOff>
                  </from>
                  <to>
                    <xdr:col>26</xdr:col>
                    <xdr:colOff>679450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16" name="Button 21">
              <controlPr defaultSize="0" print="0" autoFill="0" autoPict="0" macro="[0]!休日初期化">
                <anchor moveWithCells="1" sizeWithCells="1">
                  <from>
                    <xdr:col>26</xdr:col>
                    <xdr:colOff>146050</xdr:colOff>
                    <xdr:row>65</xdr:row>
                    <xdr:rowOff>69850</xdr:rowOff>
                  </from>
                  <to>
                    <xdr:col>26</xdr:col>
                    <xdr:colOff>641350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17" name="Button 22">
              <controlPr defaultSize="0" print="0" autoFill="0" autoPict="0" macro="[0]!初期状態">
                <anchor moveWithCells="1" sizeWithCells="1">
                  <from>
                    <xdr:col>26</xdr:col>
                    <xdr:colOff>57150</xdr:colOff>
                    <xdr:row>67</xdr:row>
                    <xdr:rowOff>88900</xdr:rowOff>
                  </from>
                  <to>
                    <xdr:col>26</xdr:col>
                    <xdr:colOff>666750</xdr:colOff>
                    <xdr:row>69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stopIfTrue="1" id="{EB4CC487-23EC-4A14-A6C5-E1BCAF8007B1}">
            <xm:f xml:space="preserve"> OR($X$17=+テーブル!A2,$X$17=+テーブル!A3,$X$17=+テーブル!A9,$X$17=+テーブル!A10,$X$17=+テーブル!A12,$X$17=+テーブル!A13,$X$17=+テーブル!A16)</xm:f>
            <x14:dxf>
              <font>
                <color rgb="FFFF0000"/>
              </font>
            </x14:dxf>
          </x14:cfRule>
          <xm:sqref>D17:E17</xm:sqref>
        </x14:conditionalFormatting>
        <x14:conditionalFormatting xmlns:xm="http://schemas.microsoft.com/office/excel/2006/main">
          <x14:cfRule type="expression" priority="92" stopIfTrue="1" id="{EAA309E1-9D4C-4FCD-AD7C-025F19CAB51D}">
            <xm:f xml:space="preserve"> OR($X$17=+テーブル!A2,$X$17=+テーブル!A4,$X$17=+テーブル!A9,$X$17=+テーブル!A11,$X$17=+テーブル!A12,$X$17=+テーブル!A14,$X$17=+テーブル!A16)</xm:f>
            <x14:dxf>
              <font>
                <color rgb="FFFF0000"/>
              </font>
            </x14:dxf>
          </x14:cfRule>
          <xm:sqref>F17:G17</xm:sqref>
        </x14:conditionalFormatting>
        <x14:conditionalFormatting xmlns:xm="http://schemas.microsoft.com/office/excel/2006/main">
          <x14:cfRule type="expression" priority="91" stopIfTrue="1" id="{0095A6AF-F512-4A88-9994-9401D32A446A}">
            <xm:f xml:space="preserve"> OR($X$17=+テーブル!A2,$X$17=+テーブル!A3,$X$17=+テーブル!A4,$X$17=+テーブル!A9,$X$17=+テーブル!A10,$X$17=+テーブル!A11,$X$17=+テーブル!A12,$X$17=+テーブル!A13,$X$17=+テーブル!A14,$X$17=+テーブル!A16)</xm:f>
            <x14:dxf>
              <font>
                <color rgb="FFFF0000"/>
              </font>
            </x14:dxf>
          </x14:cfRule>
          <xm:sqref>H17:I17</xm:sqref>
        </x14:conditionalFormatting>
        <x14:conditionalFormatting xmlns:xm="http://schemas.microsoft.com/office/excel/2006/main">
          <x14:cfRule type="expression" priority="90" stopIfTrue="1" id="{13231C5D-DC80-4055-B800-28632617AA8F}">
            <xm:f xml:space="preserve"> OR($X$18=+テーブル!A2,$X$18=+テーブル!A3,$X$18=+テーブル!A9,$X$18=+テーブル!A10,$X$18=+テーブル!A12,$X$18=+テーブル!A13,$X$18=+テーブル!A16)</xm:f>
            <x14:dxf>
              <font>
                <color rgb="FFFF0000"/>
              </font>
            </x14:dxf>
          </x14:cfRule>
          <xm:sqref>D18:E18</xm:sqref>
        </x14:conditionalFormatting>
        <x14:conditionalFormatting xmlns:xm="http://schemas.microsoft.com/office/excel/2006/main">
          <x14:cfRule type="expression" priority="89" stopIfTrue="1" id="{1AF2D9B0-ED71-4113-B24C-093C982F1165}">
            <xm:f xml:space="preserve"> OR($X$18=+テーブル!A2,$X$18=+テーブル!A4,$X$18=+テーブル!A9,$X$18=+テーブル!A11,$X$18=+テーブル!A12,$X$18=+テーブル!A14,$X$18=+テーブル!A16)</xm:f>
            <x14:dxf>
              <font>
                <color rgb="FFFF0000"/>
              </font>
            </x14:dxf>
          </x14:cfRule>
          <xm:sqref>F18:G18</xm:sqref>
        </x14:conditionalFormatting>
        <x14:conditionalFormatting xmlns:xm="http://schemas.microsoft.com/office/excel/2006/main">
          <x14:cfRule type="expression" priority="88" stopIfTrue="1" id="{1E0B6BF4-1A65-49B6-A4A2-D1ABE654B656}">
            <xm:f xml:space="preserve"> OR($X$18=+テーブル!A2,$X$18=+テーブル!A3,$X$18=+テーブル!A4,$X$18=+テーブル!A9,$X$18=+テーブル!A10,$X$18=+テーブル!A11,$X$18=+テーブル!A12,$X$18=+テーブル!A13,$X$18=+テーブル!A14,$X$18=+テーブル!A16)</xm:f>
            <x14:dxf>
              <font>
                <color rgb="FFFF0000"/>
              </font>
            </x14:dxf>
          </x14:cfRule>
          <xm:sqref>H18:I18</xm:sqref>
        </x14:conditionalFormatting>
        <x14:conditionalFormatting xmlns:xm="http://schemas.microsoft.com/office/excel/2006/main">
          <x14:cfRule type="expression" priority="87" stopIfTrue="1" id="{1CA3FC5C-1C78-4B31-B6DE-3E3C2EFB0445}">
            <xm:f xml:space="preserve"> OR($X$19=+テーブル!A2,$X$19=+テーブル!A3,$X$19=+テーブル!A9,$X$19=+テーブル!A10,$X$19=+テーブル!A12,$X$19=+テーブル!A13,$X$19=+テーブル!A16)</xm:f>
            <x14:dxf>
              <font>
                <color rgb="FFFF0000"/>
              </font>
            </x14:dxf>
          </x14:cfRule>
          <xm:sqref>D19:E19</xm:sqref>
        </x14:conditionalFormatting>
        <x14:conditionalFormatting xmlns:xm="http://schemas.microsoft.com/office/excel/2006/main">
          <x14:cfRule type="expression" priority="86" stopIfTrue="1" id="{1A26B3E9-46F5-41FA-9E60-3A577B0F91EC}">
            <xm:f xml:space="preserve"> OR($X$19=+テーブル!A2,$X$19=+テーブル!A4,$X$19=+テーブル!A9,$X$19=+テーブル!A11,$X$19=+テーブル!A12,$X$19=+テーブル!A14,$X$19=+テーブル!A16)</xm:f>
            <x14:dxf>
              <font>
                <color rgb="FFFF0000"/>
              </font>
            </x14:dxf>
          </x14:cfRule>
          <xm:sqref>F19:G19</xm:sqref>
        </x14:conditionalFormatting>
        <x14:conditionalFormatting xmlns:xm="http://schemas.microsoft.com/office/excel/2006/main">
          <x14:cfRule type="expression" priority="85" stopIfTrue="1" id="{755315EA-CCF3-4528-A118-B2F291EA3801}">
            <xm:f xml:space="preserve"> OR($X$19=+テーブル!A2,$X$19=+テーブル!A3,$X$19=+テーブル!A4,$X$19=+テーブル!A9,$X$19=+テーブル!A10,$X$19=+テーブル!A11,$X$19=+テーブル!A12,$X$19=+テーブル!A13,$X$19=+テーブル!A14,$X$19=+テーブル!A16)</xm:f>
            <x14:dxf>
              <font>
                <color rgb="FFFF0000"/>
              </font>
            </x14:dxf>
          </x14:cfRule>
          <xm:sqref>H19:I19</xm:sqref>
        </x14:conditionalFormatting>
        <x14:conditionalFormatting xmlns:xm="http://schemas.microsoft.com/office/excel/2006/main">
          <x14:cfRule type="expression" priority="84" stopIfTrue="1" id="{DF8A24C2-4942-40BA-938B-74941A48259C}">
            <xm:f xml:space="preserve"> OR($X$20=+テーブル!A2,$X$20=+テーブル!A3,$X$20=+テーブル!A9,$X$20=+テーブル!A10,$X$20=+テーブル!A12,$X$20=+テーブル!A13,$X$20=+テーブル!A16)</xm:f>
            <x14:dxf>
              <font>
                <color rgb="FFFF000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83" stopIfTrue="1" id="{8401AC56-06F3-4865-A69E-99A9F0EAB4FF}">
            <xm:f xml:space="preserve"> OR($X$20=+テーブル!A2,$X$20=+テーブル!A4,$X$20=+テーブル!A9,$X$20=+テーブル!A11,$X$20=+テーブル!A12,$X$20=+テーブル!A14,$X$20=+テーブル!A16)</xm:f>
            <x14:dxf>
              <font>
                <color rgb="FFFF0000"/>
              </font>
            </x14:dxf>
          </x14:cfRule>
          <xm:sqref>F20:G20</xm:sqref>
        </x14:conditionalFormatting>
        <x14:conditionalFormatting xmlns:xm="http://schemas.microsoft.com/office/excel/2006/main">
          <x14:cfRule type="expression" priority="82" stopIfTrue="1" id="{44718413-C4F7-4546-9E56-74BEBBBC9310}">
            <xm:f xml:space="preserve"> OR($X$20=+テーブル!A2,$X$20=+テーブル!A3,$X$20=+テーブル!A4,$X$20=+テーブル!A9,$X$20=+テーブル!A10,$X$20=+テーブル!A11,$X$20=+テーブル!A12,$X$20=+テーブル!A13,$X$20=+テーブル!A14,$X$20=+テーブル!A16)</xm:f>
            <x14:dxf>
              <font>
                <color rgb="FFFF0000"/>
              </font>
            </x14:dxf>
          </x14:cfRule>
          <xm:sqref>H20:I20</xm:sqref>
        </x14:conditionalFormatting>
        <x14:conditionalFormatting xmlns:xm="http://schemas.microsoft.com/office/excel/2006/main">
          <x14:cfRule type="expression" priority="81" stopIfTrue="1" id="{DCDAB8E1-B890-46A8-9819-E1932FB13964}">
            <xm:f xml:space="preserve"> OR($X$21=+テーブル!A2,$X$21=+テーブル!A3,$X$21=+テーブル!A9,$X$21=+テーブル!A10,$X$21=+テーブル!A12,$X$21=+テーブル!A13,$X$21=+テーブル!A16)</xm:f>
            <x14:dxf>
              <font>
                <color rgb="FFFF0000"/>
              </font>
            </x14:dxf>
          </x14:cfRule>
          <xm:sqref>D21:E21</xm:sqref>
        </x14:conditionalFormatting>
        <x14:conditionalFormatting xmlns:xm="http://schemas.microsoft.com/office/excel/2006/main">
          <x14:cfRule type="expression" priority="80" stopIfTrue="1" id="{2DB09B1A-6051-43CE-AB1F-9752C43573E0}">
            <xm:f xml:space="preserve"> OR($X$21=+テーブル!A2,$X$21=+テーブル!A4,$X$21=+テーブル!A9,$X$21=+テーブル!A11,$X$21=+テーブル!A12,$X$21=+テーブル!A14,$X$21=+テーブル!A16)</xm:f>
            <x14:dxf>
              <font>
                <color rgb="FFFF0000"/>
              </font>
            </x14:dxf>
          </x14:cfRule>
          <xm:sqref>F21:G21</xm:sqref>
        </x14:conditionalFormatting>
        <x14:conditionalFormatting xmlns:xm="http://schemas.microsoft.com/office/excel/2006/main">
          <x14:cfRule type="expression" priority="79" stopIfTrue="1" id="{5DB20EC3-C246-4026-974D-851D943A1FDF}">
            <xm:f xml:space="preserve"> OR($X$21=+テーブル!A2,$X$21=+テーブル!A3,$X$21=+テーブル!A4,$X$21=+テーブル!A9,$X$21=+テーブル!A10,$X$21=+テーブル!A11,$X$21=+テーブル!A12,$X$21=+テーブル!A13,$X$21=+テーブル!A14,$X$21=+テーブル!A16)</xm:f>
            <x14:dxf>
              <font>
                <color rgb="FFFF0000"/>
              </font>
            </x14:dxf>
          </x14:cfRule>
          <xm:sqref>H21:I21</xm:sqref>
        </x14:conditionalFormatting>
        <x14:conditionalFormatting xmlns:xm="http://schemas.microsoft.com/office/excel/2006/main">
          <x14:cfRule type="expression" priority="78" stopIfTrue="1" id="{AD0CC19D-409E-446A-889F-791D21B9084F}">
            <xm:f xml:space="preserve"> OR($X$22=+テーブル!A2,$X$22=+テーブル!A3,$X$22=+テーブル!A9,$X$22=+テーブル!A10,$X$22=+テーブル!A12,$X$22=+テーブル!A13,$X$22=+テーブル!A16)</xm:f>
            <x14:dxf>
              <font>
                <color rgb="FFFF0000"/>
              </font>
            </x14:dxf>
          </x14:cfRule>
          <xm:sqref>D22:E22</xm:sqref>
        </x14:conditionalFormatting>
        <x14:conditionalFormatting xmlns:xm="http://schemas.microsoft.com/office/excel/2006/main">
          <x14:cfRule type="expression" priority="77" stopIfTrue="1" id="{21AB620D-676D-4BF0-8CF3-942653CC3A05}">
            <xm:f xml:space="preserve"> OR($X$22=+テーブル!A2,$X$22=+テーブル!A4,$X$22=+テーブル!A9,$X$22=+テーブル!A11,$X$22=+テーブル!A12,$X$22=+テーブル!A14,$X$22=+テーブル!A16)</xm:f>
            <x14:dxf>
              <font>
                <color rgb="FFFF0000"/>
              </font>
            </x14:dxf>
          </x14:cfRule>
          <xm:sqref>F22:G22</xm:sqref>
        </x14:conditionalFormatting>
        <x14:conditionalFormatting xmlns:xm="http://schemas.microsoft.com/office/excel/2006/main">
          <x14:cfRule type="expression" priority="76" stopIfTrue="1" id="{EA587503-25F7-4D74-8A56-C8E397547FAF}">
            <xm:f xml:space="preserve"> OR($X$22=+テーブル!A2,$X$22=+テーブル!A3,$X$22=+テーブル!A4,$X$22=+テーブル!A9,$X$22=+テーブル!A10,$X$22=+テーブル!A11,$X$22=+テーブル!A12,$X$22=+テーブル!A13,$X$22=+テーブル!A14,$X$22=+テーブル!A16)</xm:f>
            <x14:dxf>
              <font>
                <color rgb="FFFF0000"/>
              </font>
            </x14:dxf>
          </x14:cfRule>
          <xm:sqref>H22:I22</xm:sqref>
        </x14:conditionalFormatting>
        <x14:conditionalFormatting xmlns:xm="http://schemas.microsoft.com/office/excel/2006/main">
          <x14:cfRule type="expression" priority="75" stopIfTrue="1" id="{0290823B-850F-4BBA-BA86-CEC425AB2951}">
            <xm:f xml:space="preserve"> OR($X$23=+テーブル!A2,$X$23=+テーブル!A3,$X$23=+テーブル!A9,$X$23=+テーブル!A10,$X$23=+テーブル!A12,$X$23=+テーブル!A13,$X$23=+テーブル!A16)</xm:f>
            <x14:dxf>
              <font>
                <color rgb="FFFF0000"/>
              </font>
            </x14:dxf>
          </x14:cfRule>
          <xm:sqref>D23:E23</xm:sqref>
        </x14:conditionalFormatting>
        <x14:conditionalFormatting xmlns:xm="http://schemas.microsoft.com/office/excel/2006/main">
          <x14:cfRule type="expression" priority="74" stopIfTrue="1" id="{EBBFA41D-57E0-4DAD-B296-5126D28F5BB6}">
            <xm:f xml:space="preserve"> OR($X$23=+テーブル!A2,$X$23=+テーブル!A4,$X$23=+テーブル!A9,$X$23=+テーブル!A11,$X$23=+テーブル!A12,$X$23=+テーブル!A14,$X$23=+テーブル!A16)</xm:f>
            <x14:dxf>
              <font>
                <color rgb="FFFF0000"/>
              </font>
            </x14:dxf>
          </x14:cfRule>
          <xm:sqref>F23:G23</xm:sqref>
        </x14:conditionalFormatting>
        <x14:conditionalFormatting xmlns:xm="http://schemas.microsoft.com/office/excel/2006/main">
          <x14:cfRule type="expression" priority="73" stopIfTrue="1" id="{B363420C-99CF-4156-AD20-1C6C5935FF48}">
            <xm:f xml:space="preserve"> OR($X$23=+テーブル!A2,$X$23=+テーブル!A3,$X$23=+テーブル!A4,$X$23=+テーブル!A9,$X$23=+テーブル!A10,$X$23=+テーブル!A11,$X$23=+テーブル!A12,$X$23=+テーブル!A13,$X$23=+テーブル!A14,$X$23=+テーブル!A16)</xm:f>
            <x14:dxf>
              <font>
                <color rgb="FFFF0000"/>
              </font>
            </x14:dxf>
          </x14:cfRule>
          <xm:sqref>H23:I23</xm:sqref>
        </x14:conditionalFormatting>
        <x14:conditionalFormatting xmlns:xm="http://schemas.microsoft.com/office/excel/2006/main">
          <x14:cfRule type="expression" priority="72" stopIfTrue="1" id="{E040D328-D4E4-4315-8354-F9D8D01DD3C9}">
            <xm:f xml:space="preserve"> OR($X$24=+テーブル!A2,$X$24=+テーブル!A3,$X$24=+テーブル!A9,$X$24=+テーブル!A10,$X$24=+テーブル!A12,$X$24=+テーブル!A13,$X$24=+テーブル!A16)</xm:f>
            <x14:dxf>
              <font>
                <color rgb="FFFF0000"/>
              </font>
            </x14:dxf>
          </x14:cfRule>
          <xm:sqref>D24:E24</xm:sqref>
        </x14:conditionalFormatting>
        <x14:conditionalFormatting xmlns:xm="http://schemas.microsoft.com/office/excel/2006/main">
          <x14:cfRule type="expression" priority="71" stopIfTrue="1" id="{CA3D0CBF-4709-4863-8BF4-08CB449DA245}">
            <xm:f xml:space="preserve"> OR($X$24=+テーブル!A2,$X$24=+テーブル!A4,$X$24=+テーブル!A9,$X$24=+テーブル!A11,$X$24=+テーブル!A12,$X$24=+テーブル!A14,$X$24=+テーブル!A16)</xm:f>
            <x14:dxf>
              <font>
                <color rgb="FFFF0000"/>
              </font>
            </x14:dxf>
          </x14:cfRule>
          <xm:sqref>F24:G24</xm:sqref>
        </x14:conditionalFormatting>
        <x14:conditionalFormatting xmlns:xm="http://schemas.microsoft.com/office/excel/2006/main">
          <x14:cfRule type="expression" priority="70" stopIfTrue="1" id="{8EC2CFF0-8FB0-45AA-948A-EFDB6F4944E7}">
            <xm:f xml:space="preserve"> OR($X$24=+テーブル!A2,$X$24=+テーブル!A3,$X$24=+テーブル!A4,$X$24=+テーブル!A9,$X$24=+テーブル!A10,$X$24=+テーブル!A11,$X$24=+テーブル!A12,$X$24=+テーブル!A13,$X$24=+テーブル!A14,$X$24=+テーブル!A16)</xm:f>
            <x14:dxf>
              <font>
                <color rgb="FFFF0000"/>
              </font>
            </x14:dxf>
          </x14:cfRule>
          <xm:sqref>H24:I24</xm:sqref>
        </x14:conditionalFormatting>
        <x14:conditionalFormatting xmlns:xm="http://schemas.microsoft.com/office/excel/2006/main">
          <x14:cfRule type="expression" priority="69" stopIfTrue="1" id="{7BC8327A-43E4-4F0C-A071-EE12EBBE0D8C}">
            <xm:f xml:space="preserve"> OR($X$25=+テーブル!A2,$X$25=+テーブル!A3,$X$25=+テーブル!A9,$X$25=+テーブル!A10,$X$25=+テーブル!A12,$X$25=+テーブル!A13,$X$25=+テーブル!A16)</xm:f>
            <x14:dxf>
              <font>
                <color rgb="FFFF0000"/>
              </font>
            </x14:dxf>
          </x14:cfRule>
          <xm:sqref>D25:E25</xm:sqref>
        </x14:conditionalFormatting>
        <x14:conditionalFormatting xmlns:xm="http://schemas.microsoft.com/office/excel/2006/main">
          <x14:cfRule type="expression" priority="68" stopIfTrue="1" id="{3AFFA57B-1083-4C98-87D5-F51438E0B0E0}">
            <xm:f xml:space="preserve"> OR($X$25=+テーブル!A2,$X$25=+テーブル!A4,$X$25=+テーブル!A9,$X$25=+テーブル!A11,$X$25=+テーブル!A12,$X$25=+テーブル!A14,$X$25=+テーブル!A16)</xm:f>
            <x14:dxf>
              <font>
                <color rgb="FFFF0000"/>
              </font>
            </x14:dxf>
          </x14:cfRule>
          <xm:sqref>F25:G25</xm:sqref>
        </x14:conditionalFormatting>
        <x14:conditionalFormatting xmlns:xm="http://schemas.microsoft.com/office/excel/2006/main">
          <x14:cfRule type="expression" priority="67" stopIfTrue="1" id="{967FCF0B-7EDB-49A7-95DF-E7486C5217C0}">
            <xm:f xml:space="preserve"> OR($X$25=+テーブル!A2,$X$25=+テーブル!A3,$X$25=+テーブル!A4,$X$25=+テーブル!A9,$X$25=+テーブル!A10,$X$25=+テーブル!A11,$X$25=+テーブル!A12,$X$25=+テーブル!A13,$X$25=+テーブル!A14,$X$25=+テーブル!A16)</xm:f>
            <x14:dxf>
              <font>
                <color rgb="FFFF0000"/>
              </font>
            </x14:dxf>
          </x14:cfRule>
          <xm:sqref>H25:I25</xm:sqref>
        </x14:conditionalFormatting>
        <x14:conditionalFormatting xmlns:xm="http://schemas.microsoft.com/office/excel/2006/main">
          <x14:cfRule type="expression" priority="66" stopIfTrue="1" id="{77840339-4E43-457F-8DE6-1C0C614D7F4E}">
            <xm:f xml:space="preserve"> OR($X$26=+テーブル!A2,$X$26=+テーブル!A3,$X$26=+テーブル!A9,$X$26=+テーブル!A10,$X$26=+テーブル!A12,$X$26=+テーブル!A13,$X$26=+テーブル!A16)</xm:f>
            <x14:dxf>
              <font>
                <color rgb="FFFF0000"/>
              </font>
            </x14:dxf>
          </x14:cfRule>
          <xm:sqref>D26:E26</xm:sqref>
        </x14:conditionalFormatting>
        <x14:conditionalFormatting xmlns:xm="http://schemas.microsoft.com/office/excel/2006/main">
          <x14:cfRule type="expression" priority="65" stopIfTrue="1" id="{CB3BF701-064A-4C40-AACF-F80DB7BE7D59}">
            <xm:f xml:space="preserve"> OR($X$26=+テーブル!A2,$X$26=+テーブル!A4,$X$26=+テーブル!A9,$X$26=+テーブル!A11,$X$26=+テーブル!A12,$X$26=+テーブル!A14,$X$26=+テーブル!A16)</xm:f>
            <x14:dxf>
              <font>
                <color rgb="FFFF0000"/>
              </font>
            </x14:dxf>
          </x14:cfRule>
          <xm:sqref>F26:G26</xm:sqref>
        </x14:conditionalFormatting>
        <x14:conditionalFormatting xmlns:xm="http://schemas.microsoft.com/office/excel/2006/main">
          <x14:cfRule type="expression" priority="64" stopIfTrue="1" id="{387EB029-8E54-43CF-9257-5042D576E037}">
            <xm:f xml:space="preserve"> OR($X$26=+テーブル!A2,$X$26=+テーブル!A3,$X$26=+テーブル!A4,$X$26=+テーブル!A9,$X$26=+テーブル!A10,$X$26=+テーブル!A11,$X$26=+テーブル!A12,$X$26=+テーブル!A13,$X$26=+テーブル!A14,$X$26=+テーブル!A16)</xm:f>
            <x14:dxf>
              <font>
                <color rgb="FFFF0000"/>
              </font>
            </x14:dxf>
          </x14:cfRule>
          <xm:sqref>H26:I26</xm:sqref>
        </x14:conditionalFormatting>
        <x14:conditionalFormatting xmlns:xm="http://schemas.microsoft.com/office/excel/2006/main">
          <x14:cfRule type="expression" priority="63" stopIfTrue="1" id="{C079A062-EBE8-4142-A673-A4F37FBC686F}">
            <xm:f xml:space="preserve"> OR($X$27=+テーブル!A2,$X$27=+テーブル!A3,$X$27=+テーブル!A9,$X$27=+テーブル!A10,$X$27=+テーブル!A12,$X$27=+テーブル!A13,$X$27=+テーブル!A16)</xm:f>
            <x14:dxf>
              <font>
                <color rgb="FFFF0000"/>
              </font>
            </x14:dxf>
          </x14:cfRule>
          <xm:sqref>D27:E27</xm:sqref>
        </x14:conditionalFormatting>
        <x14:conditionalFormatting xmlns:xm="http://schemas.microsoft.com/office/excel/2006/main">
          <x14:cfRule type="expression" priority="62" stopIfTrue="1" id="{3799CD49-F8F7-4605-92FC-E9787E22A7AC}">
            <xm:f xml:space="preserve"> OR($X$27=+テーブル!A2,$X$27=+テーブル!A4,$X$27=+テーブル!A9,$X$27=+テーブル!A11,$X$27=+テーブル!A12,$X$27=+テーブル!A14,$X$27=+テーブル!A16)</xm:f>
            <x14:dxf>
              <font>
                <color rgb="FFFF0000"/>
              </font>
            </x14:dxf>
          </x14:cfRule>
          <xm:sqref>F27:G27</xm:sqref>
        </x14:conditionalFormatting>
        <x14:conditionalFormatting xmlns:xm="http://schemas.microsoft.com/office/excel/2006/main">
          <x14:cfRule type="expression" priority="61" stopIfTrue="1" id="{88AC6EC4-893E-422D-BFDF-5B25B77960CC}">
            <xm:f xml:space="preserve"> OR($X$27=+テーブル!A2,$X$27=+テーブル!A3,$X$27=+テーブル!A4,$X$27=+テーブル!A9,$X$27=+テーブル!A10,$X$27=+テーブル!A11,$X$27=+テーブル!A12,$X$27=+テーブル!A13,$X$27=+テーブル!A14,$X$27=+テーブル!A16)</xm:f>
            <x14:dxf>
              <font>
                <color rgb="FFFF0000"/>
              </font>
            </x14:dxf>
          </x14:cfRule>
          <xm:sqref>H27:I27</xm:sqref>
        </x14:conditionalFormatting>
        <x14:conditionalFormatting xmlns:xm="http://schemas.microsoft.com/office/excel/2006/main">
          <x14:cfRule type="expression" priority="60" stopIfTrue="1" id="{75657D3D-EA7B-4FEE-ADC7-E4C4BEBB7BCE}">
            <xm:f xml:space="preserve"> OR($X$28=+テーブル!A2,$X$28=+テーブル!A3,$X$28=+テーブル!A9,$X$28=+テーブル!A10,$X$28=+テーブル!A12,$X$28=+テーブル!A13,$X$28=+テーブル!A16)</xm:f>
            <x14:dxf>
              <font>
                <color rgb="FFFF0000"/>
              </font>
            </x14:dxf>
          </x14:cfRule>
          <xm:sqref>D28:E28</xm:sqref>
        </x14:conditionalFormatting>
        <x14:conditionalFormatting xmlns:xm="http://schemas.microsoft.com/office/excel/2006/main">
          <x14:cfRule type="expression" priority="59" stopIfTrue="1" id="{41ADFACF-3FD7-4665-ABE3-F6CBD07BEEE0}">
            <xm:f xml:space="preserve"> OR($X$28=+テーブル!A2,$X$28=+テーブル!A4,$X$28=+テーブル!A9,$X$28=+テーブル!A11,$X$28=+テーブル!A12,$X$28=+テーブル!A14,$X$28=+テーブル!A16)</xm:f>
            <x14:dxf>
              <font>
                <color rgb="FFFF0000"/>
              </font>
            </x14:dxf>
          </x14:cfRule>
          <xm:sqref>F28:G28</xm:sqref>
        </x14:conditionalFormatting>
        <x14:conditionalFormatting xmlns:xm="http://schemas.microsoft.com/office/excel/2006/main">
          <x14:cfRule type="expression" priority="58" stopIfTrue="1" id="{8B2C186A-DA0D-4437-A837-303686351C0B}">
            <xm:f xml:space="preserve"> OR($X$28=+テーブル!A2,$X$28=+テーブル!A3,$X$28=+テーブル!A4,$X$28=+テーブル!A9,$X$28=+テーブル!A10,$X$28=+テーブル!A11,$X$28=+テーブル!A12,$X$28=+テーブル!A13,$X$28=+テーブル!A14,$X$28=+テーブル!A16)</xm:f>
            <x14:dxf>
              <font>
                <color rgb="FFFF0000"/>
              </font>
            </x14:dxf>
          </x14:cfRule>
          <xm:sqref>H28:I28</xm:sqref>
        </x14:conditionalFormatting>
        <x14:conditionalFormatting xmlns:xm="http://schemas.microsoft.com/office/excel/2006/main">
          <x14:cfRule type="expression" priority="57" stopIfTrue="1" id="{0B64851B-ADEF-449D-BC5D-546BC8EB08D5}">
            <xm:f xml:space="preserve"> OR($X$29=+テーブル!A2,$X$29=+テーブル!A3,$X$29=+テーブル!A9,$X$29=+テーブル!A10,$X$29=+テーブル!A12,$X$29=+テーブル!A13,$X$29=+テーブル!A16)</xm:f>
            <x14:dxf>
              <font>
                <color rgb="FFFF0000"/>
              </font>
            </x14:dxf>
          </x14:cfRule>
          <xm:sqref>D29:E29</xm:sqref>
        </x14:conditionalFormatting>
        <x14:conditionalFormatting xmlns:xm="http://schemas.microsoft.com/office/excel/2006/main">
          <x14:cfRule type="expression" priority="56" stopIfTrue="1" id="{9A2DE378-A08F-4B52-8AAC-9DCD7B0C406B}">
            <xm:f xml:space="preserve"> OR($X$29=+テーブル!A2,$X$29=+テーブル!A4,$X$29=+テーブル!A9,$X$29=+テーブル!A11,$X$29=+テーブル!A12,$X$29=+テーブル!A14,$X$29=+テーブル!A16)</xm:f>
            <x14:dxf>
              <font>
                <color rgb="FFFF0000"/>
              </font>
            </x14:dxf>
          </x14:cfRule>
          <xm:sqref>F29:G29</xm:sqref>
        </x14:conditionalFormatting>
        <x14:conditionalFormatting xmlns:xm="http://schemas.microsoft.com/office/excel/2006/main">
          <x14:cfRule type="expression" priority="55" stopIfTrue="1" id="{ABCA5CDC-6C90-4939-BFD9-C103C11A755A}">
            <xm:f xml:space="preserve"> OR($X$29=+テーブル!A2,$X$29=+テーブル!A3,$X$29=+テーブル!A4,$X$29=+テーブル!A9,$X$29=+テーブル!A10,$X$29=+テーブル!A11,$X$29=+テーブル!A12,$X$29=+テーブル!A13,$X$29=+テーブル!A14,$X$29=+テーブル!A16)</xm:f>
            <x14:dxf>
              <font>
                <color rgb="FFFF0000"/>
              </font>
            </x14:dxf>
          </x14:cfRule>
          <xm:sqref>H29:I29</xm:sqref>
        </x14:conditionalFormatting>
        <x14:conditionalFormatting xmlns:xm="http://schemas.microsoft.com/office/excel/2006/main">
          <x14:cfRule type="expression" priority="54" stopIfTrue="1" id="{0CE98DF2-853F-45CD-AB3B-EFC78F70EEC5}">
            <xm:f xml:space="preserve"> OR($X$30=+テーブル!A2,$X$30=+テーブル!A3,$X$30=+テーブル!A9,$X$30=+テーブル!A10,$X$30=+テーブル!A12,$X$30=+テーブル!A13,$X$30=+テーブル!A16)</xm:f>
            <x14:dxf>
              <font>
                <color rgb="FFFF0000"/>
              </font>
            </x14:dxf>
          </x14:cfRule>
          <xm:sqref>D30:E30</xm:sqref>
        </x14:conditionalFormatting>
        <x14:conditionalFormatting xmlns:xm="http://schemas.microsoft.com/office/excel/2006/main">
          <x14:cfRule type="expression" priority="53" stopIfTrue="1" id="{DE79CF51-6861-47DD-B3EE-D8EAA0AB9DCF}">
            <xm:f xml:space="preserve"> OR($X$30=+テーブル!A2,$X$30=+テーブル!A4,$X$30=+テーブル!A9,$X$30=+テーブル!A11,$X$30=+テーブル!A12,$X$30=+テーブル!A14,$X$30=+テーブル!A16)</xm:f>
            <x14:dxf>
              <font>
                <color rgb="FFFF0000"/>
              </font>
            </x14:dxf>
          </x14:cfRule>
          <xm:sqref>F30:G30</xm:sqref>
        </x14:conditionalFormatting>
        <x14:conditionalFormatting xmlns:xm="http://schemas.microsoft.com/office/excel/2006/main">
          <x14:cfRule type="expression" priority="52" stopIfTrue="1" id="{212C97CC-4527-45B0-A785-5EF367596C00}">
            <xm:f xml:space="preserve"> OR($X$30=+テーブル!A2,$X$30=+テーブル!A3,$X$30=+テーブル!A4,$X$30=+テーブル!A9,$X$30=+テーブル!A10,$X$30=+テーブル!A11,$X$30=+テーブル!A12,$X$30=+テーブル!A13,$X$30=+テーブル!A14,$X$30=+テーブル!A16)</xm:f>
            <x14:dxf>
              <font>
                <color rgb="FFFF0000"/>
              </font>
            </x14:dxf>
          </x14:cfRule>
          <xm:sqref>H30:I30</xm:sqref>
        </x14:conditionalFormatting>
        <x14:conditionalFormatting xmlns:xm="http://schemas.microsoft.com/office/excel/2006/main">
          <x14:cfRule type="expression" priority="51" stopIfTrue="1" id="{495F0CE6-57C0-431B-81F7-5201666CC102}">
            <xm:f xml:space="preserve"> OR($X$31=+テーブル!A2,$X$31=+テーブル!A3,$X$31=+テーブル!A9,$X$31=+テーブル!A10,$X$31=+テーブル!A12,$X$31=+テーブル!A13,$X$31=+テーブル!A16)</xm:f>
            <x14:dxf>
              <font>
                <color rgb="FFFF0000"/>
              </font>
            </x14:dxf>
          </x14:cfRule>
          <xm:sqref>D31:E31</xm:sqref>
        </x14:conditionalFormatting>
        <x14:conditionalFormatting xmlns:xm="http://schemas.microsoft.com/office/excel/2006/main">
          <x14:cfRule type="expression" priority="50" stopIfTrue="1" id="{C6A14F31-E3C5-4D03-A96D-4D4CEA5FCD18}">
            <xm:f xml:space="preserve"> OR($X$31=+テーブル!A2,$X$31=+テーブル!A4,$X$31=+テーブル!A9,$X$31=+テーブル!A11,$X$31=+テーブル!A12,$X$31=+テーブル!A14,$X$31=+テーブル!A16)</xm:f>
            <x14:dxf>
              <font>
                <color rgb="FFFF0000"/>
              </font>
            </x14:dxf>
          </x14:cfRule>
          <xm:sqref>F31:G31</xm:sqref>
        </x14:conditionalFormatting>
        <x14:conditionalFormatting xmlns:xm="http://schemas.microsoft.com/office/excel/2006/main">
          <x14:cfRule type="expression" priority="49" stopIfTrue="1" id="{C89D8B65-A864-4374-8B20-47F13D5FFEBD}">
            <xm:f xml:space="preserve"> OR($X$31=+テーブル!A2,$X$31=+テーブル!A3,$X$31=+テーブル!A4,$X$31=+テーブル!A9,$X$31=+テーブル!A10,$X$31=+テーブル!A11,$X$31=+テーブル!A12,$X$31=+テーブル!A13,$X$31=+テーブル!A14,$X$31=+テーブル!A16)</xm:f>
            <x14:dxf>
              <font>
                <color rgb="FFFF0000"/>
              </font>
            </x14:dxf>
          </x14:cfRule>
          <xm:sqref>H31:I31</xm:sqref>
        </x14:conditionalFormatting>
        <x14:conditionalFormatting xmlns:xm="http://schemas.microsoft.com/office/excel/2006/main">
          <x14:cfRule type="expression" priority="48" stopIfTrue="1" id="{79A6FBC7-9A8A-4F66-9FF3-BE0841AD1C19}">
            <xm:f xml:space="preserve"> OR($X$32=+テーブル!A2,$X$32=+テーブル!A3,$X$32=+テーブル!A9,$X$32=+テーブル!A10,$X$32=+テーブル!A12,$X$32=+テーブル!A13,$X$32=+テーブル!A16)</xm:f>
            <x14:dxf>
              <font>
                <color rgb="FFFF0000"/>
              </font>
            </x14:dxf>
          </x14:cfRule>
          <xm:sqref>D32:E32</xm:sqref>
        </x14:conditionalFormatting>
        <x14:conditionalFormatting xmlns:xm="http://schemas.microsoft.com/office/excel/2006/main">
          <x14:cfRule type="expression" priority="47" stopIfTrue="1" id="{77043E27-52E1-47B7-BD0B-95A9E2E07826}">
            <xm:f xml:space="preserve"> OR($X$32=+テーブル!A2,$X$32=+テーブル!A4,$X$32=+テーブル!A9,$X$32=+テーブル!A11,$X$32=+テーブル!A12,$X$32=+テーブル!A14,$X$32=+テーブル!A16)</xm:f>
            <x14:dxf>
              <font>
                <color rgb="FFFF0000"/>
              </font>
            </x14:dxf>
          </x14:cfRule>
          <xm:sqref>F32:G32</xm:sqref>
        </x14:conditionalFormatting>
        <x14:conditionalFormatting xmlns:xm="http://schemas.microsoft.com/office/excel/2006/main">
          <x14:cfRule type="expression" priority="46" stopIfTrue="1" id="{88871F52-FE29-4D03-AB08-BE77E8B88A23}">
            <xm:f xml:space="preserve"> OR($X$32=+テーブル!A2,$X$32=+テーブル!A3,$X$32=+テーブル!A4,$X$32=+テーブル!A9,$X$32=+テーブル!A10,$X$32=+テーブル!A11,$X$32=+テーブル!A12,$X$32=+テーブル!A13,$X$32=+テーブル!A14,$X$32=+テーブル!A16)</xm:f>
            <x14:dxf>
              <font>
                <color rgb="FFFF0000"/>
              </font>
            </x14:dxf>
          </x14:cfRule>
          <xm:sqref>H32:I32</xm:sqref>
        </x14:conditionalFormatting>
        <x14:conditionalFormatting xmlns:xm="http://schemas.microsoft.com/office/excel/2006/main">
          <x14:cfRule type="expression" priority="45" stopIfTrue="1" id="{2FBE5AC5-7629-4A97-A629-2FB1E0EFEED0}">
            <xm:f xml:space="preserve"> OR($X$33=+テーブル!A2,$X$33=+テーブル!A3,$X$33=+テーブル!A9,$X$33=+テーブル!A10,$X$33=+テーブル!A12,$X$33=+テーブル!A13,$X$33=+テーブル!A16)</xm:f>
            <x14:dxf>
              <font>
                <color rgb="FFFF0000"/>
              </font>
            </x14:dxf>
          </x14:cfRule>
          <xm:sqref>D33:E33</xm:sqref>
        </x14:conditionalFormatting>
        <x14:conditionalFormatting xmlns:xm="http://schemas.microsoft.com/office/excel/2006/main">
          <x14:cfRule type="expression" priority="44" stopIfTrue="1" id="{27BB464D-E491-4F2E-92ED-7225075119E5}">
            <xm:f xml:space="preserve"> OR($X$33=+テーブル!A2,$X$33=+テーブル!A4,$X$33=+テーブル!A9,$X$33=+テーブル!A11,$X$33=+テーブル!A12,$X$33=+テーブル!A14,$X$33=+テーブル!A16)</xm:f>
            <x14:dxf>
              <font>
                <color rgb="FFFF0000"/>
              </font>
            </x14:dxf>
          </x14:cfRule>
          <xm:sqref>F33:G33</xm:sqref>
        </x14:conditionalFormatting>
        <x14:conditionalFormatting xmlns:xm="http://schemas.microsoft.com/office/excel/2006/main">
          <x14:cfRule type="expression" priority="43" stopIfTrue="1" id="{30D6CE3F-780B-4036-960E-549B3F691456}">
            <xm:f xml:space="preserve"> OR($X$33=+テーブル!A2,$X$33=+テーブル!A3,$X$33=+テーブル!A4,$X$33=+テーブル!A9,$X$33=+テーブル!A10,$X$33=+テーブル!A11,$X$33=+テーブル!A12,$X$33=+テーブル!A13,$X$33=+テーブル!A14,$X$33=+テーブル!A16)</xm:f>
            <x14:dxf>
              <font>
                <color rgb="FFFF0000"/>
              </font>
            </x14:dxf>
          </x14:cfRule>
          <xm:sqref>H33:I33</xm:sqref>
        </x14:conditionalFormatting>
        <x14:conditionalFormatting xmlns:xm="http://schemas.microsoft.com/office/excel/2006/main">
          <x14:cfRule type="expression" priority="42" stopIfTrue="1" id="{6F94E54B-E480-463F-9E12-718DB1C1A7DC}">
            <xm:f xml:space="preserve"> OR($X$34=+テーブル!A2,$X$34=+テーブル!A3,$X$34=+テーブル!A9,$X$34=+テーブル!A10,$X$34=+テーブル!A12,$X$34=+テーブル!A13,$X$34=+テーブル!A16)</xm:f>
            <x14:dxf>
              <font>
                <color rgb="FFFF0000"/>
              </font>
            </x14:dxf>
          </x14:cfRule>
          <xm:sqref>D34:E34</xm:sqref>
        </x14:conditionalFormatting>
        <x14:conditionalFormatting xmlns:xm="http://schemas.microsoft.com/office/excel/2006/main">
          <x14:cfRule type="expression" priority="41" stopIfTrue="1" id="{61532C84-D483-41B6-9DDE-423A3138463F}">
            <xm:f xml:space="preserve"> OR($X$34=+テーブル!A2,$X$34=+テーブル!A4,$X$34=+テーブル!A9,$X$34=+テーブル!A11,$X$34=+テーブル!A12,$X$34=+テーブル!A14,$X$34=+テーブル!A16)</xm:f>
            <x14:dxf>
              <font>
                <color rgb="FFFF0000"/>
              </font>
            </x14:dxf>
          </x14:cfRule>
          <xm:sqref>F34:G34</xm:sqref>
        </x14:conditionalFormatting>
        <x14:conditionalFormatting xmlns:xm="http://schemas.microsoft.com/office/excel/2006/main">
          <x14:cfRule type="expression" priority="40" stopIfTrue="1" id="{E3534FBB-DAA6-4D7E-B501-50349B842338}">
            <xm:f xml:space="preserve"> OR($X$34=+テーブル!A2,$X$34=+テーブル!A3,$X$34=+テーブル!A4,$X$34=+テーブル!A9,$X$34=+テーブル!A10,$X$34=+テーブル!A11,$X$34=+テーブル!A12,$X$34=+テーブル!A13,$X$34=+テーブル!A14,$X$34=+テーブル!A16)</xm:f>
            <x14:dxf>
              <font>
                <color rgb="FFFF0000"/>
              </font>
            </x14:dxf>
          </x14:cfRule>
          <xm:sqref>H34:I34</xm:sqref>
        </x14:conditionalFormatting>
        <x14:conditionalFormatting xmlns:xm="http://schemas.microsoft.com/office/excel/2006/main">
          <x14:cfRule type="expression" priority="39" stopIfTrue="1" id="{A177D0C4-89F3-485C-821A-50109FFB4076}">
            <xm:f xml:space="preserve"> OR($X$35=+テーブル!A2,$X$35=+テーブル!A3,$X$35=+テーブル!A9,$X$35=+テーブル!A10,$X$35=+テーブル!A12,$X$35=+テーブル!A13,$X$35=+テーブル!A16)</xm:f>
            <x14:dxf>
              <font>
                <color rgb="FFFF0000"/>
              </font>
            </x14:dxf>
          </x14:cfRule>
          <xm:sqref>D35:E35</xm:sqref>
        </x14:conditionalFormatting>
        <x14:conditionalFormatting xmlns:xm="http://schemas.microsoft.com/office/excel/2006/main">
          <x14:cfRule type="expression" priority="38" stopIfTrue="1" id="{61607D44-656D-4B21-ACD2-3BF32E7B8EF8}">
            <xm:f xml:space="preserve"> OR($X$35=+テーブル!A2,$X$35=+テーブル!A4,$X$35=+テーブル!A9,$X$35=+テーブル!A11,$X$35=+テーブル!A12,$X$35=+テーブル!A14,$X$35=+テーブル!A16)</xm:f>
            <x14:dxf>
              <font>
                <color rgb="FFFF0000"/>
              </font>
            </x14:dxf>
          </x14:cfRule>
          <xm:sqref>F35:G35</xm:sqref>
        </x14:conditionalFormatting>
        <x14:conditionalFormatting xmlns:xm="http://schemas.microsoft.com/office/excel/2006/main">
          <x14:cfRule type="expression" priority="37" stopIfTrue="1" id="{129CBCD6-B011-47B9-8F0F-38C9B2873F6D}">
            <xm:f xml:space="preserve"> OR($X$35=+テーブル!A2,$X$35=+テーブル!A3,$X$35=+テーブル!A4,$X$35=+テーブル!A9,$X$35=+テーブル!A10,$X$35=+テーブル!A11,$X$35=+テーブル!A12,$X$35=+テーブル!A13,$X$35=+テーブル!A14,$X$35=+テーブル!A16)</xm:f>
            <x14:dxf>
              <font>
                <color rgb="FFFF0000"/>
              </font>
            </x14:dxf>
          </x14:cfRule>
          <xm:sqref>H35:I35</xm:sqref>
        </x14:conditionalFormatting>
        <x14:conditionalFormatting xmlns:xm="http://schemas.microsoft.com/office/excel/2006/main">
          <x14:cfRule type="expression" priority="36" stopIfTrue="1" id="{4118B06C-EB95-4726-8EFE-570864F9AD86}">
            <xm:f xml:space="preserve"> OR($X$36=+テーブル!A2,$X$36=+テーブル!A3,$X$36=+テーブル!A9,$X$36=+テーブル!A10,$X$36=+テーブル!A12,$X$36=+テーブル!A13,$X$36=+テーブル!A16)</xm:f>
            <x14:dxf>
              <font>
                <color rgb="FFFF0000"/>
              </font>
            </x14:dxf>
          </x14:cfRule>
          <xm:sqref>D36:E36</xm:sqref>
        </x14:conditionalFormatting>
        <x14:conditionalFormatting xmlns:xm="http://schemas.microsoft.com/office/excel/2006/main">
          <x14:cfRule type="expression" priority="35" stopIfTrue="1" id="{336505B7-2B9F-4E1E-A190-9C53673E95C5}">
            <xm:f xml:space="preserve"> OR($X$36=+テーブル!A2,$X$36=+テーブル!A4,$X$36=+テーブル!A9,$X$36=+テーブル!A11,$X$36=+テーブル!A12,$X$36=+テーブル!A14,$X$36=+テーブル!A16)</xm:f>
            <x14:dxf>
              <font>
                <color rgb="FFFF0000"/>
              </font>
            </x14:dxf>
          </x14:cfRule>
          <xm:sqref>F36:G36</xm:sqref>
        </x14:conditionalFormatting>
        <x14:conditionalFormatting xmlns:xm="http://schemas.microsoft.com/office/excel/2006/main">
          <x14:cfRule type="expression" priority="34" stopIfTrue="1" id="{AF3A4E7A-0295-49C7-85D0-D51AAC99C537}">
            <xm:f xml:space="preserve"> OR($X$36=+テーブル!A2,$X$36=+テーブル!A3,$X$36=+テーブル!A4,$X$36=+テーブル!A9,$X$36=+テーブル!A10,$X$36=+テーブル!A11,$X$36=+テーブル!A12,$X$36=+テーブル!A13,$X$36=+テーブル!A14,$X$36=+テーブル!A16)</xm:f>
            <x14:dxf>
              <font>
                <color rgb="FFFF0000"/>
              </font>
            </x14:dxf>
          </x14:cfRule>
          <xm:sqref>H36:I36</xm:sqref>
        </x14:conditionalFormatting>
        <x14:conditionalFormatting xmlns:xm="http://schemas.microsoft.com/office/excel/2006/main">
          <x14:cfRule type="expression" priority="33" stopIfTrue="1" id="{85E05398-7DAE-4E4C-8E4A-33AE1CAC7CFA}">
            <xm:f xml:space="preserve"> OR($X$37=+テーブル!A2,$X$37=+テーブル!A3,$X$37=+テーブル!A9,$X$37=+テーブル!A10,$X$37=+テーブル!A12,$X$37=+テーブル!A13,$X$37=+テーブル!A16)</xm:f>
            <x14:dxf>
              <font>
                <color rgb="FFFF0000"/>
              </font>
            </x14:dxf>
          </x14:cfRule>
          <xm:sqref>D37:E37</xm:sqref>
        </x14:conditionalFormatting>
        <x14:conditionalFormatting xmlns:xm="http://schemas.microsoft.com/office/excel/2006/main">
          <x14:cfRule type="expression" priority="32" stopIfTrue="1" id="{9D5F8FC3-DEB7-4391-B9D5-51D75BE0E658}">
            <xm:f xml:space="preserve"> OR($X$37=+テーブル!A2,$X$37=+テーブル!A4,$X$37=+テーブル!A9,$X$37=+テーブル!A11,$X$37=+テーブル!A12,$X$37=+テーブル!A14,$X$37=+テーブル!A16)</xm:f>
            <x14:dxf>
              <font>
                <color rgb="FFFF0000"/>
              </font>
            </x14:dxf>
          </x14:cfRule>
          <xm:sqref>F37:G37</xm:sqref>
        </x14:conditionalFormatting>
        <x14:conditionalFormatting xmlns:xm="http://schemas.microsoft.com/office/excel/2006/main">
          <x14:cfRule type="expression" priority="31" stopIfTrue="1" id="{C33E76BA-EE2E-48A2-8512-C8812E6FF62D}">
            <xm:f xml:space="preserve"> OR($X$37=+テーブル!A2,$X$37=+テーブル!A3,$X$37=+テーブル!A4,$X$37=+テーブル!A9,$X$37=+テーブル!A10,$X$37=+テーブル!A11,$X$37=+テーブル!A12,$X$37=+テーブル!A13,$X$37=+テーブル!A14,$X$37=+テーブル!A16)</xm:f>
            <x14:dxf>
              <font>
                <color rgb="FFFF0000"/>
              </font>
            </x14:dxf>
          </x14:cfRule>
          <xm:sqref>H37:I37</xm:sqref>
        </x14:conditionalFormatting>
        <x14:conditionalFormatting xmlns:xm="http://schemas.microsoft.com/office/excel/2006/main">
          <x14:cfRule type="expression" priority="30" stopIfTrue="1" id="{934EB5B1-437F-46C4-9DB4-AC9461A17203}">
            <xm:f xml:space="preserve"> OR($X$38=+テーブル!A2,$X$38=+テーブル!A3,$X$38=+テーブル!A9,$X$38=+テーブル!A10,$X$38=+テーブル!A12,$X$38=+テーブル!A13,$X$38=+テーブル!A16)</xm:f>
            <x14:dxf>
              <font>
                <color rgb="FFFF0000"/>
              </font>
            </x14:dxf>
          </x14:cfRule>
          <xm:sqref>D38:E38</xm:sqref>
        </x14:conditionalFormatting>
        <x14:conditionalFormatting xmlns:xm="http://schemas.microsoft.com/office/excel/2006/main">
          <x14:cfRule type="expression" priority="29" stopIfTrue="1" id="{8929BBE7-4132-41D6-8A0F-A65079BBFD44}">
            <xm:f xml:space="preserve"> OR($X$38=+テーブル!A2,$X$38=+テーブル!A4,$X$38=+テーブル!A9,$X$38=+テーブル!A11,$X$38=+テーブル!A12,$X$38=+テーブル!A14,$X$38=+テーブル!A16)</xm:f>
            <x14:dxf>
              <font>
                <color rgb="FFFF0000"/>
              </font>
            </x14:dxf>
          </x14:cfRule>
          <xm:sqref>F38:G38</xm:sqref>
        </x14:conditionalFormatting>
        <x14:conditionalFormatting xmlns:xm="http://schemas.microsoft.com/office/excel/2006/main">
          <x14:cfRule type="expression" priority="28" stopIfTrue="1" id="{DA9F11A1-63CF-41B9-9688-D78340C8D0A4}">
            <xm:f xml:space="preserve"> OR($X$38=+テーブル!A2,$X$38=+テーブル!A3,$X$38=+テーブル!A4,$X$38=+テーブル!A9,$X$38=+テーブル!A10,$X$38=+テーブル!A11,$X$38=+テーブル!A12,$X$38=+テーブル!A13,$X$38=+テーブル!A14,$X$38=+テーブル!A16)</xm:f>
            <x14:dxf>
              <font>
                <color rgb="FFFF0000"/>
              </font>
            </x14:dxf>
          </x14:cfRule>
          <xm:sqref>H38:I38</xm:sqref>
        </x14:conditionalFormatting>
        <x14:conditionalFormatting xmlns:xm="http://schemas.microsoft.com/office/excel/2006/main">
          <x14:cfRule type="expression" priority="27" stopIfTrue="1" id="{D21FC30D-62EA-443B-BCA5-8EEDC0FF78A7}">
            <xm:f xml:space="preserve"> OR($X$39=+テーブル!A2,$X$39=+テーブル!A3,$X$39=+テーブル!A9,$X$39=+テーブル!A10,$X$39=+テーブル!A12,$X$39=+テーブル!A13,$X$39=+テーブル!A16)</xm:f>
            <x14:dxf>
              <font>
                <color rgb="FFFF0000"/>
              </font>
            </x14:dxf>
          </x14:cfRule>
          <xm:sqref>D39:E39</xm:sqref>
        </x14:conditionalFormatting>
        <x14:conditionalFormatting xmlns:xm="http://schemas.microsoft.com/office/excel/2006/main">
          <x14:cfRule type="expression" priority="26" stopIfTrue="1" id="{6416F8F0-3669-400C-9DD8-FA4DA18FA9F0}">
            <xm:f xml:space="preserve"> OR($X$39=+テーブル!A2,$X$39=+テーブル!A4,$X$39=+テーブル!A9,$X$39=+テーブル!A11,$X$39=+テーブル!A12,$X$39=+テーブル!A14,$X$39=+テーブル!A16)</xm:f>
            <x14:dxf>
              <font>
                <color rgb="FFFF0000"/>
              </font>
            </x14:dxf>
          </x14:cfRule>
          <xm:sqref>F39:G39</xm:sqref>
        </x14:conditionalFormatting>
        <x14:conditionalFormatting xmlns:xm="http://schemas.microsoft.com/office/excel/2006/main">
          <x14:cfRule type="expression" priority="25" stopIfTrue="1" id="{06D468A3-630E-4496-B20D-956D5F18CA2A}">
            <xm:f xml:space="preserve"> OR($X$39=+テーブル!A2,$X$39=+テーブル!A3,$X$39=+テーブル!A4,$X$39=+テーブル!A9,$X$39=+テーブル!A10,$X$39=+テーブル!A11,$X$39=+テーブル!A12,$X$39=+テーブル!A13,$X$39=+テーブル!A14,$X$39=+テーブル!A16)</xm:f>
            <x14:dxf>
              <font>
                <color rgb="FFFF0000"/>
              </font>
            </x14:dxf>
          </x14:cfRule>
          <xm:sqref>H39:I39</xm:sqref>
        </x14:conditionalFormatting>
        <x14:conditionalFormatting xmlns:xm="http://schemas.microsoft.com/office/excel/2006/main">
          <x14:cfRule type="expression" priority="24" stopIfTrue="1" id="{357AE124-4CE8-4386-A315-D1535A3DCD68}">
            <xm:f xml:space="preserve"> OR($X$40=+テーブル!A2,$X$40=+テーブル!A3,$X$40=+テーブル!A9,$X$40=+テーブル!A10,$X$40=+テーブル!A12,$X$40=+テーブル!A13,$X$40=+テーブル!A16)</xm:f>
            <x14:dxf>
              <font>
                <color rgb="FFFF0000"/>
              </font>
            </x14:dxf>
          </x14:cfRule>
          <xm:sqref>D40:E40</xm:sqref>
        </x14:conditionalFormatting>
        <x14:conditionalFormatting xmlns:xm="http://schemas.microsoft.com/office/excel/2006/main">
          <x14:cfRule type="expression" priority="23" stopIfTrue="1" id="{97A42A63-BC0F-417B-98D7-E7D01FC1D54E}">
            <xm:f xml:space="preserve"> OR($X$40=+テーブル!A2,$X$40=+テーブル!A4,$X$40=+テーブル!A9,$X$40=+テーブル!A11,$X$40=+テーブル!A12,$X$40=+テーブル!A14,$X$40=+テーブル!A16)</xm:f>
            <x14:dxf>
              <font>
                <color rgb="FFFF0000"/>
              </font>
            </x14:dxf>
          </x14:cfRule>
          <xm:sqref>F40:G40</xm:sqref>
        </x14:conditionalFormatting>
        <x14:conditionalFormatting xmlns:xm="http://schemas.microsoft.com/office/excel/2006/main">
          <x14:cfRule type="expression" priority="22" stopIfTrue="1" id="{EE716F01-C59F-4329-B738-9A3A9F17CB70}">
            <xm:f xml:space="preserve"> OR($X$40=+テーブル!A2,$X$40=+テーブル!A3,$X$40=+テーブル!A4,$X$40=+テーブル!A9,$X$40=+テーブル!A10,$X$40=+テーブル!A11,$X$40=+テーブル!A12,$X$40=+テーブル!A13,$X$40=+テーブル!A14,$X$40=+テーブル!A16)</xm:f>
            <x14:dxf>
              <font>
                <color rgb="FFFF0000"/>
              </font>
            </x14:dxf>
          </x14:cfRule>
          <xm:sqref>H40:I40</xm:sqref>
        </x14:conditionalFormatting>
        <x14:conditionalFormatting xmlns:xm="http://schemas.microsoft.com/office/excel/2006/main">
          <x14:cfRule type="expression" priority="21" stopIfTrue="1" id="{650CF744-45FC-4D35-B367-4A6DC7B5BF1B}">
            <xm:f xml:space="preserve"> OR($X$41=+テーブル!A2,$X$41=+テーブル!A3,$X$41=+テーブル!A9,$X$41=+テーブル!A10,$X$41=+テーブル!A12,$X$41=+テーブル!A13,$X$41=+テーブル!A16)</xm:f>
            <x14:dxf>
              <font>
                <color rgb="FFFF0000"/>
              </font>
            </x14:dxf>
          </x14:cfRule>
          <xm:sqref>D41:E41</xm:sqref>
        </x14:conditionalFormatting>
        <x14:conditionalFormatting xmlns:xm="http://schemas.microsoft.com/office/excel/2006/main">
          <x14:cfRule type="expression" priority="20" stopIfTrue="1" id="{6F4D784F-AB2B-464E-B186-8F5D130DE04D}">
            <xm:f xml:space="preserve"> OR($X$41=+テーブル!A2,$X$41=+テーブル!A4,$X$41=+テーブル!A9,$X$41=+テーブル!A11,$X$41=+テーブル!A12,$X$41=+テーブル!A14,$X$41=+テーブル!A16)</xm:f>
            <x14:dxf>
              <font>
                <color rgb="FFFF0000"/>
              </font>
            </x14:dxf>
          </x14:cfRule>
          <xm:sqref>F41:G41</xm:sqref>
        </x14:conditionalFormatting>
        <x14:conditionalFormatting xmlns:xm="http://schemas.microsoft.com/office/excel/2006/main">
          <x14:cfRule type="expression" priority="19" stopIfTrue="1" id="{A0A9EBBF-E5AE-44E9-8EFC-156C15CA1CD2}">
            <xm:f xml:space="preserve"> OR($X$41=+テーブル!A2,$X$41=+テーブル!A3,$X$41=+テーブル!A4,$X$41=+テーブル!A9,$X$41=+テーブル!A10,$X$41=+テーブル!A11,$X$41=+テーブル!A12,$X$41=+テーブル!A13,$X$41=+テーブル!A14,$X$41=+テーブル!A16)</xm:f>
            <x14:dxf>
              <font>
                <color rgb="FFFF0000"/>
              </font>
            </x14:dxf>
          </x14:cfRule>
          <xm:sqref>H41:I41</xm:sqref>
        </x14:conditionalFormatting>
        <x14:conditionalFormatting xmlns:xm="http://schemas.microsoft.com/office/excel/2006/main">
          <x14:cfRule type="expression" priority="18" stopIfTrue="1" id="{33CDDA19-52A1-4122-8160-4EDB8235249E}">
            <xm:f xml:space="preserve"> OR($X$42=+テーブル!A2,$X$42=+テーブル!A3,$X$42=+テーブル!A9,$X$42=+テーブル!A10,$X$42=+テーブル!A12,$X$42=+テーブル!A13,$X$42=+テーブル!A16)</xm:f>
            <x14:dxf>
              <font>
                <color rgb="FFFF0000"/>
              </font>
            </x14:dxf>
          </x14:cfRule>
          <xm:sqref>D42:E42</xm:sqref>
        </x14:conditionalFormatting>
        <x14:conditionalFormatting xmlns:xm="http://schemas.microsoft.com/office/excel/2006/main">
          <x14:cfRule type="expression" priority="17" stopIfTrue="1" id="{F5FF627C-9975-4EE3-B2C4-D73F5ADC6F0B}">
            <xm:f xml:space="preserve"> OR($X$42=+テーブル!A2,$X$42=+テーブル!A4,$X$42=+テーブル!A9,$X$42=+テーブル!A11,$X$42=+テーブル!A12,$X$42=+テーブル!A14,$X$42=+テーブル!A16)</xm:f>
            <x14:dxf>
              <font>
                <color rgb="FFFF0000"/>
              </font>
            </x14:dxf>
          </x14:cfRule>
          <xm:sqref>F42:G42</xm:sqref>
        </x14:conditionalFormatting>
        <x14:conditionalFormatting xmlns:xm="http://schemas.microsoft.com/office/excel/2006/main">
          <x14:cfRule type="expression" priority="16" stopIfTrue="1" id="{936DFA41-2E3E-4DA6-92F8-11AB0DC04622}">
            <xm:f xml:space="preserve"> OR($X$42=+テーブル!A2,$X$42=+テーブル!A3,$X$42=+テーブル!A4,$X$42=+テーブル!A9,$X$42=+テーブル!A10,$X$42=+テーブル!A11,$X$42=+テーブル!A12,$X$42=+テーブル!A13,$X$42=+テーブル!A14,$X$42=+テーブル!A16)</xm:f>
            <x14:dxf>
              <font>
                <color rgb="FFFF0000"/>
              </font>
            </x14:dxf>
          </x14:cfRule>
          <xm:sqref>H42:I42</xm:sqref>
        </x14:conditionalFormatting>
        <x14:conditionalFormatting xmlns:xm="http://schemas.microsoft.com/office/excel/2006/main">
          <x14:cfRule type="expression" priority="15" stopIfTrue="1" id="{7D46D3B3-50AB-494F-A172-BFF7D0387EBF}">
            <xm:f xml:space="preserve"> OR($X$43=+テーブル!A2,$X$43=+テーブル!A3,$X$43=+テーブル!A9,$X$43=+テーブル!A10,$X$43=+テーブル!A12,$X$43=+テーブル!A13,$X$43=+テーブル!A16)</xm:f>
            <x14:dxf>
              <font>
                <color rgb="FFFF0000"/>
              </font>
            </x14:dxf>
          </x14:cfRule>
          <xm:sqref>D43:E43</xm:sqref>
        </x14:conditionalFormatting>
        <x14:conditionalFormatting xmlns:xm="http://schemas.microsoft.com/office/excel/2006/main">
          <x14:cfRule type="expression" priority="14" stopIfTrue="1" id="{07C0A9C2-0A32-426F-85AF-CF21C245B568}">
            <xm:f xml:space="preserve"> OR($X$43=+テーブル!A2,$X$43=+テーブル!A4,$X$43=+テーブル!A9,$X$43=+テーブル!A11,$X$43=+テーブル!A12,$X$43=+テーブル!A14,$X$43=+テーブル!A16)</xm:f>
            <x14:dxf>
              <font>
                <color rgb="FFFF0000"/>
              </font>
            </x14:dxf>
          </x14:cfRule>
          <xm:sqref>F43:G43</xm:sqref>
        </x14:conditionalFormatting>
        <x14:conditionalFormatting xmlns:xm="http://schemas.microsoft.com/office/excel/2006/main">
          <x14:cfRule type="expression" priority="13" stopIfTrue="1" id="{D245878E-4BB5-45EA-9F7F-8C4C5D824A40}">
            <xm:f xml:space="preserve"> OR($X$43=+テーブル!A2,$X$43=+テーブル!A3,$X$43=+テーブル!A4,$X$43=+テーブル!A9,$X$43=+テーブル!A10,$X$43=+テーブル!A11,$X$43=+テーブル!A12,$X$43=+テーブル!A13,$X$43=+テーブル!A14,$X$43=+テーブル!A16)</xm:f>
            <x14:dxf>
              <font>
                <color rgb="FFFF0000"/>
              </font>
            </x14:dxf>
          </x14:cfRule>
          <xm:sqref>H43:I43</xm:sqref>
        </x14:conditionalFormatting>
        <x14:conditionalFormatting xmlns:xm="http://schemas.microsoft.com/office/excel/2006/main">
          <x14:cfRule type="expression" priority="12" stopIfTrue="1" id="{0939775C-A12B-42A7-AF23-7E204CCFA984}">
            <xm:f xml:space="preserve"> OR($X$44=+テーブル!A2,$X$44=+テーブル!A3,$X$44=+テーブル!A9,$X$44=+テーブル!A10,$X$44=+テーブル!A12,$X$44=+テーブル!A13,$X$44=+テーブル!A16)</xm:f>
            <x14:dxf>
              <font>
                <color rgb="FFFF0000"/>
              </font>
            </x14:dxf>
          </x14:cfRule>
          <xm:sqref>D44:E44</xm:sqref>
        </x14:conditionalFormatting>
        <x14:conditionalFormatting xmlns:xm="http://schemas.microsoft.com/office/excel/2006/main">
          <x14:cfRule type="expression" priority="11" stopIfTrue="1" id="{6DEAD868-D538-4838-8DCF-6BA4F9EEE415}">
            <xm:f xml:space="preserve"> OR($X$44=+テーブル!A2,$X$44=+テーブル!A4,$X$44=+テーブル!A9,$X$44=+テーブル!A11,$X$44=+テーブル!A12,$X$44=+テーブル!A14,$X$44=+テーブル!A16)</xm:f>
            <x14:dxf>
              <font>
                <color rgb="FFFF0000"/>
              </font>
            </x14:dxf>
          </x14:cfRule>
          <xm:sqref>F44:G44</xm:sqref>
        </x14:conditionalFormatting>
        <x14:conditionalFormatting xmlns:xm="http://schemas.microsoft.com/office/excel/2006/main">
          <x14:cfRule type="expression" priority="10" stopIfTrue="1" id="{9FB46E3C-7B84-46D4-B1B1-05176D26AB9E}">
            <xm:f xml:space="preserve"> OR($X$44=+テーブル!A2,$X$44=+テーブル!A3,$X$44=+テーブル!A4,$X$44=+テーブル!A9,$X$44=+テーブル!A10,$X$44=+テーブル!A11,$X$44=+テーブル!A12,$X$44=+テーブル!A13,$X$44=+テーブル!A14,$X$44=+テーブル!A16)</xm:f>
            <x14:dxf>
              <font>
                <color rgb="FFFF0000"/>
              </font>
            </x14:dxf>
          </x14:cfRule>
          <xm:sqref>H44:I44</xm:sqref>
        </x14:conditionalFormatting>
        <x14:conditionalFormatting xmlns:xm="http://schemas.microsoft.com/office/excel/2006/main">
          <x14:cfRule type="expression" priority="9" stopIfTrue="1" id="{7E8601DC-65E7-4B3C-8A4E-4D1214C7433E}">
            <xm:f xml:space="preserve"> OR($X$45=+テーブル!A2,$X$45=+テーブル!A3,$X$45=+テーブル!A9,$X$45=+テーブル!A10,$X$45=+テーブル!A12,$X$45=+テーブル!A13,$X$45=+テーブル!A16)</xm:f>
            <x14:dxf>
              <font>
                <color rgb="FFFF0000"/>
              </font>
            </x14:dxf>
          </x14:cfRule>
          <xm:sqref>D45:E45</xm:sqref>
        </x14:conditionalFormatting>
        <x14:conditionalFormatting xmlns:xm="http://schemas.microsoft.com/office/excel/2006/main">
          <x14:cfRule type="expression" priority="8" stopIfTrue="1" id="{63C73EE6-1AED-4A1B-9D82-874DFE3A3546}">
            <xm:f xml:space="preserve"> OR($X$45=+テーブル!A2,$X$45=+テーブル!A4,$X$45=+テーブル!A9,$X$45=+テーブル!A11,$X$45=+テーブル!A12,$X$45=+テーブル!A14,$X$45=+テーブル!A16)</xm:f>
            <x14:dxf>
              <font>
                <color rgb="FFFF0000"/>
              </font>
            </x14:dxf>
          </x14:cfRule>
          <xm:sqref>F45:G45</xm:sqref>
        </x14:conditionalFormatting>
        <x14:conditionalFormatting xmlns:xm="http://schemas.microsoft.com/office/excel/2006/main">
          <x14:cfRule type="expression" priority="7" stopIfTrue="1" id="{E99CD20F-2EA8-4A09-A09C-FE18C4B98CCC}">
            <xm:f xml:space="preserve"> OR($X$45=+テーブル!A2,$X$45=+テーブル!A3,$X$45=+テーブル!A4,$X$45=+テーブル!A9,$X$45=+テーブル!A10,$X$45=+テーブル!A11,$X$45=+テーブル!A12,$X$45=+テーブル!A13,$X$45=+テーブル!A14,$X$45=+テーブル!A16)</xm:f>
            <x14:dxf>
              <font>
                <color rgb="FFFF0000"/>
              </font>
            </x14:dxf>
          </x14:cfRule>
          <xm:sqref>H45:I45</xm:sqref>
        </x14:conditionalFormatting>
        <x14:conditionalFormatting xmlns:xm="http://schemas.microsoft.com/office/excel/2006/main">
          <x14:cfRule type="expression" priority="6" stopIfTrue="1" id="{BD114A6E-65DC-421A-BCB1-644F881F1E8C}">
            <xm:f xml:space="preserve"> OR($X$46=+テーブル!A2,$X$46=+テーブル!A3,$X$46=+テーブル!A9,$X$46=+テーブル!A10,$X$46=+テーブル!A12,$X$46=+テーブル!A13,$X$46=+テーブル!A16)</xm:f>
            <x14:dxf>
              <font>
                <color rgb="FFFF0000"/>
              </font>
            </x14:dxf>
          </x14:cfRule>
          <xm:sqref>D46:E46</xm:sqref>
        </x14:conditionalFormatting>
        <x14:conditionalFormatting xmlns:xm="http://schemas.microsoft.com/office/excel/2006/main">
          <x14:cfRule type="expression" priority="5" stopIfTrue="1" id="{80300CD0-CA59-4DA2-ABFF-4B0603FE53B6}">
            <xm:f xml:space="preserve"> OR($X$46=+テーブル!A2,$X$46=+テーブル!A4,$X$46=+テーブル!A9,$X$46=+テーブル!A11,$X$46=+テーブル!A12,$X$46=+テーブル!A14,$X$46=+テーブル!A16)</xm:f>
            <x14:dxf>
              <font>
                <color rgb="FFFF0000"/>
              </font>
            </x14:dxf>
          </x14:cfRule>
          <xm:sqref>F46:G46</xm:sqref>
        </x14:conditionalFormatting>
        <x14:conditionalFormatting xmlns:xm="http://schemas.microsoft.com/office/excel/2006/main">
          <x14:cfRule type="expression" priority="4" stopIfTrue="1" id="{1BC0EED1-D4E1-47BA-9804-1B605DFD8528}">
            <xm:f xml:space="preserve"> OR($X$46=+テーブル!A2,$X$46=+テーブル!A3,$X$46=+テーブル!A4,$X$46=+テーブル!A9,$X$46=+テーブル!A10,$X$46=+テーブル!A11,$X$46=+テーブル!A12,$X$46=+テーブル!A13,$X$46=+テーブル!A14,$X$46=+テーブル!A16)</xm:f>
            <x14:dxf>
              <font>
                <color rgb="FFFF0000"/>
              </font>
            </x14:dxf>
          </x14:cfRule>
          <xm:sqref>H46:I46</xm:sqref>
        </x14:conditionalFormatting>
        <x14:conditionalFormatting xmlns:xm="http://schemas.microsoft.com/office/excel/2006/main">
          <x14:cfRule type="expression" priority="3" stopIfTrue="1" id="{128F02B6-37C4-4283-BAE5-C4E29CF98BC3}">
            <xm:f xml:space="preserve"> OR($X$47=+テーブル!A2,$X$47=+テーブル!A3,$X$47=+テーブル!A9,$X$47=+テーブル!A10,$X$47=+テーブル!A12,$X$47=+テーブル!A13,$X$47=+テーブル!A16)</xm:f>
            <x14:dxf>
              <font>
                <color rgb="FFFF0000"/>
              </font>
            </x14:dxf>
          </x14:cfRule>
          <xm:sqref>D47:E47</xm:sqref>
        </x14:conditionalFormatting>
        <x14:conditionalFormatting xmlns:xm="http://schemas.microsoft.com/office/excel/2006/main">
          <x14:cfRule type="expression" priority="2" stopIfTrue="1" id="{D8418C79-E689-468F-BCA7-D7192AC57E39}">
            <xm:f xml:space="preserve"> OR($X$47=+テーブル!A2,$X$47=+テーブル!A4,$X$47=+テーブル!A9,$X$47=+テーブル!A11,$X$47=+テーブル!A12,$X$47=+テーブル!A14,$X$47=+テーブル!A16)</xm:f>
            <x14:dxf>
              <font>
                <color rgb="FFFF0000"/>
              </font>
            </x14:dxf>
          </x14:cfRule>
          <xm:sqref>F47:G47</xm:sqref>
        </x14:conditionalFormatting>
        <x14:conditionalFormatting xmlns:xm="http://schemas.microsoft.com/office/excel/2006/main">
          <x14:cfRule type="expression" priority="1" stopIfTrue="1" id="{AF1754CC-C2BD-4D10-9966-C6E0CD76DFF9}">
            <xm:f xml:space="preserve"> OR($X$47=+テーブル!A2,$X$47=+テーブル!A3,$X$47=+テーブル!A4,$X$47=+テーブル!A9,$X$47=+テーブル!A10,$X$47=+テーブル!A11,$X$47=+テーブル!A12,$X$47=+テーブル!A13,$X$47=+テーブル!A14,$X$47=+テーブル!A16)</xm:f>
            <x14:dxf>
              <font>
                <color rgb="FFFF0000"/>
              </font>
            </x14:dxf>
          </x14:cfRule>
          <xm:sqref>H47:I47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5915D3B2-A6B1-4244-AF28-59FAE0358267}">
          <x14:formula1>
            <xm:f>テーブル!$A:$A</xm:f>
          </x14:formula1>
          <xm:sqref>X17:Z47</xm:sqref>
        </x14:dataValidation>
        <x14:dataValidation type="list" allowBlank="1" showInputMessage="1" showErrorMessage="1" xr:uid="{5E336EF7-34CB-407D-87AD-61B30CA935B0}">
          <x14:formula1>
            <xm:f>テーブル!$B:$B</xm:f>
          </x14:formula1>
          <xm:sqref>P57:W57</xm:sqref>
        </x14:dataValidation>
        <x14:dataValidation type="list" allowBlank="1" showInputMessage="1" showErrorMessage="1" xr:uid="{C8B4B101-919B-4B07-BD81-9687FD1DB043}">
          <x14:formula1>
            <xm:f>テーブル!$P:$P</xm:f>
          </x14:formula1>
          <xm:sqref>D61:I61</xm:sqref>
        </x14:dataValidation>
        <x14:dataValidation type="list" allowBlank="1" showInputMessage="1" showErrorMessage="1" xr:uid="{E60347FE-5EBC-42AE-8486-B5BAAEB75BDF}">
          <x14:formula1>
            <xm:f>テーブル!$Q:$Q</xm:f>
          </x14:formula1>
          <xm:sqref>D62:I64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672B3-7B3C-4BBD-9331-A53F53506927}">
  <sheetPr codeName="Sheet271">
    <pageSetUpPr fitToPage="1"/>
  </sheetPr>
  <dimension ref="A1:AH83"/>
  <sheetViews>
    <sheetView view="pageBreakPreview" zoomScaleNormal="130" zoomScaleSheetLayoutView="100" workbookViewId="0">
      <pane ySplit="16" topLeftCell="A40" activePane="bottomLeft" state="frozen"/>
      <selection activeCell="AC46" sqref="AC46"/>
      <selection pane="bottomLeft" activeCell="D57" sqref="D57:E57"/>
    </sheetView>
  </sheetViews>
  <sheetFormatPr defaultRowHeight="13" x14ac:dyDescent="0.2"/>
  <cols>
    <col min="1" max="1" width="5.36328125" customWidth="1"/>
    <col min="2" max="7" width="3.6328125" customWidth="1"/>
    <col min="8" max="8" width="4.36328125" customWidth="1"/>
    <col min="9" max="12" width="3.6328125" customWidth="1"/>
    <col min="13" max="15" width="3.90625" customWidth="1"/>
    <col min="16" max="26" width="3.6328125" customWidth="1"/>
    <col min="27" max="28" width="10.453125" bestFit="1" customWidth="1"/>
    <col min="257" max="282" width="3.6328125" customWidth="1"/>
    <col min="513" max="538" width="3.6328125" customWidth="1"/>
    <col min="769" max="794" width="3.6328125" customWidth="1"/>
    <col min="1025" max="1050" width="3.6328125" customWidth="1"/>
    <col min="1281" max="1306" width="3.6328125" customWidth="1"/>
    <col min="1537" max="1562" width="3.6328125" customWidth="1"/>
    <col min="1793" max="1818" width="3.6328125" customWidth="1"/>
    <col min="2049" max="2074" width="3.6328125" customWidth="1"/>
    <col min="2305" max="2330" width="3.6328125" customWidth="1"/>
    <col min="2561" max="2586" width="3.6328125" customWidth="1"/>
    <col min="2817" max="2842" width="3.6328125" customWidth="1"/>
    <col min="3073" max="3098" width="3.6328125" customWidth="1"/>
    <col min="3329" max="3354" width="3.6328125" customWidth="1"/>
    <col min="3585" max="3610" width="3.6328125" customWidth="1"/>
    <col min="3841" max="3866" width="3.6328125" customWidth="1"/>
    <col min="4097" max="4122" width="3.6328125" customWidth="1"/>
    <col min="4353" max="4378" width="3.6328125" customWidth="1"/>
    <col min="4609" max="4634" width="3.6328125" customWidth="1"/>
    <col min="4865" max="4890" width="3.6328125" customWidth="1"/>
    <col min="5121" max="5146" width="3.6328125" customWidth="1"/>
    <col min="5377" max="5402" width="3.6328125" customWidth="1"/>
    <col min="5633" max="5658" width="3.6328125" customWidth="1"/>
    <col min="5889" max="5914" width="3.6328125" customWidth="1"/>
    <col min="6145" max="6170" width="3.6328125" customWidth="1"/>
    <col min="6401" max="6426" width="3.6328125" customWidth="1"/>
    <col min="6657" max="6682" width="3.6328125" customWidth="1"/>
    <col min="6913" max="6938" width="3.6328125" customWidth="1"/>
    <col min="7169" max="7194" width="3.6328125" customWidth="1"/>
    <col min="7425" max="7450" width="3.6328125" customWidth="1"/>
    <col min="7681" max="7706" width="3.6328125" customWidth="1"/>
    <col min="7937" max="7962" width="3.6328125" customWidth="1"/>
    <col min="8193" max="8218" width="3.6328125" customWidth="1"/>
    <col min="8449" max="8474" width="3.6328125" customWidth="1"/>
    <col min="8705" max="8730" width="3.6328125" customWidth="1"/>
    <col min="8961" max="8986" width="3.6328125" customWidth="1"/>
    <col min="9217" max="9242" width="3.6328125" customWidth="1"/>
    <col min="9473" max="9498" width="3.6328125" customWidth="1"/>
    <col min="9729" max="9754" width="3.6328125" customWidth="1"/>
    <col min="9985" max="10010" width="3.6328125" customWidth="1"/>
    <col min="10241" max="10266" width="3.6328125" customWidth="1"/>
    <col min="10497" max="10522" width="3.6328125" customWidth="1"/>
    <col min="10753" max="10778" width="3.6328125" customWidth="1"/>
    <col min="11009" max="11034" width="3.6328125" customWidth="1"/>
    <col min="11265" max="11290" width="3.6328125" customWidth="1"/>
    <col min="11521" max="11546" width="3.6328125" customWidth="1"/>
    <col min="11777" max="11802" width="3.6328125" customWidth="1"/>
    <col min="12033" max="12058" width="3.6328125" customWidth="1"/>
    <col min="12289" max="12314" width="3.6328125" customWidth="1"/>
    <col min="12545" max="12570" width="3.6328125" customWidth="1"/>
    <col min="12801" max="12826" width="3.6328125" customWidth="1"/>
    <col min="13057" max="13082" width="3.6328125" customWidth="1"/>
    <col min="13313" max="13338" width="3.6328125" customWidth="1"/>
    <col min="13569" max="13594" width="3.6328125" customWidth="1"/>
    <col min="13825" max="13850" width="3.6328125" customWidth="1"/>
    <col min="14081" max="14106" width="3.6328125" customWidth="1"/>
    <col min="14337" max="14362" width="3.6328125" customWidth="1"/>
    <col min="14593" max="14618" width="3.6328125" customWidth="1"/>
    <col min="14849" max="14874" width="3.6328125" customWidth="1"/>
    <col min="15105" max="15130" width="3.6328125" customWidth="1"/>
    <col min="15361" max="15386" width="3.6328125" customWidth="1"/>
    <col min="15617" max="15642" width="3.6328125" customWidth="1"/>
    <col min="15873" max="15898" width="3.6328125" customWidth="1"/>
    <col min="16129" max="16154" width="3.6328125" customWidth="1"/>
  </cols>
  <sheetData>
    <row r="1" spans="1:32" ht="8" customHeight="1" x14ac:dyDescent="0.2">
      <c r="A1" s="55"/>
      <c r="B1" s="85">
        <v>45413</v>
      </c>
      <c r="AB1" s="55"/>
      <c r="AC1" s="57"/>
    </row>
    <row r="2" spans="1:32" ht="8" customHeight="1" x14ac:dyDescent="0.2">
      <c r="A2" s="3"/>
      <c r="B2" s="3"/>
      <c r="C2" s="3"/>
      <c r="D2" s="3"/>
      <c r="E2" s="3"/>
      <c r="F2" s="3"/>
      <c r="G2" s="3"/>
      <c r="H2" s="3"/>
      <c r="I2" s="3"/>
      <c r="J2" s="4"/>
      <c r="K2" s="4"/>
      <c r="L2" s="5"/>
      <c r="M2" s="6"/>
      <c r="N2" s="6"/>
      <c r="O2" s="6"/>
      <c r="P2" s="4"/>
      <c r="X2" t="s">
        <v>66</v>
      </c>
      <c r="Y2" s="361">
        <f>LOOKUP(10^10,Ver管理!C3:C33)</f>
        <v>6</v>
      </c>
      <c r="Z2" s="361"/>
    </row>
    <row r="3" spans="1:32" ht="10" customHeight="1" thickBot="1" x14ac:dyDescent="0.25">
      <c r="A3" s="362">
        <f ca="1">+VLOOKUP(AB5,テーブル!L:M,2,0)</f>
        <v>46113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362"/>
      <c r="Q3" s="362"/>
      <c r="R3" s="362"/>
      <c r="S3" s="362"/>
      <c r="T3" s="362"/>
      <c r="U3" s="362"/>
      <c r="V3" s="362"/>
      <c r="W3" s="362"/>
      <c r="X3" s="362"/>
      <c r="Y3" s="362"/>
      <c r="Z3" s="362"/>
    </row>
    <row r="4" spans="1:32" ht="10" customHeight="1" x14ac:dyDescent="0.2">
      <c r="A4" s="362"/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B4" s="68"/>
      <c r="AC4" s="69"/>
      <c r="AD4" s="70"/>
    </row>
    <row r="5" spans="1:32" ht="14.15" customHeight="1" x14ac:dyDescent="0.2">
      <c r="A5" s="363" t="s">
        <v>202</v>
      </c>
      <c r="B5" s="363"/>
      <c r="C5" s="363"/>
      <c r="D5" s="363"/>
      <c r="E5" s="364" t="str">
        <f>テーブル!O3</f>
        <v>NMHT　社員</v>
      </c>
      <c r="F5" s="364"/>
      <c r="G5" s="364"/>
      <c r="H5" s="364"/>
      <c r="I5" s="364"/>
      <c r="J5" s="7"/>
      <c r="K5" s="7"/>
      <c r="L5" s="7"/>
      <c r="M5" s="7"/>
      <c r="N5" s="7"/>
      <c r="O5" s="7"/>
      <c r="P5" s="7" t="str">
        <f ca="1">IF(_xlfn.XLOOKUP(当月,テーブル!U:U,テーブル!V:V,0,FALSE)+_xlfn.XLOOKUP(当月,テーブル!U:U,テーブル!W:W,0,FALSE)&lt;&gt;テーブル!O7,"基給+手当1に前月と差異があります。","")</f>
        <v>基給+手当1に前月と差異があります。</v>
      </c>
      <c r="Q5" s="7"/>
      <c r="R5" s="8"/>
      <c r="S5" s="8"/>
      <c r="T5" s="8"/>
      <c r="U5" s="8"/>
      <c r="AB5" s="71" t="str" cm="1">
        <f t="array" aca="1" ref="AB5" ca="1">RIGHT(CELL("filename",A1),LEN(CELL("filename",A1))-FIND("]",CELL("filename",A1)))</f>
        <v>4月</v>
      </c>
      <c r="AC5" t="s">
        <v>158</v>
      </c>
      <c r="AD5" s="72"/>
    </row>
    <row r="6" spans="1:32" ht="14.15" customHeight="1" x14ac:dyDescent="0.25">
      <c r="A6" s="366">
        <f>テーブル!O2</f>
        <v>2000002</v>
      </c>
      <c r="B6" s="366"/>
      <c r="C6" s="366"/>
      <c r="D6" s="366"/>
      <c r="E6" s="365"/>
      <c r="F6" s="365"/>
      <c r="G6" s="365"/>
      <c r="H6" s="365"/>
      <c r="I6" s="365"/>
      <c r="J6" s="9" t="s">
        <v>98</v>
      </c>
      <c r="K6" s="108" t="str">
        <f ca="1">HYPERLINK(LEFT(TEXT(CELL("filename",B2),0),SEARCH("\[",TEXT(CELL("filename",B2),0),1)-1)&amp;"\")</f>
        <v>Z:\マクロ保管場所谷津用\2月控除分\</v>
      </c>
      <c r="L6" s="5"/>
      <c r="M6" s="6"/>
      <c r="N6" s="6"/>
      <c r="O6" s="6"/>
      <c r="P6" s="4"/>
      <c r="AB6" s="71" t="str">
        <f ca="1">+IF(SUBSTITUTE(当月,"月","")-1=0,12,SUBSTITUTE(当月,"月","")-1) &amp; "月"</f>
        <v>3月</v>
      </c>
      <c r="AC6" s="74" t="s">
        <v>170</v>
      </c>
      <c r="AD6" s="72"/>
    </row>
    <row r="7" spans="1:32" ht="14.15" customHeight="1" x14ac:dyDescent="0.2">
      <c r="I7" s="3"/>
      <c r="K7" s="11"/>
      <c r="N7" s="368"/>
      <c r="O7" s="368"/>
      <c r="P7" s="367" t="s">
        <v>272</v>
      </c>
      <c r="Q7" s="358"/>
      <c r="R7" s="358"/>
      <c r="S7" s="358"/>
      <c r="T7" s="358"/>
      <c r="U7" s="358"/>
      <c r="V7" s="358"/>
      <c r="W7" s="358"/>
      <c r="X7" s="358"/>
      <c r="Y7" s="358"/>
      <c r="Z7" s="358"/>
      <c r="AB7" s="73"/>
      <c r="AC7" s="56">
        <v>0.91666666666666663</v>
      </c>
      <c r="AD7" s="72"/>
    </row>
    <row r="8" spans="1:32" ht="14.15" hidden="1" customHeight="1" thickBot="1" x14ac:dyDescent="0.25">
      <c r="A8" s="163" t="s">
        <v>99</v>
      </c>
      <c r="B8" s="120"/>
      <c r="C8" s="350" t="str">
        <f>テーブル!O4</f>
        <v>株式会社エヌエム・ヒューマテック</v>
      </c>
      <c r="D8" s="351"/>
      <c r="E8" s="351"/>
      <c r="F8" s="351"/>
      <c r="G8" s="351"/>
      <c r="H8" s="351"/>
      <c r="I8" s="352"/>
      <c r="J8" s="353"/>
      <c r="K8" s="11"/>
      <c r="L8" s="1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B8" s="75">
        <f ca="1">+IF(給与体系="管理監督者",0,IF(給与体系="月給制",1,2))</f>
        <v>2</v>
      </c>
      <c r="AC8" s="76">
        <v>0.20833333333333334</v>
      </c>
      <c r="AD8" s="77"/>
    </row>
    <row r="9" spans="1:32" ht="14.15" hidden="1" customHeight="1" x14ac:dyDescent="0.2">
      <c r="A9" s="166"/>
      <c r="B9" s="123"/>
      <c r="C9" s="354"/>
      <c r="D9" s="355"/>
      <c r="E9" s="355"/>
      <c r="F9" s="355"/>
      <c r="G9" s="355"/>
      <c r="H9" s="355"/>
      <c r="I9" s="356"/>
      <c r="J9" s="357"/>
      <c r="K9" s="13"/>
      <c r="P9" s="53"/>
      <c r="Q9" s="54" t="s">
        <v>269</v>
      </c>
      <c r="R9" s="52"/>
      <c r="S9" s="52"/>
      <c r="T9" s="358" t="s">
        <v>270</v>
      </c>
      <c r="U9" s="358"/>
      <c r="V9" s="358"/>
      <c r="W9" s="358"/>
      <c r="X9" s="358"/>
      <c r="Y9" s="358"/>
      <c r="Z9" s="358"/>
    </row>
    <row r="10" spans="1:32" ht="14.15" hidden="1" customHeight="1" x14ac:dyDescent="0.2">
      <c r="A10" s="163" t="s">
        <v>100</v>
      </c>
      <c r="B10" s="120"/>
      <c r="C10" s="359" t="str">
        <f>テーブル!O5</f>
        <v>管理部</v>
      </c>
      <c r="D10" s="332"/>
      <c r="E10" s="332"/>
      <c r="F10" s="332"/>
      <c r="G10" s="332"/>
      <c r="H10" s="332"/>
      <c r="I10" s="333"/>
      <c r="J10" s="334"/>
      <c r="K10" s="13"/>
      <c r="P10" s="53"/>
      <c r="Q10" s="52"/>
      <c r="R10" s="52"/>
      <c r="S10" s="52"/>
      <c r="T10" s="360" t="s">
        <v>271</v>
      </c>
      <c r="U10" s="360"/>
      <c r="V10" s="360"/>
      <c r="W10" s="360"/>
      <c r="X10" s="360"/>
      <c r="Y10" s="360"/>
      <c r="Z10" s="360"/>
    </row>
    <row r="11" spans="1:32" ht="14.15" hidden="1" customHeight="1" x14ac:dyDescent="0.2">
      <c r="A11" s="166"/>
      <c r="B11" s="123"/>
      <c r="C11" s="335"/>
      <c r="D11" s="336"/>
      <c r="E11" s="336"/>
      <c r="F11" s="336"/>
      <c r="G11" s="336"/>
      <c r="H11" s="336"/>
      <c r="I11" s="337"/>
      <c r="J11" s="338"/>
      <c r="K11" s="4"/>
      <c r="L11" s="4"/>
      <c r="P11" s="52"/>
      <c r="Q11" s="54" t="s">
        <v>96</v>
      </c>
      <c r="R11" s="54"/>
      <c r="S11" s="53"/>
      <c r="T11" s="54"/>
      <c r="U11" s="53"/>
      <c r="V11" s="54" t="s">
        <v>97</v>
      </c>
      <c r="W11" s="54"/>
      <c r="X11" s="52"/>
      <c r="Y11" s="52"/>
      <c r="Z11" s="52"/>
      <c r="AE11" t="s">
        <v>178</v>
      </c>
    </row>
    <row r="12" spans="1:32" ht="14.15" hidden="1" customHeight="1" x14ac:dyDescent="0.2">
      <c r="A12" s="163" t="s">
        <v>101</v>
      </c>
      <c r="B12" s="120"/>
      <c r="C12" s="331"/>
      <c r="D12" s="332"/>
      <c r="E12" s="332"/>
      <c r="F12" s="332"/>
      <c r="G12" s="332"/>
      <c r="H12" s="332"/>
      <c r="I12" s="333"/>
      <c r="J12" s="334"/>
      <c r="K12" s="13"/>
      <c r="M12" s="15"/>
      <c r="N12" s="15"/>
      <c r="O12" s="14"/>
      <c r="P12" s="14"/>
      <c r="Q12" s="14"/>
      <c r="R12" s="14"/>
      <c r="S12" s="14"/>
      <c r="T12" s="14"/>
      <c r="U12" s="14"/>
      <c r="V12" s="8"/>
      <c r="W12" s="8"/>
      <c r="AF12">
        <f ca="1">+IFERROR(((MAX(0,超過勤務時間計+深夜残業時間計-60)*1.5+MIN(60,超過勤務時間計+深夜残業時間計)*1.25))/(超過勤務時間計),0)</f>
        <v>0</v>
      </c>
    </row>
    <row r="13" spans="1:32" ht="14.15" hidden="1" customHeight="1" x14ac:dyDescent="0.2">
      <c r="A13" s="166"/>
      <c r="B13" s="123"/>
      <c r="C13" s="335"/>
      <c r="D13" s="336"/>
      <c r="E13" s="336"/>
      <c r="F13" s="336"/>
      <c r="G13" s="336"/>
      <c r="H13" s="336"/>
      <c r="I13" s="337"/>
      <c r="J13" s="338"/>
      <c r="K13" s="13"/>
      <c r="M13" s="16"/>
      <c r="N13" s="15"/>
      <c r="O13" s="14"/>
      <c r="P13" s="14"/>
    </row>
    <row r="14" spans="1:32" ht="14.15" hidden="1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4"/>
      <c r="K14" s="4"/>
      <c r="L14" s="4"/>
      <c r="M14" s="4"/>
      <c r="N14" s="17"/>
      <c r="O14" s="4"/>
      <c r="P14" s="4"/>
      <c r="U14" s="18"/>
    </row>
    <row r="15" spans="1:32" ht="14.15" customHeight="1" x14ac:dyDescent="0.2">
      <c r="A15" s="339" t="s">
        <v>5</v>
      </c>
      <c r="B15" s="340"/>
      <c r="C15" s="339" t="s">
        <v>6</v>
      </c>
      <c r="D15" s="312" t="s">
        <v>36</v>
      </c>
      <c r="E15" s="343"/>
      <c r="F15" s="343"/>
      <c r="G15" s="313"/>
      <c r="H15" s="344" t="s">
        <v>37</v>
      </c>
      <c r="I15" s="345"/>
      <c r="J15" s="345" t="s">
        <v>7</v>
      </c>
      <c r="K15" s="348"/>
      <c r="L15" s="314" t="s">
        <v>8</v>
      </c>
      <c r="M15" s="325"/>
      <c r="N15" s="328" t="s">
        <v>9</v>
      </c>
      <c r="O15" s="315"/>
      <c r="P15" s="314" t="s">
        <v>10</v>
      </c>
      <c r="Q15" s="315"/>
      <c r="R15" s="314" t="s">
        <v>11</v>
      </c>
      <c r="S15" s="315"/>
      <c r="T15" s="314" t="s">
        <v>12</v>
      </c>
      <c r="U15" s="315"/>
      <c r="V15" s="314" t="s">
        <v>43</v>
      </c>
      <c r="W15" s="315"/>
      <c r="X15" s="304" t="s">
        <v>122</v>
      </c>
      <c r="Y15" s="305"/>
      <c r="Z15" s="306"/>
      <c r="AA15" s="310" t="s">
        <v>107</v>
      </c>
      <c r="AB15" t="s">
        <v>32</v>
      </c>
    </row>
    <row r="16" spans="1:32" ht="14.15" customHeight="1" x14ac:dyDescent="0.2">
      <c r="A16" s="341"/>
      <c r="B16" s="342"/>
      <c r="C16" s="341"/>
      <c r="D16" s="312" t="s">
        <v>14</v>
      </c>
      <c r="E16" s="313"/>
      <c r="F16" s="312" t="s">
        <v>15</v>
      </c>
      <c r="G16" s="313"/>
      <c r="H16" s="346"/>
      <c r="I16" s="347"/>
      <c r="J16" s="347"/>
      <c r="K16" s="349"/>
      <c r="L16" s="326"/>
      <c r="M16" s="327"/>
      <c r="N16" s="329"/>
      <c r="O16" s="317"/>
      <c r="P16" s="316"/>
      <c r="Q16" s="317"/>
      <c r="R16" s="316"/>
      <c r="S16" s="317"/>
      <c r="T16" s="316"/>
      <c r="U16" s="317"/>
      <c r="V16" s="316"/>
      <c r="W16" s="317"/>
      <c r="X16" s="307"/>
      <c r="Y16" s="308"/>
      <c r="Z16" s="309"/>
      <c r="AA16" s="311"/>
      <c r="AB16" t="s">
        <v>210</v>
      </c>
      <c r="AC16" s="59"/>
    </row>
    <row r="17" spans="1:30" s="59" customFormat="1" ht="14.15" customHeight="1" x14ac:dyDescent="0.2">
      <c r="A17" s="318">
        <f ca="1">A3</f>
        <v>46113</v>
      </c>
      <c r="B17" s="319"/>
      <c r="C17" s="78">
        <f ca="1">IF(A17="","",IF(WEEKDAY(A17,1)=1,1,IF(COUNTIF(祝日管理!B:B,A17)=1,"祝",WEEKDAY(A17,1))))</f>
        <v>4</v>
      </c>
      <c r="D17" s="320"/>
      <c r="E17" s="320"/>
      <c r="F17" s="320"/>
      <c r="G17" s="320"/>
      <c r="H17" s="320"/>
      <c r="I17" s="321"/>
      <c r="J17" s="322">
        <f>IF(OR(D17="",F17="",H17=""),0,IF(F17&gt;D17,F17,F17+24)-D17-H17)</f>
        <v>0</v>
      </c>
      <c r="K17" s="323"/>
      <c r="L17" s="299">
        <f>IF(J17="",0,(HOUR(J17))+(ROUNDDOWN(MINUTE(J17)/60,2)*1))</f>
        <v>0</v>
      </c>
      <c r="M17" s="324"/>
      <c r="N17" s="330">
        <f ca="1">+IF(ISERROR(IF(A17="",0,IF(OR(X17="法休",X17="所休")=1,0,IF(L17=0,0,MIN(8,L17-R17))))),"",IF(A17="","",IF(OR(X17="法休",X17="所休"),0,IF(L17=0,0,MIN(8,L17-R17)))))</f>
        <v>0</v>
      </c>
      <c r="O17" s="300"/>
      <c r="P17" s="299">
        <f ca="1">+IF(ISERROR(IF(A17="","",IF(X17="法休",0,MAX(0,L17-N17-R17)))),0,IF(A17="","",IF(X17="法休",0,MAX(0,L17-N17-R17))))</f>
        <v>0</v>
      </c>
      <c r="Q17" s="300"/>
      <c r="R17" s="299">
        <f ca="1">+IF(A17="",0,IF(X17="法休",0,NOT(OR(D17="",F17=""))*MIN(7,(MAX(0,MIN(F17,$AC$8)-D17)+MAX(0,F17-$AC$7+(D17&gt;F17)))*24)))</f>
        <v>0</v>
      </c>
      <c r="S17" s="300"/>
      <c r="T17" s="299">
        <f t="shared" ref="T17" ca="1" si="0">+IF(A17="",0,IF(X17="法休",L17-V17,0))</f>
        <v>0</v>
      </c>
      <c r="U17" s="300"/>
      <c r="V17" s="299">
        <f t="shared" ref="V17" ca="1" si="1">+IF(A17="",0,IF(X17&lt;&gt;"法休",0,NOT(OR(D17="",F17=""))*MIN(7,(MAX(0,MIN(F17,$AC$8)-D17)+MAX(0,F17-$AC$7+(D17&gt;F17)))*24)))</f>
        <v>0</v>
      </c>
      <c r="W17" s="300"/>
      <c r="X17" s="301"/>
      <c r="Y17" s="302"/>
      <c r="Z17" s="303"/>
      <c r="AA17" s="79"/>
      <c r="AB17" s="93">
        <f t="shared" ref="AB17:AB46" ca="1" si="2">IF(ISERROR((X17="")*(7.5-N17)),0,(X17="")*(7.5-N17))</f>
        <v>7.5</v>
      </c>
      <c r="AD17" s="67"/>
    </row>
    <row r="18" spans="1:30" ht="14.15" customHeight="1" x14ac:dyDescent="0.2">
      <c r="A18" s="290">
        <f t="shared" ref="A18:A44" ca="1" si="3">A17+1</f>
        <v>46114</v>
      </c>
      <c r="B18" s="291"/>
      <c r="C18" s="80">
        <f ca="1">IF(A18="","",IF(WEEKDAY(A18,1)=1,1,IF(COUNTIF(祝日管理!B:B,A18)=1,"祝",WEEKDAY(A18,1))))</f>
        <v>5</v>
      </c>
      <c r="D18" s="292"/>
      <c r="E18" s="292"/>
      <c r="F18" s="292"/>
      <c r="G18" s="292"/>
      <c r="H18" s="292"/>
      <c r="I18" s="293"/>
      <c r="J18" s="298">
        <f t="shared" ref="J18:J47" si="4">IF(OR(D18="",F18="",H18=""),0,IF(F18&gt;D18,F18,F18+24)-D18-H18)</f>
        <v>0</v>
      </c>
      <c r="K18" s="294"/>
      <c r="L18" s="285">
        <f t="shared" ref="L18:L47" si="5">IF(J18="",0,(HOUR(J18))+(ROUNDDOWN(MINUTE(J18)/60,2)*1))</f>
        <v>0</v>
      </c>
      <c r="M18" s="296"/>
      <c r="N18" s="297">
        <f t="shared" ref="N18:N47" ca="1" si="6">+IF(ISERROR(IF(A18="",0,IF(OR(X18="法休",X18="所休")=1,0,IF(L18=0,0,MIN(8,L18-R18))))),"",IF(A18="","",IF(OR(X18="法休",X18="所休"),0,IF(L18=0,0,MIN(8,L18-R18)))))</f>
        <v>0</v>
      </c>
      <c r="O18" s="286"/>
      <c r="P18" s="285">
        <f t="shared" ref="P18:P47" ca="1" si="7">+IF(ISERROR(IF(A18="","",IF(X18="法休",0,MAX(0,L18-N18-R18)))),0,IF(A18="","",IF(X18="法休",0,MAX(0,L18-N18-R18))))</f>
        <v>0</v>
      </c>
      <c r="Q18" s="286"/>
      <c r="R18" s="285">
        <f t="shared" ref="R18:R47" ca="1" si="8">+IF(A18="",0,IF(X18="法休",0,NOT(OR(D18="",F18=""))*MIN(7,(MAX(0,MIN(F18,$AC$8)-D18)+MAX(0,F18-$AC$7+(D18&gt;F18)))*24)))</f>
        <v>0</v>
      </c>
      <c r="S18" s="286"/>
      <c r="T18" s="285">
        <f t="shared" ref="T18:T47" ca="1" si="9">+IF(A18="",0,IF(X18="法休",L18-V18,0))</f>
        <v>0</v>
      </c>
      <c r="U18" s="286"/>
      <c r="V18" s="285">
        <f t="shared" ref="V18:V47" ca="1" si="10">+IF(A18="",0,IF(X18&lt;&gt;"法休",0,NOT(OR(D18="",F18=""))*MIN(7,(MAX(0,MIN(F18,$AC$8)-D18)+MAX(0,F18-$AC$7+(D18&gt;F18)))*24)))</f>
        <v>0</v>
      </c>
      <c r="W18" s="286"/>
      <c r="X18" s="287"/>
      <c r="Y18" s="288"/>
      <c r="Z18" s="289"/>
      <c r="AA18" s="81"/>
      <c r="AB18" s="93">
        <f t="shared" ca="1" si="2"/>
        <v>7.5</v>
      </c>
      <c r="AC18" s="59"/>
      <c r="AD18" t="s">
        <v>175</v>
      </c>
    </row>
    <row r="19" spans="1:30" ht="14.15" customHeight="1" x14ac:dyDescent="0.2">
      <c r="A19" s="290">
        <f t="shared" ca="1" si="3"/>
        <v>46115</v>
      </c>
      <c r="B19" s="291"/>
      <c r="C19" s="80">
        <f ca="1">IF(A19="","",IF(WEEKDAY(A19,1)=1,1,IF(COUNTIF(祝日管理!B:B,A19)=1,"祝",WEEKDAY(A19,1))))</f>
        <v>6</v>
      </c>
      <c r="D19" s="292"/>
      <c r="E19" s="292"/>
      <c r="F19" s="292"/>
      <c r="G19" s="292"/>
      <c r="H19" s="292"/>
      <c r="I19" s="293"/>
      <c r="J19" s="298">
        <f t="shared" si="4"/>
        <v>0</v>
      </c>
      <c r="K19" s="294"/>
      <c r="L19" s="285">
        <f t="shared" si="5"/>
        <v>0</v>
      </c>
      <c r="M19" s="296"/>
      <c r="N19" s="297">
        <f t="shared" ca="1" si="6"/>
        <v>0</v>
      </c>
      <c r="O19" s="286"/>
      <c r="P19" s="285">
        <f t="shared" ca="1" si="7"/>
        <v>0</v>
      </c>
      <c r="Q19" s="286"/>
      <c r="R19" s="285">
        <f t="shared" ca="1" si="8"/>
        <v>0</v>
      </c>
      <c r="S19" s="286"/>
      <c r="T19" s="285">
        <f t="shared" ca="1" si="9"/>
        <v>0</v>
      </c>
      <c r="U19" s="286"/>
      <c r="V19" s="285">
        <f t="shared" ca="1" si="10"/>
        <v>0</v>
      </c>
      <c r="W19" s="286"/>
      <c r="X19" s="287"/>
      <c r="Y19" s="288"/>
      <c r="Z19" s="289"/>
      <c r="AA19" s="81"/>
      <c r="AB19" s="93">
        <f t="shared" ca="1" si="2"/>
        <v>7.5</v>
      </c>
      <c r="AC19" s="59"/>
    </row>
    <row r="20" spans="1:30" ht="14.15" customHeight="1" x14ac:dyDescent="0.2">
      <c r="A20" s="290">
        <f t="shared" ca="1" si="3"/>
        <v>46116</v>
      </c>
      <c r="B20" s="291"/>
      <c r="C20" s="80">
        <f ca="1">IF(A20="","",IF(WEEKDAY(A20,1)=1,1,IF(COUNTIF(祝日管理!B:B,A20)=1,"祝",WEEKDAY(A20,1))))</f>
        <v>7</v>
      </c>
      <c r="D20" s="292"/>
      <c r="E20" s="292"/>
      <c r="F20" s="292"/>
      <c r="G20" s="292"/>
      <c r="H20" s="292"/>
      <c r="I20" s="293"/>
      <c r="J20" s="298">
        <f t="shared" si="4"/>
        <v>0</v>
      </c>
      <c r="K20" s="294"/>
      <c r="L20" s="285">
        <f t="shared" si="5"/>
        <v>0</v>
      </c>
      <c r="M20" s="296"/>
      <c r="N20" s="297">
        <f t="shared" ca="1" si="6"/>
        <v>0</v>
      </c>
      <c r="O20" s="286"/>
      <c r="P20" s="285">
        <f t="shared" ca="1" si="7"/>
        <v>0</v>
      </c>
      <c r="Q20" s="286"/>
      <c r="R20" s="285">
        <f t="shared" ca="1" si="8"/>
        <v>0</v>
      </c>
      <c r="S20" s="286"/>
      <c r="T20" s="285">
        <f t="shared" ca="1" si="9"/>
        <v>0</v>
      </c>
      <c r="U20" s="286"/>
      <c r="V20" s="285">
        <f t="shared" ca="1" si="10"/>
        <v>0</v>
      </c>
      <c r="W20" s="286"/>
      <c r="X20" s="287"/>
      <c r="Y20" s="288"/>
      <c r="Z20" s="289"/>
      <c r="AA20" s="81"/>
      <c r="AB20" s="93">
        <f t="shared" ca="1" si="2"/>
        <v>7.5</v>
      </c>
      <c r="AC20" s="59"/>
    </row>
    <row r="21" spans="1:30" ht="14.15" customHeight="1" x14ac:dyDescent="0.2">
      <c r="A21" s="290">
        <f t="shared" ca="1" si="3"/>
        <v>46117</v>
      </c>
      <c r="B21" s="291"/>
      <c r="C21" s="80">
        <f ca="1">IF(A21="","",IF(WEEKDAY(A21,1)=1,1,IF(COUNTIF(祝日管理!B:B,A21)=1,"祝",WEEKDAY(A21,1))))</f>
        <v>1</v>
      </c>
      <c r="D21" s="292"/>
      <c r="E21" s="292"/>
      <c r="F21" s="292"/>
      <c r="G21" s="292"/>
      <c r="H21" s="292"/>
      <c r="I21" s="293"/>
      <c r="J21" s="298">
        <f t="shared" si="4"/>
        <v>0</v>
      </c>
      <c r="K21" s="294"/>
      <c r="L21" s="285">
        <f t="shared" si="5"/>
        <v>0</v>
      </c>
      <c r="M21" s="296"/>
      <c r="N21" s="297">
        <f t="shared" ca="1" si="6"/>
        <v>0</v>
      </c>
      <c r="O21" s="286"/>
      <c r="P21" s="285">
        <f t="shared" ca="1" si="7"/>
        <v>0</v>
      </c>
      <c r="Q21" s="286"/>
      <c r="R21" s="285">
        <f t="shared" ca="1" si="8"/>
        <v>0</v>
      </c>
      <c r="S21" s="286"/>
      <c r="T21" s="285">
        <f t="shared" ca="1" si="9"/>
        <v>0</v>
      </c>
      <c r="U21" s="286"/>
      <c r="V21" s="285">
        <f t="shared" ca="1" si="10"/>
        <v>0</v>
      </c>
      <c r="W21" s="286"/>
      <c r="X21" s="287" t="s">
        <v>187</v>
      </c>
      <c r="Y21" s="288"/>
      <c r="Z21" s="289"/>
      <c r="AA21" s="81"/>
      <c r="AB21" s="93">
        <f t="shared" ca="1" si="2"/>
        <v>0</v>
      </c>
      <c r="AC21" s="59"/>
      <c r="AD21" t="s">
        <v>176</v>
      </c>
    </row>
    <row r="22" spans="1:30" s="59" customFormat="1" ht="14.15" customHeight="1" x14ac:dyDescent="0.2">
      <c r="A22" s="290">
        <f t="shared" ca="1" si="3"/>
        <v>46118</v>
      </c>
      <c r="B22" s="291"/>
      <c r="C22" s="80">
        <f ca="1">IF(A22="","",IF(WEEKDAY(A22,1)=1,1,IF(COUNTIF(祝日管理!B:B,A22)=1,"祝",WEEKDAY(A22,1))))</f>
        <v>2</v>
      </c>
      <c r="D22" s="292"/>
      <c r="E22" s="292"/>
      <c r="F22" s="292"/>
      <c r="G22" s="292"/>
      <c r="H22" s="292"/>
      <c r="I22" s="293"/>
      <c r="J22" s="298">
        <f t="shared" si="4"/>
        <v>0</v>
      </c>
      <c r="K22" s="294"/>
      <c r="L22" s="285">
        <f t="shared" si="5"/>
        <v>0</v>
      </c>
      <c r="M22" s="296"/>
      <c r="N22" s="297">
        <f t="shared" ca="1" si="6"/>
        <v>0</v>
      </c>
      <c r="O22" s="286"/>
      <c r="P22" s="285">
        <f t="shared" ca="1" si="7"/>
        <v>0</v>
      </c>
      <c r="Q22" s="286"/>
      <c r="R22" s="285">
        <f t="shared" ca="1" si="8"/>
        <v>0</v>
      </c>
      <c r="S22" s="286"/>
      <c r="T22" s="285">
        <f t="shared" ca="1" si="9"/>
        <v>0</v>
      </c>
      <c r="U22" s="286"/>
      <c r="V22" s="285">
        <f t="shared" ca="1" si="10"/>
        <v>0</v>
      </c>
      <c r="W22" s="286"/>
      <c r="X22" s="287" t="s">
        <v>185</v>
      </c>
      <c r="Y22" s="288"/>
      <c r="Z22" s="289"/>
      <c r="AA22" s="81"/>
      <c r="AB22" s="93">
        <f t="shared" ca="1" si="2"/>
        <v>0</v>
      </c>
    </row>
    <row r="23" spans="1:30" ht="14.15" customHeight="1" x14ac:dyDescent="0.2">
      <c r="A23" s="290">
        <f t="shared" ca="1" si="3"/>
        <v>46119</v>
      </c>
      <c r="B23" s="291"/>
      <c r="C23" s="80">
        <f ca="1">IF(A23="","",IF(WEEKDAY(A23,1)=1,1,IF(COUNTIF(祝日管理!B:B,A23)=1,"祝",WEEKDAY(A23,1))))</f>
        <v>3</v>
      </c>
      <c r="D23" s="292"/>
      <c r="E23" s="292"/>
      <c r="F23" s="292"/>
      <c r="G23" s="292"/>
      <c r="H23" s="292"/>
      <c r="I23" s="293"/>
      <c r="J23" s="298">
        <f t="shared" si="4"/>
        <v>0</v>
      </c>
      <c r="K23" s="294"/>
      <c r="L23" s="285">
        <f t="shared" si="5"/>
        <v>0</v>
      </c>
      <c r="M23" s="296"/>
      <c r="N23" s="297">
        <f t="shared" ca="1" si="6"/>
        <v>0</v>
      </c>
      <c r="O23" s="286"/>
      <c r="P23" s="285">
        <f t="shared" ca="1" si="7"/>
        <v>0</v>
      </c>
      <c r="Q23" s="286"/>
      <c r="R23" s="285">
        <f t="shared" ca="1" si="8"/>
        <v>0</v>
      </c>
      <c r="S23" s="286"/>
      <c r="T23" s="285">
        <f t="shared" ca="1" si="9"/>
        <v>0</v>
      </c>
      <c r="U23" s="286"/>
      <c r="V23" s="285">
        <f t="shared" ca="1" si="10"/>
        <v>0</v>
      </c>
      <c r="W23" s="286"/>
      <c r="X23" s="287"/>
      <c r="Y23" s="288"/>
      <c r="Z23" s="289"/>
      <c r="AA23" s="81"/>
      <c r="AB23" s="93">
        <f t="shared" ca="1" si="2"/>
        <v>7.5</v>
      </c>
    </row>
    <row r="24" spans="1:30" ht="14.15" customHeight="1" x14ac:dyDescent="0.2">
      <c r="A24" s="290">
        <f t="shared" ca="1" si="3"/>
        <v>46120</v>
      </c>
      <c r="B24" s="291"/>
      <c r="C24" s="80">
        <f ca="1">IF(A24="","",IF(WEEKDAY(A24,1)=1,1,IF(COUNTIF(祝日管理!B:B,A24)=1,"祝",WEEKDAY(A24,1))))</f>
        <v>4</v>
      </c>
      <c r="D24" s="292"/>
      <c r="E24" s="292"/>
      <c r="F24" s="292"/>
      <c r="G24" s="292"/>
      <c r="H24" s="292"/>
      <c r="I24" s="293"/>
      <c r="J24" s="298">
        <f t="shared" si="4"/>
        <v>0</v>
      </c>
      <c r="K24" s="294"/>
      <c r="L24" s="285">
        <f t="shared" si="5"/>
        <v>0</v>
      </c>
      <c r="M24" s="296"/>
      <c r="N24" s="297">
        <f t="shared" ca="1" si="6"/>
        <v>0</v>
      </c>
      <c r="O24" s="286"/>
      <c r="P24" s="285">
        <f t="shared" ca="1" si="7"/>
        <v>0</v>
      </c>
      <c r="Q24" s="286"/>
      <c r="R24" s="285">
        <f t="shared" ca="1" si="8"/>
        <v>0</v>
      </c>
      <c r="S24" s="286"/>
      <c r="T24" s="285">
        <f t="shared" ca="1" si="9"/>
        <v>0</v>
      </c>
      <c r="U24" s="286"/>
      <c r="V24" s="285">
        <f t="shared" ca="1" si="10"/>
        <v>0</v>
      </c>
      <c r="W24" s="286"/>
      <c r="X24" s="287"/>
      <c r="Y24" s="288"/>
      <c r="Z24" s="289"/>
      <c r="AA24" s="81"/>
      <c r="AB24" s="93">
        <f t="shared" ca="1" si="2"/>
        <v>7.5</v>
      </c>
      <c r="AD24" t="s">
        <v>177</v>
      </c>
    </row>
    <row r="25" spans="1:30" ht="14.15" customHeight="1" x14ac:dyDescent="0.2">
      <c r="A25" s="290">
        <f t="shared" ca="1" si="3"/>
        <v>46121</v>
      </c>
      <c r="B25" s="291"/>
      <c r="C25" s="80">
        <f ca="1">IF(A25="","",IF(WEEKDAY(A25,1)=1,1,IF(COUNTIF(祝日管理!B:B,A25)=1,"祝",WEEKDAY(A25,1))))</f>
        <v>5</v>
      </c>
      <c r="D25" s="292"/>
      <c r="E25" s="292"/>
      <c r="F25" s="292"/>
      <c r="G25" s="292"/>
      <c r="H25" s="292"/>
      <c r="I25" s="293"/>
      <c r="J25" s="298">
        <f t="shared" si="4"/>
        <v>0</v>
      </c>
      <c r="K25" s="294"/>
      <c r="L25" s="285">
        <f t="shared" si="5"/>
        <v>0</v>
      </c>
      <c r="M25" s="296"/>
      <c r="N25" s="297">
        <f t="shared" ca="1" si="6"/>
        <v>0</v>
      </c>
      <c r="O25" s="286"/>
      <c r="P25" s="285">
        <f t="shared" ca="1" si="7"/>
        <v>0</v>
      </c>
      <c r="Q25" s="286"/>
      <c r="R25" s="285">
        <f t="shared" ca="1" si="8"/>
        <v>0</v>
      </c>
      <c r="S25" s="286"/>
      <c r="T25" s="285">
        <f t="shared" ca="1" si="9"/>
        <v>0</v>
      </c>
      <c r="U25" s="286"/>
      <c r="V25" s="285">
        <f t="shared" ca="1" si="10"/>
        <v>0</v>
      </c>
      <c r="W25" s="286"/>
      <c r="X25" s="287"/>
      <c r="Y25" s="288"/>
      <c r="Z25" s="289"/>
      <c r="AA25" s="81"/>
      <c r="AB25" s="93">
        <f t="shared" ca="1" si="2"/>
        <v>7.5</v>
      </c>
    </row>
    <row r="26" spans="1:30" ht="14.15" customHeight="1" x14ac:dyDescent="0.2">
      <c r="A26" s="290">
        <f t="shared" ca="1" si="3"/>
        <v>46122</v>
      </c>
      <c r="B26" s="291"/>
      <c r="C26" s="80">
        <f ca="1">IF(A26="","",IF(WEEKDAY(A26,1)=1,1,IF(COUNTIF(祝日管理!B:B,A26)=1,"祝",WEEKDAY(A26,1))))</f>
        <v>6</v>
      </c>
      <c r="D26" s="292"/>
      <c r="E26" s="292"/>
      <c r="F26" s="292"/>
      <c r="G26" s="292"/>
      <c r="H26" s="292"/>
      <c r="I26" s="293"/>
      <c r="J26" s="298">
        <f t="shared" si="4"/>
        <v>0</v>
      </c>
      <c r="K26" s="294"/>
      <c r="L26" s="285">
        <f t="shared" si="5"/>
        <v>0</v>
      </c>
      <c r="M26" s="296"/>
      <c r="N26" s="297">
        <f t="shared" ca="1" si="6"/>
        <v>0</v>
      </c>
      <c r="O26" s="286"/>
      <c r="P26" s="285">
        <f t="shared" ca="1" si="7"/>
        <v>0</v>
      </c>
      <c r="Q26" s="286"/>
      <c r="R26" s="285">
        <f t="shared" ca="1" si="8"/>
        <v>0</v>
      </c>
      <c r="S26" s="286"/>
      <c r="T26" s="285">
        <f t="shared" ca="1" si="9"/>
        <v>0</v>
      </c>
      <c r="U26" s="286"/>
      <c r="V26" s="285">
        <f t="shared" ca="1" si="10"/>
        <v>0</v>
      </c>
      <c r="W26" s="286"/>
      <c r="X26" s="287"/>
      <c r="Y26" s="288"/>
      <c r="Z26" s="289"/>
      <c r="AA26" s="81"/>
      <c r="AB26" s="93">
        <f t="shared" ca="1" si="2"/>
        <v>7.5</v>
      </c>
      <c r="AD26" t="s">
        <v>213</v>
      </c>
    </row>
    <row r="27" spans="1:30" ht="14.15" customHeight="1" x14ac:dyDescent="0.2">
      <c r="A27" s="290">
        <f t="shared" ca="1" si="3"/>
        <v>46123</v>
      </c>
      <c r="B27" s="291"/>
      <c r="C27" s="80">
        <f ca="1">IF(A27="","",IF(WEEKDAY(A27,1)=1,1,IF(COUNTIF(祝日管理!B:B,A27)=1,"祝",WEEKDAY(A27,1))))</f>
        <v>7</v>
      </c>
      <c r="D27" s="292"/>
      <c r="E27" s="292"/>
      <c r="F27" s="292"/>
      <c r="G27" s="292"/>
      <c r="H27" s="292"/>
      <c r="I27" s="293"/>
      <c r="J27" s="298">
        <f t="shared" si="4"/>
        <v>0</v>
      </c>
      <c r="K27" s="294"/>
      <c r="L27" s="285">
        <f t="shared" si="5"/>
        <v>0</v>
      </c>
      <c r="M27" s="296"/>
      <c r="N27" s="297">
        <f t="shared" ca="1" si="6"/>
        <v>0</v>
      </c>
      <c r="O27" s="286"/>
      <c r="P27" s="285">
        <f t="shared" ca="1" si="7"/>
        <v>0</v>
      </c>
      <c r="Q27" s="286"/>
      <c r="R27" s="285">
        <f t="shared" ca="1" si="8"/>
        <v>0</v>
      </c>
      <c r="S27" s="286"/>
      <c r="T27" s="285">
        <f t="shared" ca="1" si="9"/>
        <v>0</v>
      </c>
      <c r="U27" s="286"/>
      <c r="V27" s="285">
        <f t="shared" ca="1" si="10"/>
        <v>0</v>
      </c>
      <c r="W27" s="286"/>
      <c r="X27" s="287"/>
      <c r="Y27" s="288"/>
      <c r="Z27" s="289"/>
      <c r="AA27" s="81"/>
      <c r="AB27" s="93">
        <f t="shared" ca="1" si="2"/>
        <v>7.5</v>
      </c>
    </row>
    <row r="28" spans="1:30" ht="14.15" customHeight="1" x14ac:dyDescent="0.2">
      <c r="A28" s="290">
        <f t="shared" ca="1" si="3"/>
        <v>46124</v>
      </c>
      <c r="B28" s="291"/>
      <c r="C28" s="80">
        <f ca="1">IF(A28="","",IF(WEEKDAY(A28,1)=1,1,IF(COUNTIF(祝日管理!B:B,A28)=1,"祝",WEEKDAY(A28,1))))</f>
        <v>1</v>
      </c>
      <c r="D28" s="292"/>
      <c r="E28" s="292"/>
      <c r="F28" s="292"/>
      <c r="G28" s="292"/>
      <c r="H28" s="292"/>
      <c r="I28" s="293"/>
      <c r="J28" s="298">
        <f t="shared" si="4"/>
        <v>0</v>
      </c>
      <c r="K28" s="294"/>
      <c r="L28" s="285">
        <f t="shared" si="5"/>
        <v>0</v>
      </c>
      <c r="M28" s="296"/>
      <c r="N28" s="297">
        <f t="shared" ca="1" si="6"/>
        <v>0</v>
      </c>
      <c r="O28" s="286"/>
      <c r="P28" s="285">
        <f t="shared" ca="1" si="7"/>
        <v>0</v>
      </c>
      <c r="Q28" s="286"/>
      <c r="R28" s="285">
        <f t="shared" ca="1" si="8"/>
        <v>0</v>
      </c>
      <c r="S28" s="286"/>
      <c r="T28" s="285">
        <f t="shared" ca="1" si="9"/>
        <v>0</v>
      </c>
      <c r="U28" s="286"/>
      <c r="V28" s="285">
        <f t="shared" ca="1" si="10"/>
        <v>0</v>
      </c>
      <c r="W28" s="286"/>
      <c r="X28" s="287" t="s">
        <v>187</v>
      </c>
      <c r="Y28" s="288"/>
      <c r="Z28" s="289"/>
      <c r="AA28" s="81"/>
      <c r="AB28" s="93">
        <f t="shared" ca="1" si="2"/>
        <v>0</v>
      </c>
    </row>
    <row r="29" spans="1:30" s="59" customFormat="1" ht="14.15" customHeight="1" x14ac:dyDescent="0.2">
      <c r="A29" s="290">
        <f t="shared" ca="1" si="3"/>
        <v>46125</v>
      </c>
      <c r="B29" s="291"/>
      <c r="C29" s="80">
        <f ca="1">IF(A29="","",IF(WEEKDAY(A29,1)=1,1,IF(COUNTIF(祝日管理!B:B,A29)=1,"祝",WEEKDAY(A29,1))))</f>
        <v>2</v>
      </c>
      <c r="D29" s="292"/>
      <c r="E29" s="292"/>
      <c r="F29" s="292"/>
      <c r="G29" s="292"/>
      <c r="H29" s="292"/>
      <c r="I29" s="293"/>
      <c r="J29" s="298">
        <f t="shared" si="4"/>
        <v>0</v>
      </c>
      <c r="K29" s="294"/>
      <c r="L29" s="285">
        <f t="shared" si="5"/>
        <v>0</v>
      </c>
      <c r="M29" s="296"/>
      <c r="N29" s="297">
        <f t="shared" ca="1" si="6"/>
        <v>0</v>
      </c>
      <c r="O29" s="286"/>
      <c r="P29" s="285">
        <f t="shared" ca="1" si="7"/>
        <v>0</v>
      </c>
      <c r="Q29" s="286"/>
      <c r="R29" s="285">
        <f t="shared" ca="1" si="8"/>
        <v>0</v>
      </c>
      <c r="S29" s="286"/>
      <c r="T29" s="285">
        <f t="shared" ca="1" si="9"/>
        <v>0</v>
      </c>
      <c r="U29" s="286"/>
      <c r="V29" s="285">
        <f t="shared" ca="1" si="10"/>
        <v>0</v>
      </c>
      <c r="W29" s="286"/>
      <c r="X29" s="287" t="s">
        <v>185</v>
      </c>
      <c r="Y29" s="288"/>
      <c r="Z29" s="289"/>
      <c r="AA29" s="81"/>
      <c r="AB29" s="93">
        <f t="shared" ca="1" si="2"/>
        <v>0</v>
      </c>
      <c r="AC29" s="59" t="s">
        <v>207</v>
      </c>
    </row>
    <row r="30" spans="1:30" ht="14.15" customHeight="1" x14ac:dyDescent="0.2">
      <c r="A30" s="290">
        <f t="shared" ca="1" si="3"/>
        <v>46126</v>
      </c>
      <c r="B30" s="291"/>
      <c r="C30" s="80">
        <f ca="1">IF(A30="","",IF(WEEKDAY(A30,1)=1,1,IF(COUNTIF(祝日管理!B:B,A30)=1,"祝",WEEKDAY(A30,1))))</f>
        <v>3</v>
      </c>
      <c r="D30" s="292"/>
      <c r="E30" s="292"/>
      <c r="F30" s="292"/>
      <c r="G30" s="292"/>
      <c r="H30" s="292"/>
      <c r="I30" s="293"/>
      <c r="J30" s="298">
        <f t="shared" si="4"/>
        <v>0</v>
      </c>
      <c r="K30" s="294"/>
      <c r="L30" s="285">
        <f t="shared" si="5"/>
        <v>0</v>
      </c>
      <c r="M30" s="296"/>
      <c r="N30" s="297">
        <f t="shared" ca="1" si="6"/>
        <v>0</v>
      </c>
      <c r="O30" s="286"/>
      <c r="P30" s="285">
        <f t="shared" ca="1" si="7"/>
        <v>0</v>
      </c>
      <c r="Q30" s="286"/>
      <c r="R30" s="285">
        <f t="shared" ca="1" si="8"/>
        <v>0</v>
      </c>
      <c r="S30" s="286"/>
      <c r="T30" s="285">
        <f t="shared" ca="1" si="9"/>
        <v>0</v>
      </c>
      <c r="U30" s="286"/>
      <c r="V30" s="285">
        <f t="shared" ca="1" si="10"/>
        <v>0</v>
      </c>
      <c r="W30" s="286"/>
      <c r="X30" s="287"/>
      <c r="Y30" s="288"/>
      <c r="Z30" s="289"/>
      <c r="AA30" s="81"/>
      <c r="AB30" s="93">
        <f t="shared" ca="1" si="2"/>
        <v>7.5</v>
      </c>
      <c r="AC30" t="s">
        <v>208</v>
      </c>
    </row>
    <row r="31" spans="1:30" ht="14.15" customHeight="1" x14ac:dyDescent="0.2">
      <c r="A31" s="290">
        <f t="shared" ca="1" si="3"/>
        <v>46127</v>
      </c>
      <c r="B31" s="291"/>
      <c r="C31" s="80">
        <f ca="1">IF(A31="","",IF(WEEKDAY(A31,1)=1,1,IF(COUNTIF(祝日管理!B:B,A31)=1,"祝",WEEKDAY(A31,1))))</f>
        <v>4</v>
      </c>
      <c r="D31" s="292"/>
      <c r="E31" s="292"/>
      <c r="F31" s="292"/>
      <c r="G31" s="292"/>
      <c r="H31" s="292"/>
      <c r="I31" s="293"/>
      <c r="J31" s="298">
        <f t="shared" si="4"/>
        <v>0</v>
      </c>
      <c r="K31" s="294"/>
      <c r="L31" s="285">
        <f t="shared" si="5"/>
        <v>0</v>
      </c>
      <c r="M31" s="296"/>
      <c r="N31" s="297">
        <f t="shared" ca="1" si="6"/>
        <v>0</v>
      </c>
      <c r="O31" s="286"/>
      <c r="P31" s="285">
        <f t="shared" ca="1" si="7"/>
        <v>0</v>
      </c>
      <c r="Q31" s="286"/>
      <c r="R31" s="285">
        <f t="shared" ca="1" si="8"/>
        <v>0</v>
      </c>
      <c r="S31" s="286"/>
      <c r="T31" s="285">
        <f t="shared" ca="1" si="9"/>
        <v>0</v>
      </c>
      <c r="U31" s="286"/>
      <c r="V31" s="285">
        <f t="shared" ca="1" si="10"/>
        <v>0</v>
      </c>
      <c r="W31" s="286"/>
      <c r="X31" s="287"/>
      <c r="Y31" s="288"/>
      <c r="Z31" s="289"/>
      <c r="AA31" s="81"/>
      <c r="AB31" s="93">
        <f t="shared" ca="1" si="2"/>
        <v>7.5</v>
      </c>
      <c r="AC31" t="s">
        <v>209</v>
      </c>
    </row>
    <row r="32" spans="1:30" ht="14.15" customHeight="1" x14ac:dyDescent="0.2">
      <c r="A32" s="290">
        <f t="shared" ca="1" si="3"/>
        <v>46128</v>
      </c>
      <c r="B32" s="291"/>
      <c r="C32" s="80">
        <f ca="1">IF(A32="","",IF(WEEKDAY(A32,1)=1,1,IF(COUNTIF(祝日管理!B:B,A32)=1,"祝",WEEKDAY(A32,1))))</f>
        <v>5</v>
      </c>
      <c r="D32" s="292"/>
      <c r="E32" s="292"/>
      <c r="F32" s="292"/>
      <c r="G32" s="292"/>
      <c r="H32" s="292"/>
      <c r="I32" s="293"/>
      <c r="J32" s="298">
        <f t="shared" si="4"/>
        <v>0</v>
      </c>
      <c r="K32" s="294"/>
      <c r="L32" s="285">
        <f t="shared" si="5"/>
        <v>0</v>
      </c>
      <c r="M32" s="296"/>
      <c r="N32" s="297">
        <f t="shared" ca="1" si="6"/>
        <v>0</v>
      </c>
      <c r="O32" s="286"/>
      <c r="P32" s="285">
        <f t="shared" ca="1" si="7"/>
        <v>0</v>
      </c>
      <c r="Q32" s="286"/>
      <c r="R32" s="285">
        <f t="shared" ca="1" si="8"/>
        <v>0</v>
      </c>
      <c r="S32" s="286"/>
      <c r="T32" s="285">
        <f t="shared" ca="1" si="9"/>
        <v>0</v>
      </c>
      <c r="U32" s="286"/>
      <c r="V32" s="285">
        <f t="shared" ca="1" si="10"/>
        <v>0</v>
      </c>
      <c r="W32" s="286"/>
      <c r="X32" s="287"/>
      <c r="Y32" s="288"/>
      <c r="Z32" s="289"/>
      <c r="AA32" s="81"/>
      <c r="AB32" s="93">
        <f t="shared" ca="1" si="2"/>
        <v>7.5</v>
      </c>
    </row>
    <row r="33" spans="1:32" ht="14.15" customHeight="1" x14ac:dyDescent="0.2">
      <c r="A33" s="290">
        <f t="shared" ca="1" si="3"/>
        <v>46129</v>
      </c>
      <c r="B33" s="291"/>
      <c r="C33" s="80">
        <f ca="1">IF(A33="","",IF(WEEKDAY(A33,1)=1,1,IF(COUNTIF(祝日管理!B:B,A33)=1,"祝",WEEKDAY(A33,1))))</f>
        <v>6</v>
      </c>
      <c r="D33" s="292"/>
      <c r="E33" s="292"/>
      <c r="F33" s="292"/>
      <c r="G33" s="292"/>
      <c r="H33" s="292"/>
      <c r="I33" s="293"/>
      <c r="J33" s="298">
        <f t="shared" si="4"/>
        <v>0</v>
      </c>
      <c r="K33" s="294"/>
      <c r="L33" s="285">
        <f t="shared" si="5"/>
        <v>0</v>
      </c>
      <c r="M33" s="296"/>
      <c r="N33" s="297">
        <f t="shared" ca="1" si="6"/>
        <v>0</v>
      </c>
      <c r="O33" s="286"/>
      <c r="P33" s="285">
        <f t="shared" ca="1" si="7"/>
        <v>0</v>
      </c>
      <c r="Q33" s="286"/>
      <c r="R33" s="285">
        <f t="shared" ca="1" si="8"/>
        <v>0</v>
      </c>
      <c r="S33" s="286"/>
      <c r="T33" s="285">
        <f t="shared" ca="1" si="9"/>
        <v>0</v>
      </c>
      <c r="U33" s="286"/>
      <c r="V33" s="285">
        <f t="shared" ca="1" si="10"/>
        <v>0</v>
      </c>
      <c r="W33" s="286"/>
      <c r="X33" s="287"/>
      <c r="Y33" s="288"/>
      <c r="Z33" s="289"/>
      <c r="AA33" s="81"/>
      <c r="AB33" s="93">
        <f t="shared" ca="1" si="2"/>
        <v>7.5</v>
      </c>
      <c r="AD33" t="s">
        <v>214</v>
      </c>
    </row>
    <row r="34" spans="1:32" ht="14.15" customHeight="1" x14ac:dyDescent="0.2">
      <c r="A34" s="290">
        <f t="shared" ca="1" si="3"/>
        <v>46130</v>
      </c>
      <c r="B34" s="291"/>
      <c r="C34" s="80">
        <f ca="1">IF(A34="","",IF(WEEKDAY(A34,1)=1,1,IF(COUNTIF(祝日管理!B:B,A34)=1,"祝",WEEKDAY(A34,1))))</f>
        <v>7</v>
      </c>
      <c r="D34" s="292"/>
      <c r="E34" s="292"/>
      <c r="F34" s="292"/>
      <c r="G34" s="292"/>
      <c r="H34" s="292"/>
      <c r="I34" s="293"/>
      <c r="J34" s="298">
        <f t="shared" si="4"/>
        <v>0</v>
      </c>
      <c r="K34" s="294"/>
      <c r="L34" s="285">
        <f t="shared" si="5"/>
        <v>0</v>
      </c>
      <c r="M34" s="296"/>
      <c r="N34" s="297">
        <f t="shared" ca="1" si="6"/>
        <v>0</v>
      </c>
      <c r="O34" s="286"/>
      <c r="P34" s="285">
        <f t="shared" ca="1" si="7"/>
        <v>0</v>
      </c>
      <c r="Q34" s="286"/>
      <c r="R34" s="285">
        <f t="shared" ca="1" si="8"/>
        <v>0</v>
      </c>
      <c r="S34" s="286"/>
      <c r="T34" s="285">
        <f t="shared" ca="1" si="9"/>
        <v>0</v>
      </c>
      <c r="U34" s="286"/>
      <c r="V34" s="285">
        <f t="shared" ca="1" si="10"/>
        <v>0</v>
      </c>
      <c r="W34" s="286"/>
      <c r="X34" s="287"/>
      <c r="Y34" s="288"/>
      <c r="Z34" s="289"/>
      <c r="AA34" s="81"/>
      <c r="AB34" s="93">
        <f t="shared" ca="1" si="2"/>
        <v>7.5</v>
      </c>
      <c r="AD34" t="s">
        <v>215</v>
      </c>
    </row>
    <row r="35" spans="1:32" ht="14.15" customHeight="1" x14ac:dyDescent="0.2">
      <c r="A35" s="290">
        <f t="shared" ca="1" si="3"/>
        <v>46131</v>
      </c>
      <c r="B35" s="291"/>
      <c r="C35" s="80">
        <f ca="1">IF(A35="","",IF(WEEKDAY(A35,1)=1,1,IF(COUNTIF(祝日管理!B:B,A35)=1,"祝",WEEKDAY(A35,1))))</f>
        <v>1</v>
      </c>
      <c r="D35" s="292"/>
      <c r="E35" s="292"/>
      <c r="F35" s="292"/>
      <c r="G35" s="292"/>
      <c r="H35" s="292"/>
      <c r="I35" s="293"/>
      <c r="J35" s="298">
        <f t="shared" si="4"/>
        <v>0</v>
      </c>
      <c r="K35" s="294"/>
      <c r="L35" s="285">
        <f t="shared" si="5"/>
        <v>0</v>
      </c>
      <c r="M35" s="296"/>
      <c r="N35" s="297">
        <f t="shared" ca="1" si="6"/>
        <v>0</v>
      </c>
      <c r="O35" s="286"/>
      <c r="P35" s="285">
        <f t="shared" ca="1" si="7"/>
        <v>0</v>
      </c>
      <c r="Q35" s="286"/>
      <c r="R35" s="285">
        <f t="shared" ca="1" si="8"/>
        <v>0</v>
      </c>
      <c r="S35" s="286"/>
      <c r="T35" s="285">
        <f t="shared" ca="1" si="9"/>
        <v>0</v>
      </c>
      <c r="U35" s="286"/>
      <c r="V35" s="285">
        <f t="shared" ca="1" si="10"/>
        <v>0</v>
      </c>
      <c r="W35" s="286"/>
      <c r="X35" s="287" t="s">
        <v>187</v>
      </c>
      <c r="Y35" s="288"/>
      <c r="Z35" s="289"/>
      <c r="AA35" s="81"/>
      <c r="AB35" s="93">
        <f t="shared" ca="1" si="2"/>
        <v>0</v>
      </c>
    </row>
    <row r="36" spans="1:32" ht="14.15" customHeight="1" x14ac:dyDescent="0.2">
      <c r="A36" s="290">
        <f t="shared" ca="1" si="3"/>
        <v>46132</v>
      </c>
      <c r="B36" s="291"/>
      <c r="C36" s="80">
        <f ca="1">IF(A36="","",IF(WEEKDAY(A36,1)=1,1,IF(COUNTIF(祝日管理!B:B,A36)=1,"祝",WEEKDAY(A36,1))))</f>
        <v>2</v>
      </c>
      <c r="D36" s="292"/>
      <c r="E36" s="292"/>
      <c r="F36" s="292"/>
      <c r="G36" s="292"/>
      <c r="H36" s="292"/>
      <c r="I36" s="293"/>
      <c r="J36" s="298">
        <f t="shared" si="4"/>
        <v>0</v>
      </c>
      <c r="K36" s="294"/>
      <c r="L36" s="285">
        <f t="shared" si="5"/>
        <v>0</v>
      </c>
      <c r="M36" s="296"/>
      <c r="N36" s="297">
        <f t="shared" ca="1" si="6"/>
        <v>0</v>
      </c>
      <c r="O36" s="286"/>
      <c r="P36" s="285">
        <f t="shared" ca="1" si="7"/>
        <v>0</v>
      </c>
      <c r="Q36" s="286"/>
      <c r="R36" s="285">
        <f t="shared" ca="1" si="8"/>
        <v>0</v>
      </c>
      <c r="S36" s="286"/>
      <c r="T36" s="285">
        <f t="shared" ca="1" si="9"/>
        <v>0</v>
      </c>
      <c r="U36" s="286"/>
      <c r="V36" s="285">
        <f t="shared" ca="1" si="10"/>
        <v>0</v>
      </c>
      <c r="W36" s="286"/>
      <c r="X36" s="287" t="s">
        <v>185</v>
      </c>
      <c r="Y36" s="288"/>
      <c r="Z36" s="289"/>
      <c r="AA36" s="81"/>
      <c r="AB36" s="93">
        <f t="shared" ca="1" si="2"/>
        <v>0</v>
      </c>
    </row>
    <row r="37" spans="1:32" ht="14.15" customHeight="1" x14ac:dyDescent="0.2">
      <c r="A37" s="290">
        <f t="shared" ca="1" si="3"/>
        <v>46133</v>
      </c>
      <c r="B37" s="291"/>
      <c r="C37" s="80">
        <f ca="1">IF(A37="","",IF(WEEKDAY(A37,1)=1,1,IF(COUNTIF(祝日管理!B:B,A37)=1,"祝",WEEKDAY(A37,1))))</f>
        <v>3</v>
      </c>
      <c r="D37" s="292"/>
      <c r="E37" s="292"/>
      <c r="F37" s="292"/>
      <c r="G37" s="292"/>
      <c r="H37" s="292"/>
      <c r="I37" s="293"/>
      <c r="J37" s="298">
        <f t="shared" si="4"/>
        <v>0</v>
      </c>
      <c r="K37" s="294"/>
      <c r="L37" s="285">
        <f t="shared" si="5"/>
        <v>0</v>
      </c>
      <c r="M37" s="296"/>
      <c r="N37" s="297">
        <f t="shared" ca="1" si="6"/>
        <v>0</v>
      </c>
      <c r="O37" s="286"/>
      <c r="P37" s="285">
        <f t="shared" ca="1" si="7"/>
        <v>0</v>
      </c>
      <c r="Q37" s="286"/>
      <c r="R37" s="285">
        <f t="shared" ca="1" si="8"/>
        <v>0</v>
      </c>
      <c r="S37" s="286"/>
      <c r="T37" s="285">
        <f t="shared" ca="1" si="9"/>
        <v>0</v>
      </c>
      <c r="U37" s="286"/>
      <c r="V37" s="285">
        <f t="shared" ca="1" si="10"/>
        <v>0</v>
      </c>
      <c r="W37" s="286"/>
      <c r="X37" s="287"/>
      <c r="Y37" s="288"/>
      <c r="Z37" s="289"/>
      <c r="AA37" s="81"/>
      <c r="AB37" s="93">
        <f t="shared" ca="1" si="2"/>
        <v>7.5</v>
      </c>
    </row>
    <row r="38" spans="1:32" ht="14.15" customHeight="1" x14ac:dyDescent="0.2">
      <c r="A38" s="290">
        <f t="shared" ca="1" si="3"/>
        <v>46134</v>
      </c>
      <c r="B38" s="291"/>
      <c r="C38" s="80">
        <f ca="1">IF(A38="","",IF(WEEKDAY(A38,1)=1,1,IF(COUNTIF(祝日管理!B:B,A38)=1,"祝",WEEKDAY(A38,1))))</f>
        <v>4</v>
      </c>
      <c r="D38" s="292"/>
      <c r="E38" s="292"/>
      <c r="F38" s="292"/>
      <c r="G38" s="292"/>
      <c r="H38" s="292"/>
      <c r="I38" s="293"/>
      <c r="J38" s="298">
        <f t="shared" si="4"/>
        <v>0</v>
      </c>
      <c r="K38" s="294"/>
      <c r="L38" s="285">
        <f t="shared" si="5"/>
        <v>0</v>
      </c>
      <c r="M38" s="296"/>
      <c r="N38" s="297">
        <f t="shared" ca="1" si="6"/>
        <v>0</v>
      </c>
      <c r="O38" s="286"/>
      <c r="P38" s="285">
        <f t="shared" ca="1" si="7"/>
        <v>0</v>
      </c>
      <c r="Q38" s="286"/>
      <c r="R38" s="285">
        <f t="shared" ca="1" si="8"/>
        <v>0</v>
      </c>
      <c r="S38" s="286"/>
      <c r="T38" s="285">
        <f t="shared" ca="1" si="9"/>
        <v>0</v>
      </c>
      <c r="U38" s="286"/>
      <c r="V38" s="285">
        <f t="shared" ca="1" si="10"/>
        <v>0</v>
      </c>
      <c r="W38" s="286"/>
      <c r="X38" s="287"/>
      <c r="Y38" s="288"/>
      <c r="Z38" s="289"/>
      <c r="AA38" s="81"/>
      <c r="AB38" s="93">
        <f t="shared" ca="1" si="2"/>
        <v>7.5</v>
      </c>
    </row>
    <row r="39" spans="1:32" ht="14.15" customHeight="1" x14ac:dyDescent="0.2">
      <c r="A39" s="290">
        <f t="shared" ca="1" si="3"/>
        <v>46135</v>
      </c>
      <c r="B39" s="291"/>
      <c r="C39" s="80">
        <f ca="1">IF(A39="","",IF(WEEKDAY(A39,1)=1,1,IF(COUNTIF(祝日管理!B:B,A39)=1,"祝",WEEKDAY(A39,1))))</f>
        <v>5</v>
      </c>
      <c r="D39" s="292"/>
      <c r="E39" s="292"/>
      <c r="F39" s="292"/>
      <c r="G39" s="292"/>
      <c r="H39" s="292"/>
      <c r="I39" s="293"/>
      <c r="J39" s="298">
        <f t="shared" si="4"/>
        <v>0</v>
      </c>
      <c r="K39" s="294"/>
      <c r="L39" s="285">
        <f t="shared" si="5"/>
        <v>0</v>
      </c>
      <c r="M39" s="296"/>
      <c r="N39" s="297">
        <f t="shared" ca="1" si="6"/>
        <v>0</v>
      </c>
      <c r="O39" s="286"/>
      <c r="P39" s="285">
        <f t="shared" ca="1" si="7"/>
        <v>0</v>
      </c>
      <c r="Q39" s="286"/>
      <c r="R39" s="285">
        <f t="shared" ca="1" si="8"/>
        <v>0</v>
      </c>
      <c r="S39" s="286"/>
      <c r="T39" s="285">
        <f t="shared" ca="1" si="9"/>
        <v>0</v>
      </c>
      <c r="U39" s="286"/>
      <c r="V39" s="285">
        <f t="shared" ca="1" si="10"/>
        <v>0</v>
      </c>
      <c r="W39" s="286"/>
      <c r="X39" s="287"/>
      <c r="Y39" s="288"/>
      <c r="Z39" s="289"/>
      <c r="AA39" s="81"/>
      <c r="AB39" s="93">
        <f t="shared" ca="1" si="2"/>
        <v>7.5</v>
      </c>
    </row>
    <row r="40" spans="1:32" ht="14.15" customHeight="1" x14ac:dyDescent="0.2">
      <c r="A40" s="290">
        <f t="shared" ca="1" si="3"/>
        <v>46136</v>
      </c>
      <c r="B40" s="291"/>
      <c r="C40" s="80">
        <f ca="1">IF(A40="","",IF(WEEKDAY(A40,1)=1,1,IF(COUNTIF(祝日管理!B:B,A40)=1,"祝",WEEKDAY(A40,1))))</f>
        <v>6</v>
      </c>
      <c r="D40" s="292"/>
      <c r="E40" s="292"/>
      <c r="F40" s="292"/>
      <c r="G40" s="292"/>
      <c r="H40" s="292"/>
      <c r="I40" s="293"/>
      <c r="J40" s="298">
        <f t="shared" si="4"/>
        <v>0</v>
      </c>
      <c r="K40" s="294"/>
      <c r="L40" s="285">
        <f t="shared" si="5"/>
        <v>0</v>
      </c>
      <c r="M40" s="296"/>
      <c r="N40" s="297">
        <f t="shared" ca="1" si="6"/>
        <v>0</v>
      </c>
      <c r="O40" s="286"/>
      <c r="P40" s="285">
        <f t="shared" ca="1" si="7"/>
        <v>0</v>
      </c>
      <c r="Q40" s="286"/>
      <c r="R40" s="285">
        <f t="shared" ca="1" si="8"/>
        <v>0</v>
      </c>
      <c r="S40" s="286"/>
      <c r="T40" s="285">
        <f t="shared" ca="1" si="9"/>
        <v>0</v>
      </c>
      <c r="U40" s="286"/>
      <c r="V40" s="285">
        <f t="shared" ca="1" si="10"/>
        <v>0</v>
      </c>
      <c r="W40" s="286"/>
      <c r="X40" s="287"/>
      <c r="Y40" s="288"/>
      <c r="Z40" s="289"/>
      <c r="AA40" s="81"/>
      <c r="AB40" s="93">
        <f t="shared" ca="1" si="2"/>
        <v>7.5</v>
      </c>
    </row>
    <row r="41" spans="1:32" ht="14.15" customHeight="1" x14ac:dyDescent="0.2">
      <c r="A41" s="290">
        <f t="shared" ca="1" si="3"/>
        <v>46137</v>
      </c>
      <c r="B41" s="291"/>
      <c r="C41" s="80">
        <f ca="1">IF(A41="","",IF(WEEKDAY(A41,1)=1,1,IF(COUNTIF(祝日管理!B:B,A41)=1,"祝",WEEKDAY(A41,1))))</f>
        <v>7</v>
      </c>
      <c r="D41" s="292"/>
      <c r="E41" s="292"/>
      <c r="F41" s="292"/>
      <c r="G41" s="292"/>
      <c r="H41" s="292"/>
      <c r="I41" s="293"/>
      <c r="J41" s="298">
        <f t="shared" si="4"/>
        <v>0</v>
      </c>
      <c r="K41" s="294"/>
      <c r="L41" s="285">
        <f t="shared" si="5"/>
        <v>0</v>
      </c>
      <c r="M41" s="296"/>
      <c r="N41" s="297">
        <f t="shared" ca="1" si="6"/>
        <v>0</v>
      </c>
      <c r="O41" s="286"/>
      <c r="P41" s="285">
        <f t="shared" ca="1" si="7"/>
        <v>0</v>
      </c>
      <c r="Q41" s="286"/>
      <c r="R41" s="285">
        <f t="shared" ca="1" si="8"/>
        <v>0</v>
      </c>
      <c r="S41" s="286"/>
      <c r="T41" s="285">
        <f t="shared" ca="1" si="9"/>
        <v>0</v>
      </c>
      <c r="U41" s="286"/>
      <c r="V41" s="285">
        <f t="shared" ca="1" si="10"/>
        <v>0</v>
      </c>
      <c r="W41" s="286"/>
      <c r="X41" s="287"/>
      <c r="Y41" s="288"/>
      <c r="Z41" s="289"/>
      <c r="AA41" s="81"/>
      <c r="AB41" s="93">
        <f t="shared" ca="1" si="2"/>
        <v>7.5</v>
      </c>
    </row>
    <row r="42" spans="1:32" ht="14.15" customHeight="1" x14ac:dyDescent="0.2">
      <c r="A42" s="290">
        <f t="shared" ca="1" si="3"/>
        <v>46138</v>
      </c>
      <c r="B42" s="291"/>
      <c r="C42" s="80">
        <f ca="1">IF(A42="","",IF(WEEKDAY(A42,1)=1,1,IF(COUNTIF(祝日管理!B:B,A42)=1,"祝",WEEKDAY(A42,1))))</f>
        <v>1</v>
      </c>
      <c r="D42" s="292"/>
      <c r="E42" s="292"/>
      <c r="F42" s="292"/>
      <c r="G42" s="292"/>
      <c r="H42" s="292"/>
      <c r="I42" s="293"/>
      <c r="J42" s="298">
        <f t="shared" si="4"/>
        <v>0</v>
      </c>
      <c r="K42" s="294"/>
      <c r="L42" s="285">
        <f t="shared" si="5"/>
        <v>0</v>
      </c>
      <c r="M42" s="296"/>
      <c r="N42" s="297">
        <f t="shared" ca="1" si="6"/>
        <v>0</v>
      </c>
      <c r="O42" s="286"/>
      <c r="P42" s="285">
        <f t="shared" ca="1" si="7"/>
        <v>0</v>
      </c>
      <c r="Q42" s="286"/>
      <c r="R42" s="285">
        <f t="shared" ca="1" si="8"/>
        <v>0</v>
      </c>
      <c r="S42" s="286"/>
      <c r="T42" s="285">
        <f t="shared" ca="1" si="9"/>
        <v>0</v>
      </c>
      <c r="U42" s="286"/>
      <c r="V42" s="285">
        <f t="shared" ca="1" si="10"/>
        <v>0</v>
      </c>
      <c r="W42" s="286"/>
      <c r="X42" s="287" t="s">
        <v>187</v>
      </c>
      <c r="Y42" s="288"/>
      <c r="Z42" s="289"/>
      <c r="AA42" s="81"/>
      <c r="AB42" s="93">
        <f t="shared" ca="1" si="2"/>
        <v>0</v>
      </c>
    </row>
    <row r="43" spans="1:32" ht="14.15" customHeight="1" x14ac:dyDescent="0.2">
      <c r="A43" s="290">
        <f t="shared" ca="1" si="3"/>
        <v>46139</v>
      </c>
      <c r="B43" s="291"/>
      <c r="C43" s="80">
        <f ca="1">IF(A43="","",IF(WEEKDAY(A43,1)=1,1,IF(COUNTIF(祝日管理!B:B,A43)=1,"祝",WEEKDAY(A43,1))))</f>
        <v>2</v>
      </c>
      <c r="D43" s="292"/>
      <c r="E43" s="292"/>
      <c r="F43" s="292"/>
      <c r="G43" s="292"/>
      <c r="H43" s="292"/>
      <c r="I43" s="293"/>
      <c r="J43" s="298">
        <f t="shared" si="4"/>
        <v>0</v>
      </c>
      <c r="K43" s="294"/>
      <c r="L43" s="285">
        <f t="shared" si="5"/>
        <v>0</v>
      </c>
      <c r="M43" s="296"/>
      <c r="N43" s="297">
        <f t="shared" ca="1" si="6"/>
        <v>0</v>
      </c>
      <c r="O43" s="286"/>
      <c r="P43" s="285">
        <f t="shared" ca="1" si="7"/>
        <v>0</v>
      </c>
      <c r="Q43" s="286"/>
      <c r="R43" s="285">
        <f t="shared" ca="1" si="8"/>
        <v>0</v>
      </c>
      <c r="S43" s="286"/>
      <c r="T43" s="285">
        <f t="shared" ca="1" si="9"/>
        <v>0</v>
      </c>
      <c r="U43" s="286"/>
      <c r="V43" s="285">
        <f t="shared" ca="1" si="10"/>
        <v>0</v>
      </c>
      <c r="W43" s="286"/>
      <c r="X43" s="287" t="s">
        <v>185</v>
      </c>
      <c r="Y43" s="288"/>
      <c r="Z43" s="289"/>
      <c r="AA43" s="81"/>
      <c r="AB43" s="93">
        <f t="shared" ca="1" si="2"/>
        <v>0</v>
      </c>
    </row>
    <row r="44" spans="1:32" ht="14.15" customHeight="1" x14ac:dyDescent="0.2">
      <c r="A44" s="290">
        <f t="shared" ca="1" si="3"/>
        <v>46140</v>
      </c>
      <c r="B44" s="291"/>
      <c r="C44" s="80">
        <f ca="1">IF(A44="","",IF(WEEKDAY(A44,1)=1,1,IF(COUNTIF(祝日管理!B:B,A44)=1,"祝",WEEKDAY(A44,1))))</f>
        <v>3</v>
      </c>
      <c r="D44" s="292"/>
      <c r="E44" s="292"/>
      <c r="F44" s="292"/>
      <c r="G44" s="292"/>
      <c r="H44" s="292"/>
      <c r="I44" s="293"/>
      <c r="J44" s="298">
        <f t="shared" si="4"/>
        <v>0</v>
      </c>
      <c r="K44" s="294"/>
      <c r="L44" s="285">
        <f t="shared" si="5"/>
        <v>0</v>
      </c>
      <c r="M44" s="296"/>
      <c r="N44" s="297">
        <f t="shared" ca="1" si="6"/>
        <v>0</v>
      </c>
      <c r="O44" s="286"/>
      <c r="P44" s="285">
        <f t="shared" ca="1" si="7"/>
        <v>0</v>
      </c>
      <c r="Q44" s="286"/>
      <c r="R44" s="285">
        <f t="shared" ca="1" si="8"/>
        <v>0</v>
      </c>
      <c r="S44" s="286"/>
      <c r="T44" s="285">
        <f t="shared" ca="1" si="9"/>
        <v>0</v>
      </c>
      <c r="U44" s="286"/>
      <c r="V44" s="285">
        <f t="shared" ca="1" si="10"/>
        <v>0</v>
      </c>
      <c r="W44" s="286"/>
      <c r="X44" s="287"/>
      <c r="Y44" s="288"/>
      <c r="Z44" s="289"/>
      <c r="AA44" s="81"/>
      <c r="AB44" s="93">
        <f t="shared" ca="1" si="2"/>
        <v>7.5</v>
      </c>
    </row>
    <row r="45" spans="1:32" ht="14.15" customHeight="1" x14ac:dyDescent="0.2">
      <c r="A45" s="290">
        <f ca="1">IF(DAY(A44+1)=29,A44+1,"")</f>
        <v>46141</v>
      </c>
      <c r="B45" s="291"/>
      <c r="C45" s="80">
        <f ca="1">IF(A45="","",IF(WEEKDAY(A45,1)=1,1,IF(COUNTIF(祝日管理!B:B,A45)=1,"祝",WEEKDAY(A45,1))))</f>
        <v>4</v>
      </c>
      <c r="D45" s="292"/>
      <c r="E45" s="292"/>
      <c r="F45" s="292"/>
      <c r="G45" s="292"/>
      <c r="H45" s="292"/>
      <c r="I45" s="293"/>
      <c r="J45" s="298">
        <f t="shared" si="4"/>
        <v>0</v>
      </c>
      <c r="K45" s="294"/>
      <c r="L45" s="285">
        <f t="shared" si="5"/>
        <v>0</v>
      </c>
      <c r="M45" s="296"/>
      <c r="N45" s="297">
        <f t="shared" ca="1" si="6"/>
        <v>0</v>
      </c>
      <c r="O45" s="286"/>
      <c r="P45" s="285">
        <f t="shared" ca="1" si="7"/>
        <v>0</v>
      </c>
      <c r="Q45" s="286"/>
      <c r="R45" s="285">
        <f t="shared" ca="1" si="8"/>
        <v>0</v>
      </c>
      <c r="S45" s="286"/>
      <c r="T45" s="285">
        <f t="shared" ca="1" si="9"/>
        <v>0</v>
      </c>
      <c r="U45" s="286"/>
      <c r="V45" s="285">
        <f t="shared" ca="1" si="10"/>
        <v>0</v>
      </c>
      <c r="W45" s="286"/>
      <c r="X45" s="287" t="s">
        <v>187</v>
      </c>
      <c r="Y45" s="288"/>
      <c r="Z45" s="289"/>
      <c r="AA45" s="82"/>
      <c r="AB45" s="93">
        <f t="shared" ca="1" si="2"/>
        <v>0</v>
      </c>
    </row>
    <row r="46" spans="1:32" ht="14.15" customHeight="1" x14ac:dyDescent="0.2">
      <c r="A46" s="290">
        <f ca="1">IF(A45="","",IF(DAY(A45+1)=30,A45+1,""))</f>
        <v>46142</v>
      </c>
      <c r="B46" s="291"/>
      <c r="C46" s="80">
        <f ca="1">IF(A46="","",IF(WEEKDAY(A46,1)=1,1,IF(COUNTIF(祝日管理!B:B,A46)=1,"祝",WEEKDAY(A46,1))))</f>
        <v>5</v>
      </c>
      <c r="D46" s="292"/>
      <c r="E46" s="292"/>
      <c r="F46" s="292"/>
      <c r="G46" s="292"/>
      <c r="H46" s="292"/>
      <c r="I46" s="293"/>
      <c r="J46" s="298">
        <f t="shared" si="4"/>
        <v>0</v>
      </c>
      <c r="K46" s="294"/>
      <c r="L46" s="285">
        <f t="shared" si="5"/>
        <v>0</v>
      </c>
      <c r="M46" s="296"/>
      <c r="N46" s="297">
        <f t="shared" ca="1" si="6"/>
        <v>0</v>
      </c>
      <c r="O46" s="286"/>
      <c r="P46" s="285">
        <f t="shared" ca="1" si="7"/>
        <v>0</v>
      </c>
      <c r="Q46" s="286"/>
      <c r="R46" s="285">
        <f t="shared" ca="1" si="8"/>
        <v>0</v>
      </c>
      <c r="S46" s="286"/>
      <c r="T46" s="285">
        <f t="shared" ca="1" si="9"/>
        <v>0</v>
      </c>
      <c r="U46" s="286"/>
      <c r="V46" s="285">
        <f t="shared" ca="1" si="10"/>
        <v>0</v>
      </c>
      <c r="W46" s="286"/>
      <c r="X46" s="287"/>
      <c r="Y46" s="288"/>
      <c r="Z46" s="289"/>
      <c r="AA46" s="81"/>
      <c r="AB46" s="93">
        <f t="shared" ca="1" si="2"/>
        <v>7.5</v>
      </c>
      <c r="AF46">
        <f>+時間・月額</f>
        <v>250000</v>
      </c>
    </row>
    <row r="47" spans="1:32" ht="14.15" customHeight="1" thickBot="1" x14ac:dyDescent="0.25">
      <c r="A47" s="290" t="str">
        <f ca="1">IF(A46="","",IF(DAY(A46+1)=31,A46+1,""))</f>
        <v/>
      </c>
      <c r="B47" s="291"/>
      <c r="C47" s="80" t="str">
        <f ca="1">IF(A47="","",IF(WEEKDAY(A47,1)=1,1,IF(COUNTIF(祝日管理!B:B,A47)=1,"祝",WEEKDAY(A47,1))))</f>
        <v/>
      </c>
      <c r="D47" s="292"/>
      <c r="E47" s="292"/>
      <c r="F47" s="292"/>
      <c r="G47" s="292"/>
      <c r="H47" s="292"/>
      <c r="I47" s="293"/>
      <c r="J47" s="294">
        <f t="shared" si="4"/>
        <v>0</v>
      </c>
      <c r="K47" s="295"/>
      <c r="L47" s="285">
        <f t="shared" si="5"/>
        <v>0</v>
      </c>
      <c r="M47" s="296"/>
      <c r="N47" s="283" t="str">
        <f t="shared" ca="1" si="6"/>
        <v/>
      </c>
      <c r="O47" s="284"/>
      <c r="P47" s="285" t="str">
        <f t="shared" ca="1" si="7"/>
        <v/>
      </c>
      <c r="Q47" s="286"/>
      <c r="R47" s="285">
        <f t="shared" ca="1" si="8"/>
        <v>0</v>
      </c>
      <c r="S47" s="286"/>
      <c r="T47" s="285">
        <f t="shared" ca="1" si="9"/>
        <v>0</v>
      </c>
      <c r="U47" s="286"/>
      <c r="V47" s="285">
        <f t="shared" ca="1" si="10"/>
        <v>0</v>
      </c>
      <c r="W47" s="286"/>
      <c r="X47" s="287"/>
      <c r="Y47" s="288"/>
      <c r="Z47" s="289"/>
      <c r="AA47" s="81"/>
      <c r="AB47" s="93">
        <f ca="1">IF(ISERROR((X47="")*(7.5-N47)),0,(X47="")*(7.5-N47))</f>
        <v>0</v>
      </c>
    </row>
    <row r="48" spans="1:32" ht="14.15" customHeight="1" thickBot="1" x14ac:dyDescent="0.25">
      <c r="A48" s="274" t="s">
        <v>56</v>
      </c>
      <c r="B48" s="275"/>
      <c r="C48" s="35"/>
      <c r="D48" s="276"/>
      <c r="E48" s="277"/>
      <c r="F48" s="276"/>
      <c r="G48" s="277"/>
      <c r="H48" s="276"/>
      <c r="I48" s="278"/>
      <c r="J48" s="279"/>
      <c r="K48" s="280"/>
      <c r="L48" s="281" t="s">
        <v>198</v>
      </c>
      <c r="M48" s="282"/>
      <c r="N48" s="265"/>
      <c r="O48" s="266"/>
      <c r="P48" s="267" t="s">
        <v>200</v>
      </c>
      <c r="Q48" s="268"/>
      <c r="R48" s="265"/>
      <c r="S48" s="266"/>
      <c r="T48" s="269"/>
      <c r="U48" s="270"/>
      <c r="V48" s="269"/>
      <c r="W48" s="270"/>
      <c r="X48" s="271"/>
      <c r="Y48" s="272"/>
      <c r="Z48" s="273"/>
      <c r="AA48" s="66"/>
      <c r="AB48" t="s">
        <v>191</v>
      </c>
    </row>
    <row r="49" spans="1:34" ht="14.15" customHeight="1" x14ac:dyDescent="0.2">
      <c r="A49" s="255" t="s">
        <v>196</v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8">
        <f>SUM(L17:M47)+N48</f>
        <v>0</v>
      </c>
      <c r="M49" s="259"/>
      <c r="N49" s="260">
        <f ca="1">ROUNDDOWN((SUM(N17:O48)+0.01)*4,0)/4</f>
        <v>0</v>
      </c>
      <c r="O49" s="261"/>
      <c r="P49" s="262">
        <f ca="1">ROUNDDOWN((SUM(P17:Q47)+0.01)*4,0)/4</f>
        <v>0</v>
      </c>
      <c r="Q49" s="263"/>
      <c r="R49" s="242">
        <f ca="1">ROUNDDOWN((SUM(R17:S47)+0.01)*4,0)/4</f>
        <v>0</v>
      </c>
      <c r="S49" s="264"/>
      <c r="T49" s="242">
        <f ca="1">ROUNDDOWN((SUM(T17:U47)+0.01)*4,0)/4</f>
        <v>0</v>
      </c>
      <c r="U49" s="243"/>
      <c r="V49" s="242">
        <f ca="1">ROUNDDOWN((SUM(V17:W47)+0.01)*4,0)/4</f>
        <v>0</v>
      </c>
      <c r="W49" s="243"/>
      <c r="X49" s="244">
        <f ca="1">SUM(通常時間計:休日深夜時間計)</f>
        <v>0</v>
      </c>
      <c r="Y49" s="245"/>
      <c r="Z49" s="245"/>
      <c r="AA49" s="64" t="s">
        <v>142</v>
      </c>
    </row>
    <row r="50" spans="1:34" ht="14.15" customHeight="1" thickBot="1" x14ac:dyDescent="0.25">
      <c r="A50" s="246" t="s">
        <v>106</v>
      </c>
      <c r="B50" s="246"/>
      <c r="C50" s="246"/>
      <c r="D50" s="246"/>
      <c r="E50" s="246"/>
      <c r="F50" s="246"/>
      <c r="G50" s="246"/>
      <c r="H50" s="246"/>
      <c r="I50" s="246"/>
      <c r="J50" s="246"/>
      <c r="K50" s="246"/>
      <c r="L50" s="247">
        <f ca="1">SUM(N50:W50)</f>
        <v>0</v>
      </c>
      <c r="M50" s="248"/>
      <c r="N50" s="249">
        <f ca="1">通常時間計</f>
        <v>0</v>
      </c>
      <c r="O50" s="250"/>
      <c r="P50" s="249">
        <f ca="1">IF(給与体系="140-160時間制",超過勤務時間計,MAX(0,超過勤務時間計+深夜残業時間計-60)*0.25+超過勤務時間計*1.25)</f>
        <v>0</v>
      </c>
      <c r="Q50" s="250"/>
      <c r="R50" s="251">
        <f ca="1">IF(給与体系="140-160時間制",深夜残業時間計,深夜残業時間計*1.5)</f>
        <v>0</v>
      </c>
      <c r="S50" s="252"/>
      <c r="T50" s="251">
        <f ca="1">IF(給与体系="140-160時間制",休日出勤時間計,休日出勤時間計*1.35)</f>
        <v>0</v>
      </c>
      <c r="U50" s="252"/>
      <c r="V50" s="251">
        <f ca="1">IF(給与体系="140-160時間制",休日深夜時間計,休日深夜時間計*1.6)</f>
        <v>0</v>
      </c>
      <c r="W50" s="252"/>
      <c r="X50" s="253">
        <f ca="1">SUM(N50:W50)</f>
        <v>0</v>
      </c>
      <c r="Y50" s="254"/>
      <c r="Z50" s="254"/>
      <c r="AA50" s="88">
        <f>テーブル!O9</f>
        <v>45748</v>
      </c>
      <c r="AB50" s="98">
        <f ca="1">+IFERROR(((MAX(0,超過勤務時間計+深夜残業時間計-60)*0.25+(超過勤務時間計+深夜残業時間計)*1.25))/(超過勤務時間計+深夜残業時間計),0)</f>
        <v>0</v>
      </c>
      <c r="AC50" s="2" t="s">
        <v>158</v>
      </c>
      <c r="AD50" s="2"/>
      <c r="AE50" s="231"/>
      <c r="AF50" s="231"/>
      <c r="AG50" s="60"/>
      <c r="AH50" s="61"/>
    </row>
    <row r="51" spans="1:34" ht="14.15" customHeight="1" thickTop="1" thickBot="1" x14ac:dyDescent="0.25">
      <c r="A51" s="232" t="s">
        <v>38</v>
      </c>
      <c r="B51" s="233"/>
      <c r="C51" s="234">
        <f>COUNTA(D17:D47)-W51-W52</f>
        <v>0</v>
      </c>
      <c r="D51" s="235"/>
      <c r="E51" s="236" t="s">
        <v>32</v>
      </c>
      <c r="F51" s="233"/>
      <c r="G51" s="237">
        <f>+COUNTIF($X17:$Z47,E51)</f>
        <v>0</v>
      </c>
      <c r="H51" s="238"/>
      <c r="I51" s="169" t="s">
        <v>111</v>
      </c>
      <c r="J51" s="170"/>
      <c r="K51" s="167">
        <f>+COUNTIF($X17:$Z47,I51)</f>
        <v>0</v>
      </c>
      <c r="L51" s="168"/>
      <c r="M51" s="169" t="s">
        <v>113</v>
      </c>
      <c r="N51" s="170"/>
      <c r="O51" s="167">
        <f>+COUNTIF($X17:$Z47,M51)</f>
        <v>0</v>
      </c>
      <c r="P51" s="168"/>
      <c r="Q51" s="169" t="s">
        <v>112</v>
      </c>
      <c r="R51" s="170"/>
      <c r="S51" s="167">
        <f>+COUNTIF($X17:$Z47,Q51)</f>
        <v>0</v>
      </c>
      <c r="T51" s="168"/>
      <c r="U51" s="169" t="s">
        <v>123</v>
      </c>
      <c r="V51" s="170"/>
      <c r="W51" s="171">
        <f>+K51+(O51+S51)/2</f>
        <v>0</v>
      </c>
      <c r="X51" s="172"/>
      <c r="Y51" s="208" t="s">
        <v>124</v>
      </c>
      <c r="Z51" s="209"/>
      <c r="AA51" s="63">
        <f>+AA52-W51-AA53</f>
        <v>35</v>
      </c>
      <c r="AB51" t="s">
        <v>174</v>
      </c>
    </row>
    <row r="52" spans="1:34" ht="14.15" customHeight="1" thickTop="1" thickBot="1" x14ac:dyDescent="0.25">
      <c r="A52" s="239" t="s">
        <v>153</v>
      </c>
      <c r="B52" s="239"/>
      <c r="C52" s="239"/>
      <c r="D52" s="239"/>
      <c r="E52" s="239"/>
      <c r="F52" s="240">
        <f>テーブル!O7</f>
        <v>250000</v>
      </c>
      <c r="G52" s="240"/>
      <c r="H52" s="241"/>
      <c r="I52" s="169" t="s">
        <v>126</v>
      </c>
      <c r="J52" s="170"/>
      <c r="K52" s="167">
        <f>+COUNTIF($X17:$Z47,"*全*")-COUNTIF($X17:$Z47,"*欠勤(全*")-COUNTIF($X17:$Z47,"*振休(全*")-COUNTIF($X17:$Z47,"*代休(全*")-K51</f>
        <v>0</v>
      </c>
      <c r="L52" s="168"/>
      <c r="M52" s="169" t="s">
        <v>135</v>
      </c>
      <c r="N52" s="170"/>
      <c r="O52" s="167">
        <f>+COUNTIF($X17:$Z47,"*AM*")-COUNTIF($X17:$Z47,"*欠勤(A*")-COUNTIF($X17:$Z47,"*代休(A*")-O51</f>
        <v>0</v>
      </c>
      <c r="P52" s="168"/>
      <c r="Q52" s="169" t="s">
        <v>136</v>
      </c>
      <c r="R52" s="170"/>
      <c r="S52" s="167">
        <f>+COUNTIF($X17:$Z47,"*PM*")-COUNTIF($X17:$Z47,"*代休(P*")-S51</f>
        <v>0</v>
      </c>
      <c r="T52" s="168"/>
      <c r="U52" s="169" t="s">
        <v>127</v>
      </c>
      <c r="V52" s="170"/>
      <c r="W52" s="171">
        <f>+K52+(O52+S52)/2</f>
        <v>0</v>
      </c>
      <c r="X52" s="172"/>
      <c r="Y52" s="208" t="s">
        <v>125</v>
      </c>
      <c r="Z52" s="209"/>
      <c r="AA52" s="62">
        <f>テーブル!O10</f>
        <v>35</v>
      </c>
      <c r="AB52" t="s">
        <v>173</v>
      </c>
    </row>
    <row r="53" spans="1:34" ht="14.15" customHeight="1" thickTop="1" thickBot="1" x14ac:dyDescent="0.25">
      <c r="A53" s="224"/>
      <c r="B53" s="225"/>
      <c r="C53" s="226"/>
      <c r="D53" s="227" t="s">
        <v>21</v>
      </c>
      <c r="E53" s="228"/>
      <c r="F53" s="33"/>
      <c r="G53" s="228" t="s">
        <v>22</v>
      </c>
      <c r="H53" s="228"/>
      <c r="I53" s="34"/>
      <c r="J53" s="229"/>
      <c r="K53" s="225"/>
      <c r="L53" s="230"/>
      <c r="M53" s="27"/>
      <c r="N53" s="28"/>
      <c r="O53" s="32"/>
      <c r="P53" s="4"/>
      <c r="S53" s="4"/>
      <c r="Y53" s="208" t="s">
        <v>166</v>
      </c>
      <c r="Z53" s="209"/>
      <c r="AA53" s="63">
        <v>0</v>
      </c>
      <c r="AB53" t="s">
        <v>167</v>
      </c>
    </row>
    <row r="54" spans="1:34" ht="14.15" customHeight="1" thickTop="1" thickBot="1" x14ac:dyDescent="0.25">
      <c r="A54" s="217" t="s">
        <v>256</v>
      </c>
      <c r="B54" s="218"/>
      <c r="C54" s="218"/>
      <c r="D54" s="219" t="e">
        <f ca="1">ROUNDUP(IF(給与種別=0,時間・月額+手当１金額,IF(給与体系="時給制",(時間・月額+手当１金額/150),(時間・月額+手当１金額)/SUMIF(テーブル_勤務時間,給与体系,テーブル!C:C))),0)</f>
        <v>#DIV/0!</v>
      </c>
      <c r="E54" s="220"/>
      <c r="F54" s="99" t="s">
        <v>39</v>
      </c>
      <c r="G54" s="195">
        <f ca="1">+IF(給与種別=0,1,IF(給与体系&lt;&gt;"時給制",SUMIF(テーブル_勤務時間,給与体系,テーブル!K:K),通常時間計))</f>
        <v>0</v>
      </c>
      <c r="H54" s="195"/>
      <c r="I54" s="100" t="str">
        <f ca="1">IF(給与種別=2,"h","m")</f>
        <v>h</v>
      </c>
      <c r="J54" s="221">
        <f ca="1">IF(給与体系="時給制",基本給単価*基本給時間,SUMIF(テーブル!U2:U13,当月,テーブル!V2:V13))</f>
        <v>0</v>
      </c>
      <c r="K54" s="222"/>
      <c r="L54" s="223"/>
      <c r="M54" s="4"/>
      <c r="N54" s="202" t="s">
        <v>188</v>
      </c>
      <c r="O54" s="203"/>
      <c r="P54" s="203"/>
      <c r="Q54" s="204">
        <f>(合計_15分未満切捨て-(K51+K52)*7.5-(O51+O52)*3-(S51+S52)*4.5)</f>
        <v>0</v>
      </c>
      <c r="R54" s="205"/>
      <c r="S54" s="206"/>
      <c r="T54" s="207"/>
      <c r="U54" s="92" t="s">
        <v>197</v>
      </c>
      <c r="Y54" s="208" t="s">
        <v>203</v>
      </c>
      <c r="Z54" s="209"/>
      <c r="AA54" s="63">
        <f>+SUM('5月'!W51:X51)</f>
        <v>0</v>
      </c>
      <c r="AB54" t="s">
        <v>204</v>
      </c>
    </row>
    <row r="55" spans="1:34" ht="14.15" customHeight="1" thickTop="1" thickBot="1" x14ac:dyDescent="0.25">
      <c r="A55" s="192" t="str">
        <f ca="1">+IF(給与体系="時給制","超過勤務","みなし給")</f>
        <v>みなし給</v>
      </c>
      <c r="B55" s="193"/>
      <c r="C55" s="194"/>
      <c r="D55" s="210" t="e">
        <f ca="1">IF(給与体系="140-160時間制",基本給単価/4,IF(時間外係数=0,基本給単価*1.25,ROUNDUP(IF(給与体系="時給制",(時間・月額+手当１金額/150)*時間外係数,(時間・月額+手当１金額)/SUMIF(テーブル_勤務時間,給与体系,テーブル!C:C)*SUMIF(テーブル_勤務時間,給与体系,テーブル!E:E)),0)))</f>
        <v>#DIV/0!</v>
      </c>
      <c r="E55" s="211"/>
      <c r="F55" s="99" t="s">
        <v>39</v>
      </c>
      <c r="G55" s="195">
        <f ca="1">+IF(給与体系="時給制",超過勤務時間計,SUMIF(テーブル_勤務時間,給与体系,テーブル_みなし時間))</f>
        <v>0</v>
      </c>
      <c r="H55" s="195"/>
      <c r="I55" s="100" t="s">
        <v>40</v>
      </c>
      <c r="J55" s="212">
        <f ca="1">IF(みなし給時間="","",IF(給与体系="時給制",みなし給単価*みなし給時間,SUMIF(テーブル!U2:U13,当月,テーブル!W2:W13)))</f>
        <v>0</v>
      </c>
      <c r="K55" s="213"/>
      <c r="L55" s="214"/>
      <c r="M55" s="4"/>
      <c r="N55" s="215" t="s">
        <v>189</v>
      </c>
      <c r="O55" s="216"/>
      <c r="P55" s="216"/>
      <c r="Q55" s="204">
        <f>+N48+R48*7.5</f>
        <v>0</v>
      </c>
      <c r="R55" s="205"/>
      <c r="S55" s="206"/>
      <c r="T55" s="207"/>
      <c r="U55" s="92" t="s">
        <v>201</v>
      </c>
      <c r="AA55" s="87" t="s">
        <v>192</v>
      </c>
    </row>
    <row r="56" spans="1:34" ht="14.15" customHeight="1" thickTop="1" thickBot="1" x14ac:dyDescent="0.25">
      <c r="A56" s="192" t="str">
        <f ca="1">+IF(給与体系="時給制","深夜残業","月額給")</f>
        <v>月額給</v>
      </c>
      <c r="B56" s="193"/>
      <c r="C56" s="194"/>
      <c r="D56" s="200" t="e">
        <f ca="1">IF(給与体系="時給制",ROUND(基本給単価*(1.5+MAX(0,時間外係数-1.25)),0),IF(給与体系="月給制","",VLOOKUP(給与体系,テーブル!B:F,5,0)))</f>
        <v>#N/A</v>
      </c>
      <c r="E56" s="201"/>
      <c r="F56" s="99" t="str">
        <f ca="1">+IF(給与体系="時給制","＊",IF(給与体系="月給制","","－"))</f>
        <v>－</v>
      </c>
      <c r="G56" s="195" t="e">
        <f ca="1">+IF(給与体系="時給制",深夜残業時間計,IF(給与体系="月給制","月額給",VLOOKUP(給与体系,テーブル!B:G,6,0)))</f>
        <v>#N/A</v>
      </c>
      <c r="H56" s="195"/>
      <c r="I56" s="100" t="str">
        <f ca="1">+IF(給与体系="時給制","h","制")</f>
        <v>制</v>
      </c>
      <c r="J56" s="179">
        <f ca="1">IF(給与体系="時給制",D56*G56,基本給+みなし給)</f>
        <v>0</v>
      </c>
      <c r="K56" s="180"/>
      <c r="L56" s="181"/>
      <c r="M56" s="4"/>
      <c r="N56" s="202" t="s">
        <v>190</v>
      </c>
      <c r="O56" s="203"/>
      <c r="P56" s="203"/>
      <c r="Q56" s="204">
        <f>+Q54-Q55</f>
        <v>0</v>
      </c>
      <c r="R56" s="205"/>
      <c r="S56" s="206"/>
      <c r="T56" s="207"/>
      <c r="U56" s="92" t="s">
        <v>199</v>
      </c>
      <c r="AA56" s="86">
        <f>IF(D62="テレワーク手当",J62/400,IF(D63="テレワーク手当",J63/400,IF(D64="テレワーク手当",J64/400,0)))</f>
        <v>0</v>
      </c>
      <c r="AB56" t="s">
        <v>193</v>
      </c>
    </row>
    <row r="57" spans="1:34" ht="14.15" customHeight="1" thickTop="1" thickBot="1" x14ac:dyDescent="0.25">
      <c r="A57" s="192" t="str">
        <f ca="1">+IF(給与体系="時給制","休日出勤","控除精算")</f>
        <v>控除精算</v>
      </c>
      <c r="B57" s="193"/>
      <c r="C57" s="194"/>
      <c r="D57" s="176" t="e">
        <f ca="1">ROUNDUP(IF(給与種別=0,0,IF(給与体系="時給制",(基本給単価)*1.35,(時間・月額)/SUMIF(テーブル_勤務時間,給与体系,テーブル!C:C))),0)</f>
        <v>#DIV/0!</v>
      </c>
      <c r="E57" s="177"/>
      <c r="F57" s="99" t="s">
        <v>39</v>
      </c>
      <c r="G57" s="195">
        <f ca="1">IF(給与体系="時給制",休日出勤時間計,IF(給与体系="月給制",-1*欠勤時間計,IF(給与体系="140-160時間制",MIN(0,時間合計-140),MIN(0,補正勤務時間合計-SUMIF(テーブル_勤務時間,給与体系,テーブル!H:H)))))</f>
        <v>0</v>
      </c>
      <c r="H57" s="195"/>
      <c r="I57" s="100" t="s">
        <v>40</v>
      </c>
      <c r="J57" s="179" t="e">
        <f ca="1">MAX(控除単価*控除時間,時間・月額*-1)</f>
        <v>#DIV/0!</v>
      </c>
      <c r="K57" s="180"/>
      <c r="L57" s="181"/>
      <c r="M57" s="4"/>
      <c r="N57" s="196" t="s">
        <v>134</v>
      </c>
      <c r="O57" s="197"/>
      <c r="P57" s="198">
        <f ca="1">_xlfn.XLOOKUP(当月,テーブル!U2:U13,テーブル!X2:X13,テーブル!$O$6,FALSE)</f>
        <v>0</v>
      </c>
      <c r="Q57" s="198"/>
      <c r="R57" s="198"/>
      <c r="S57" s="198"/>
      <c r="T57" s="198"/>
      <c r="U57" s="198"/>
      <c r="V57" s="198"/>
      <c r="W57" s="199"/>
    </row>
    <row r="58" spans="1:34" ht="14.15" customHeight="1" x14ac:dyDescent="0.2">
      <c r="A58" s="173" t="str">
        <f ca="1">+IF(給与体系="時給制","休日深夜","超過精算")</f>
        <v>超過精算</v>
      </c>
      <c r="B58" s="174"/>
      <c r="C58" s="175"/>
      <c r="D58" s="176" t="e">
        <f ca="1">ROUNDUP(IF(給与種別=0,((時間・月額+手当１金額)/150),IF(給与体系="時給制",(基本給単価)*1.6,(時間・月額)/SUMIF(テーブル_勤務時間,給与体系,テーブル!C:C))),0)</f>
        <v>#DIV/0!</v>
      </c>
      <c r="E58" s="177"/>
      <c r="F58" s="101" t="s">
        <v>39</v>
      </c>
      <c r="G58" s="178">
        <f ca="1">IF(給与体系="時給制",休日深夜時間計,IF(給与体系="140-160時間制",MAX(0,時間合計-160)*1.25+MAX(0,深夜残業時間計-80)*0.25,(IF(給与体系="管理監督者",(深夜残業時間計+休日深夜時間計)*0.25,MAX(0,補正勤務時間合計-SUMIF(テーブル_勤務時間,給与体系,テーブル!I:I))))))</f>
        <v>0</v>
      </c>
      <c r="H58" s="178"/>
      <c r="I58" s="102" t="s">
        <v>40</v>
      </c>
      <c r="J58" s="179" t="e">
        <f ca="1">超過単価*超過時間</f>
        <v>#DIV/0!</v>
      </c>
      <c r="K58" s="180"/>
      <c r="L58" s="181"/>
      <c r="M58" s="4"/>
      <c r="N58" s="182" t="s">
        <v>157</v>
      </c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94" t="s">
        <v>211</v>
      </c>
    </row>
    <row r="59" spans="1:34" ht="14.15" customHeight="1" thickBot="1" x14ac:dyDescent="0.25">
      <c r="A59" s="183" t="s">
        <v>227</v>
      </c>
      <c r="B59" s="184"/>
      <c r="C59" s="185"/>
      <c r="D59" s="186"/>
      <c r="E59" s="187"/>
      <c r="F59" s="83"/>
      <c r="G59" s="188" t="s">
        <v>255</v>
      </c>
      <c r="H59" s="188"/>
      <c r="I59" s="84"/>
      <c r="J59" s="189" t="str">
        <f>+IF(ISERROR(過不足調整単価*過不足調整時間),"",過不足調整単価*過不足調整時間)</f>
        <v/>
      </c>
      <c r="K59" s="190"/>
      <c r="L59" s="191"/>
      <c r="M59" s="4"/>
      <c r="N59" s="154"/>
      <c r="O59" s="155"/>
      <c r="P59" s="155"/>
      <c r="Q59" s="155"/>
      <c r="R59" s="155"/>
      <c r="S59" s="155"/>
      <c r="T59" s="155"/>
      <c r="U59" s="155"/>
      <c r="V59" s="155"/>
      <c r="W59" s="155"/>
      <c r="X59" s="155"/>
      <c r="Y59" s="155"/>
      <c r="Z59" s="155"/>
      <c r="AA59" s="95">
        <f ca="1">+SUM(AB17:AB47)+G51*7.5+AB59</f>
        <v>157.5</v>
      </c>
    </row>
    <row r="60" spans="1:34" ht="14.15" customHeight="1" thickTop="1" x14ac:dyDescent="0.2">
      <c r="A60" s="145"/>
      <c r="B60" s="146"/>
      <c r="C60" s="147"/>
      <c r="D60" s="148" t="s">
        <v>148</v>
      </c>
      <c r="E60" s="149"/>
      <c r="F60" s="149"/>
      <c r="G60" s="149"/>
      <c r="H60" s="149"/>
      <c r="I60" s="150"/>
      <c r="J60" s="151" t="e">
        <f ca="1">IF(給与体系="時給制",SUM(基本給:L59),SUM(J56:L59))</f>
        <v>#DIV/0!</v>
      </c>
      <c r="K60" s="152"/>
      <c r="L60" s="153"/>
      <c r="M60" s="4"/>
      <c r="N60" s="154"/>
      <c r="O60" s="155"/>
      <c r="P60" s="155"/>
      <c r="Q60" s="155"/>
      <c r="R60" s="155"/>
      <c r="S60" s="155"/>
      <c r="T60" s="155"/>
      <c r="U60" s="155"/>
      <c r="V60" s="155"/>
      <c r="W60" s="155"/>
      <c r="X60" s="155"/>
      <c r="Y60" s="155"/>
      <c r="Z60" s="156"/>
      <c r="AB60" t="s">
        <v>229</v>
      </c>
    </row>
    <row r="61" spans="1:34" ht="14.15" customHeight="1" x14ac:dyDescent="0.2">
      <c r="A61" s="157" t="s">
        <v>137</v>
      </c>
      <c r="B61" s="158" t="s">
        <v>182</v>
      </c>
      <c r="C61" s="159"/>
      <c r="D61" s="160"/>
      <c r="E61" s="161"/>
      <c r="F61" s="161"/>
      <c r="G61" s="161"/>
      <c r="H61" s="161"/>
      <c r="I61" s="162"/>
      <c r="J61" s="126"/>
      <c r="K61" s="127"/>
      <c r="L61" s="128"/>
      <c r="M61" s="4"/>
      <c r="N61" s="115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7"/>
      <c r="AB61" t="s">
        <v>232</v>
      </c>
      <c r="AC61" t="s">
        <v>235</v>
      </c>
    </row>
    <row r="62" spans="1:34" ht="14.15" customHeight="1" x14ac:dyDescent="0.2">
      <c r="A62" s="157"/>
      <c r="B62" s="163" t="s">
        <v>183</v>
      </c>
      <c r="C62" s="120"/>
      <c r="D62" s="133"/>
      <c r="E62" s="134"/>
      <c r="F62" s="134"/>
      <c r="G62" s="134"/>
      <c r="H62" s="134"/>
      <c r="I62" s="135"/>
      <c r="J62" s="126"/>
      <c r="K62" s="127"/>
      <c r="L62" s="128"/>
      <c r="M62" s="4"/>
      <c r="N62" s="115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7"/>
      <c r="AB62" t="s">
        <v>239</v>
      </c>
      <c r="AC62" t="s">
        <v>236</v>
      </c>
    </row>
    <row r="63" spans="1:34" ht="14.15" customHeight="1" x14ac:dyDescent="0.2">
      <c r="A63" s="157"/>
      <c r="B63" s="164"/>
      <c r="C63" s="165"/>
      <c r="D63" s="133"/>
      <c r="E63" s="134"/>
      <c r="F63" s="134"/>
      <c r="G63" s="134"/>
      <c r="H63" s="134"/>
      <c r="I63" s="135"/>
      <c r="J63" s="126"/>
      <c r="K63" s="127"/>
      <c r="L63" s="128"/>
      <c r="M63" s="4"/>
      <c r="N63" s="115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7"/>
      <c r="AB63" t="s">
        <v>245</v>
      </c>
      <c r="AC63" t="s">
        <v>249</v>
      </c>
    </row>
    <row r="64" spans="1:34" ht="14.15" customHeight="1" x14ac:dyDescent="0.2">
      <c r="A64" s="157"/>
      <c r="B64" s="166"/>
      <c r="C64" s="123"/>
      <c r="D64" s="133"/>
      <c r="E64" s="134"/>
      <c r="F64" s="134"/>
      <c r="G64" s="134"/>
      <c r="H64" s="134"/>
      <c r="I64" s="135"/>
      <c r="J64" s="126"/>
      <c r="K64" s="127"/>
      <c r="L64" s="128"/>
      <c r="M64" s="4"/>
      <c r="N64" s="115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7"/>
      <c r="AB64" t="s">
        <v>247</v>
      </c>
      <c r="AC64" t="s">
        <v>237</v>
      </c>
    </row>
    <row r="65" spans="1:29" ht="14.15" customHeight="1" x14ac:dyDescent="0.2">
      <c r="A65" s="136" t="s">
        <v>28</v>
      </c>
      <c r="B65" s="137"/>
      <c r="C65" s="137"/>
      <c r="D65" s="137"/>
      <c r="E65" s="137"/>
      <c r="F65" s="137"/>
      <c r="G65" s="137"/>
      <c r="H65" s="137"/>
      <c r="I65" s="138"/>
      <c r="J65" s="139" t="e">
        <f ca="1">J60+SUM(J62:L64)</f>
        <v>#DIV/0!</v>
      </c>
      <c r="K65" s="140"/>
      <c r="L65" s="141"/>
      <c r="M65" s="4"/>
      <c r="N65" s="142" t="str">
        <f>+IF('4月'!J66=0," ※前月の通勤費がゼロのため通勤交通費が表示されない","")</f>
        <v xml:space="preserve"> ※前月の通勤費がゼロのため通勤交通費が表示されない</v>
      </c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4"/>
    </row>
    <row r="66" spans="1:29" ht="14.15" customHeight="1" x14ac:dyDescent="0.2">
      <c r="A66" s="132" t="s">
        <v>169</v>
      </c>
      <c r="B66" s="124"/>
      <c r="C66" s="124"/>
      <c r="D66" s="124"/>
      <c r="E66" s="124"/>
      <c r="F66" s="124"/>
      <c r="G66" s="124"/>
      <c r="H66" s="124"/>
      <c r="I66" s="125"/>
      <c r="J66" s="126">
        <v>0</v>
      </c>
      <c r="K66" s="127"/>
      <c r="L66" s="128"/>
      <c r="M66" s="4"/>
      <c r="N66" s="115" t="str">
        <f>+IF(C51=0," ※出勤がないため通勤交通費の支給は無し","")</f>
        <v xml:space="preserve"> ※出勤がないため通勤交通費の支給は無し</v>
      </c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7"/>
      <c r="AB66" t="s">
        <v>246</v>
      </c>
      <c r="AC66" t="s">
        <v>253</v>
      </c>
    </row>
    <row r="67" spans="1:29" ht="14.15" customHeight="1" x14ac:dyDescent="0.2">
      <c r="A67" s="132" t="s">
        <v>141</v>
      </c>
      <c r="B67" s="124"/>
      <c r="C67" s="125"/>
      <c r="D67" s="124" t="s">
        <v>138</v>
      </c>
      <c r="E67" s="124"/>
      <c r="F67" s="124"/>
      <c r="G67" s="124"/>
      <c r="H67" s="124"/>
      <c r="I67" s="125"/>
      <c r="J67" s="126">
        <v>0</v>
      </c>
      <c r="K67" s="127"/>
      <c r="L67" s="128"/>
      <c r="N67" s="115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7"/>
      <c r="AB67" t="s">
        <v>248</v>
      </c>
      <c r="AC67" t="s">
        <v>254</v>
      </c>
    </row>
    <row r="68" spans="1:29" ht="14.15" customHeight="1" x14ac:dyDescent="0.2">
      <c r="A68" s="118" t="s">
        <v>140</v>
      </c>
      <c r="B68" s="119"/>
      <c r="C68" s="120"/>
      <c r="D68" s="124" t="s">
        <v>138</v>
      </c>
      <c r="E68" s="124"/>
      <c r="F68" s="124"/>
      <c r="G68" s="124"/>
      <c r="H68" s="124"/>
      <c r="I68" s="125"/>
      <c r="J68" s="126">
        <v>0</v>
      </c>
      <c r="K68" s="127"/>
      <c r="L68" s="128"/>
      <c r="N68" s="115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7"/>
    </row>
    <row r="69" spans="1:29" ht="13.5" customHeight="1" x14ac:dyDescent="0.2">
      <c r="A69" s="121"/>
      <c r="B69" s="122"/>
      <c r="C69" s="123"/>
      <c r="D69" s="124" t="s">
        <v>139</v>
      </c>
      <c r="E69" s="124"/>
      <c r="F69" s="124"/>
      <c r="G69" s="124"/>
      <c r="H69" s="124"/>
      <c r="I69" s="125"/>
      <c r="J69" s="129"/>
      <c r="K69" s="130"/>
      <c r="L69" s="131"/>
      <c r="N69" s="115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7"/>
      <c r="AB69" t="s">
        <v>240</v>
      </c>
      <c r="AC69" t="s">
        <v>233</v>
      </c>
    </row>
    <row r="70" spans="1:29" ht="14.15" customHeight="1" thickBot="1" x14ac:dyDescent="0.25">
      <c r="A70" s="109" t="s">
        <v>31</v>
      </c>
      <c r="B70" s="110"/>
      <c r="C70" s="110"/>
      <c r="D70" s="110"/>
      <c r="E70" s="110"/>
      <c r="F70" s="110"/>
      <c r="G70" s="110"/>
      <c r="H70" s="110"/>
      <c r="I70" s="111"/>
      <c r="J70" s="112" t="e">
        <f ca="1">SUM(J65:L69)</f>
        <v>#DIV/0!</v>
      </c>
      <c r="K70" s="113"/>
      <c r="L70" s="114"/>
      <c r="N70" s="115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7"/>
      <c r="AB70" t="s">
        <v>242</v>
      </c>
      <c r="AC70" t="s">
        <v>241</v>
      </c>
    </row>
    <row r="71" spans="1:29" ht="13.5" thickTop="1" x14ac:dyDescent="0.2">
      <c r="T71">
        <v>0</v>
      </c>
      <c r="AB71" t="s">
        <v>230</v>
      </c>
      <c r="AC71" t="s">
        <v>231</v>
      </c>
    </row>
    <row r="73" spans="1:29" x14ac:dyDescent="0.2">
      <c r="AB73" t="s">
        <v>228</v>
      </c>
    </row>
    <row r="74" spans="1:29" x14ac:dyDescent="0.2">
      <c r="AB74" t="s">
        <v>232</v>
      </c>
      <c r="AC74" t="s">
        <v>234</v>
      </c>
    </row>
    <row r="75" spans="1:29" x14ac:dyDescent="0.2">
      <c r="AB75" t="s">
        <v>239</v>
      </c>
      <c r="AC75" t="s">
        <v>238</v>
      </c>
    </row>
    <row r="76" spans="1:29" x14ac:dyDescent="0.2">
      <c r="AB76" t="s">
        <v>245</v>
      </c>
      <c r="AC76" t="s">
        <v>250</v>
      </c>
    </row>
    <row r="79" spans="1:29" x14ac:dyDescent="0.2">
      <c r="AB79" t="s">
        <v>246</v>
      </c>
      <c r="AC79" t="s">
        <v>251</v>
      </c>
    </row>
    <row r="80" spans="1:29" x14ac:dyDescent="0.2">
      <c r="AB80" t="s">
        <v>248</v>
      </c>
      <c r="AC80" t="s">
        <v>252</v>
      </c>
    </row>
    <row r="82" spans="28:29" x14ac:dyDescent="0.2">
      <c r="AB82" t="s">
        <v>240</v>
      </c>
      <c r="AC82" t="s">
        <v>243</v>
      </c>
    </row>
    <row r="83" spans="28:29" x14ac:dyDescent="0.2">
      <c r="AB83" t="s">
        <v>242</v>
      </c>
      <c r="AC83" t="s">
        <v>244</v>
      </c>
    </row>
  </sheetData>
  <dataConsolidate/>
  <mergeCells count="534">
    <mergeCell ref="A70:I70"/>
    <mergeCell ref="J70:L70"/>
    <mergeCell ref="N70:Z70"/>
    <mergeCell ref="A68:C69"/>
    <mergeCell ref="D68:I68"/>
    <mergeCell ref="J68:L68"/>
    <mergeCell ref="N68:Z68"/>
    <mergeCell ref="D69:I69"/>
    <mergeCell ref="J69:L69"/>
    <mergeCell ref="N69:Z69"/>
    <mergeCell ref="A66:I66"/>
    <mergeCell ref="J66:L66"/>
    <mergeCell ref="N66:Z66"/>
    <mergeCell ref="A67:C67"/>
    <mergeCell ref="D67:I67"/>
    <mergeCell ref="J67:L67"/>
    <mergeCell ref="N67:Z67"/>
    <mergeCell ref="D64:I64"/>
    <mergeCell ref="J64:L64"/>
    <mergeCell ref="N64:Z64"/>
    <mergeCell ref="A65:I65"/>
    <mergeCell ref="J65:L65"/>
    <mergeCell ref="N65:Z65"/>
    <mergeCell ref="D62:I62"/>
    <mergeCell ref="J62:L62"/>
    <mergeCell ref="N62:Z62"/>
    <mergeCell ref="D63:I63"/>
    <mergeCell ref="J63:L63"/>
    <mergeCell ref="N63:Z63"/>
    <mergeCell ref="A60:C60"/>
    <mergeCell ref="D60:I60"/>
    <mergeCell ref="J60:L60"/>
    <mergeCell ref="N60:Z60"/>
    <mergeCell ref="A61:A64"/>
    <mergeCell ref="B61:C61"/>
    <mergeCell ref="D61:I61"/>
    <mergeCell ref="J61:L61"/>
    <mergeCell ref="N61:Z61"/>
    <mergeCell ref="B62:C64"/>
    <mergeCell ref="N58:Z58"/>
    <mergeCell ref="A59:C59"/>
    <mergeCell ref="D59:E59"/>
    <mergeCell ref="G59:H59"/>
    <mergeCell ref="J59:L59"/>
    <mergeCell ref="N59:Z59"/>
    <mergeCell ref="A57:C57"/>
    <mergeCell ref="D57:E57"/>
    <mergeCell ref="G57:H57"/>
    <mergeCell ref="J57:L57"/>
    <mergeCell ref="A58:C58"/>
    <mergeCell ref="D58:E58"/>
    <mergeCell ref="G58:H58"/>
    <mergeCell ref="J58:L58"/>
    <mergeCell ref="A56:C56"/>
    <mergeCell ref="D56:E56"/>
    <mergeCell ref="G56:H56"/>
    <mergeCell ref="J56:L56"/>
    <mergeCell ref="N56:P56"/>
    <mergeCell ref="Q56:T56"/>
    <mergeCell ref="Y54:Z54"/>
    <mergeCell ref="A55:C55"/>
    <mergeCell ref="D55:E55"/>
    <mergeCell ref="G55:H55"/>
    <mergeCell ref="J55:L55"/>
    <mergeCell ref="N55:P55"/>
    <mergeCell ref="Q55:T55"/>
    <mergeCell ref="A54:C54"/>
    <mergeCell ref="D54:E54"/>
    <mergeCell ref="G54:H54"/>
    <mergeCell ref="J54:L54"/>
    <mergeCell ref="N54:P54"/>
    <mergeCell ref="Q54:T54"/>
    <mergeCell ref="Q52:R52"/>
    <mergeCell ref="S52:T52"/>
    <mergeCell ref="U52:V52"/>
    <mergeCell ref="W52:X52"/>
    <mergeCell ref="Y52:Z52"/>
    <mergeCell ref="A53:C53"/>
    <mergeCell ref="D53:E53"/>
    <mergeCell ref="G53:H53"/>
    <mergeCell ref="J53:L53"/>
    <mergeCell ref="Y53:Z53"/>
    <mergeCell ref="A52:E52"/>
    <mergeCell ref="F52:H52"/>
    <mergeCell ref="I52:J52"/>
    <mergeCell ref="K52:L52"/>
    <mergeCell ref="M52:N52"/>
    <mergeCell ref="O52:P52"/>
    <mergeCell ref="Q51:R51"/>
    <mergeCell ref="S51:T51"/>
    <mergeCell ref="U51:V51"/>
    <mergeCell ref="W51:X51"/>
    <mergeCell ref="Y51:Z51"/>
    <mergeCell ref="V50:W50"/>
    <mergeCell ref="X50:Z50"/>
    <mergeCell ref="AE50:AF50"/>
    <mergeCell ref="P50:Q50"/>
    <mergeCell ref="R50:S50"/>
    <mergeCell ref="T50:U50"/>
    <mergeCell ref="A51:B51"/>
    <mergeCell ref="C51:D51"/>
    <mergeCell ref="E51:F51"/>
    <mergeCell ref="G51:H51"/>
    <mergeCell ref="I51:J51"/>
    <mergeCell ref="K51:L51"/>
    <mergeCell ref="M51:N51"/>
    <mergeCell ref="A50:K50"/>
    <mergeCell ref="L50:M50"/>
    <mergeCell ref="N50:O50"/>
    <mergeCell ref="O51:P51"/>
    <mergeCell ref="A48:B48"/>
    <mergeCell ref="D48:E48"/>
    <mergeCell ref="F48:G48"/>
    <mergeCell ref="H48:I48"/>
    <mergeCell ref="J48:K48"/>
    <mergeCell ref="X48:Z48"/>
    <mergeCell ref="A49:K49"/>
    <mergeCell ref="L49:M49"/>
    <mergeCell ref="N49:O49"/>
    <mergeCell ref="P49:Q49"/>
    <mergeCell ref="R49:S49"/>
    <mergeCell ref="T49:U49"/>
    <mergeCell ref="V49:W49"/>
    <mergeCell ref="X49:Z49"/>
    <mergeCell ref="L48:M48"/>
    <mergeCell ref="N48:O48"/>
    <mergeCell ref="P48:Q48"/>
    <mergeCell ref="R48:S48"/>
    <mergeCell ref="T48:U48"/>
    <mergeCell ref="V48:W48"/>
    <mergeCell ref="T46:U46"/>
    <mergeCell ref="V46:W46"/>
    <mergeCell ref="X46:Z46"/>
    <mergeCell ref="A47:B47"/>
    <mergeCell ref="D47:E47"/>
    <mergeCell ref="F47:G47"/>
    <mergeCell ref="H47:I47"/>
    <mergeCell ref="J47:K47"/>
    <mergeCell ref="L47:M47"/>
    <mergeCell ref="N47:O47"/>
    <mergeCell ref="P47:Q47"/>
    <mergeCell ref="R47:S47"/>
    <mergeCell ref="T47:U47"/>
    <mergeCell ref="V47:W47"/>
    <mergeCell ref="X47:Z47"/>
    <mergeCell ref="A46:B46"/>
    <mergeCell ref="D46:E46"/>
    <mergeCell ref="F46:G46"/>
    <mergeCell ref="H46:I46"/>
    <mergeCell ref="J46:K46"/>
    <mergeCell ref="L46:M46"/>
    <mergeCell ref="N46:O46"/>
    <mergeCell ref="P46:Q46"/>
    <mergeCell ref="R46:S46"/>
    <mergeCell ref="T44:U44"/>
    <mergeCell ref="V44:W44"/>
    <mergeCell ref="X44:Z44"/>
    <mergeCell ref="A45:B45"/>
    <mergeCell ref="D45:E45"/>
    <mergeCell ref="F45:G45"/>
    <mergeCell ref="H45:I45"/>
    <mergeCell ref="J45:K45"/>
    <mergeCell ref="X45:Z45"/>
    <mergeCell ref="L45:M45"/>
    <mergeCell ref="N45:O45"/>
    <mergeCell ref="P45:Q45"/>
    <mergeCell ref="R45:S45"/>
    <mergeCell ref="T45:U45"/>
    <mergeCell ref="V45:W45"/>
    <mergeCell ref="A44:B44"/>
    <mergeCell ref="D44:E44"/>
    <mergeCell ref="F44:G44"/>
    <mergeCell ref="H44:I44"/>
    <mergeCell ref="J44:K44"/>
    <mergeCell ref="L44:M44"/>
    <mergeCell ref="N44:O44"/>
    <mergeCell ref="P44:Q44"/>
    <mergeCell ref="R44:S44"/>
    <mergeCell ref="A42:B42"/>
    <mergeCell ref="D42:E42"/>
    <mergeCell ref="F42:G42"/>
    <mergeCell ref="H42:I42"/>
    <mergeCell ref="J42:K42"/>
    <mergeCell ref="X42:Z42"/>
    <mergeCell ref="A43:B43"/>
    <mergeCell ref="D43:E43"/>
    <mergeCell ref="F43:G43"/>
    <mergeCell ref="H43:I43"/>
    <mergeCell ref="J43:K43"/>
    <mergeCell ref="L43:M43"/>
    <mergeCell ref="N43:O43"/>
    <mergeCell ref="P43:Q43"/>
    <mergeCell ref="R43:S43"/>
    <mergeCell ref="L42:M42"/>
    <mergeCell ref="N42:O42"/>
    <mergeCell ref="P42:Q42"/>
    <mergeCell ref="R42:S42"/>
    <mergeCell ref="T42:U42"/>
    <mergeCell ref="V42:W42"/>
    <mergeCell ref="T43:U43"/>
    <mergeCell ref="V43:W43"/>
    <mergeCell ref="X43:Z43"/>
    <mergeCell ref="T40:U40"/>
    <mergeCell ref="V40:W40"/>
    <mergeCell ref="X40:Z40"/>
    <mergeCell ref="A41:B41"/>
    <mergeCell ref="D41:E41"/>
    <mergeCell ref="F41:G41"/>
    <mergeCell ref="H41:I41"/>
    <mergeCell ref="J41:K41"/>
    <mergeCell ref="L41:M41"/>
    <mergeCell ref="N41:O41"/>
    <mergeCell ref="P41:Q41"/>
    <mergeCell ref="R41:S41"/>
    <mergeCell ref="T41:U41"/>
    <mergeCell ref="V41:W41"/>
    <mergeCell ref="X41:Z41"/>
    <mergeCell ref="A40:B40"/>
    <mergeCell ref="D40:E40"/>
    <mergeCell ref="F40:G40"/>
    <mergeCell ref="H40:I40"/>
    <mergeCell ref="J40:K40"/>
    <mergeCell ref="L40:M40"/>
    <mergeCell ref="N40:O40"/>
    <mergeCell ref="P40:Q40"/>
    <mergeCell ref="R40:S40"/>
    <mergeCell ref="T38:U38"/>
    <mergeCell ref="V38:W38"/>
    <mergeCell ref="X38:Z38"/>
    <mergeCell ref="A39:B39"/>
    <mergeCell ref="D39:E39"/>
    <mergeCell ref="F39:G39"/>
    <mergeCell ref="H39:I39"/>
    <mergeCell ref="J39:K39"/>
    <mergeCell ref="X39:Z39"/>
    <mergeCell ref="L39:M39"/>
    <mergeCell ref="N39:O39"/>
    <mergeCell ref="P39:Q39"/>
    <mergeCell ref="R39:S39"/>
    <mergeCell ref="T39:U39"/>
    <mergeCell ref="V39:W39"/>
    <mergeCell ref="A38:B38"/>
    <mergeCell ref="D38:E38"/>
    <mergeCell ref="F38:G38"/>
    <mergeCell ref="H38:I38"/>
    <mergeCell ref="J38:K38"/>
    <mergeCell ref="L38:M38"/>
    <mergeCell ref="N38:O38"/>
    <mergeCell ref="P38:Q38"/>
    <mergeCell ref="R38:S38"/>
    <mergeCell ref="A36:B36"/>
    <mergeCell ref="D36:E36"/>
    <mergeCell ref="F36:G36"/>
    <mergeCell ref="H36:I36"/>
    <mergeCell ref="J36:K36"/>
    <mergeCell ref="X36:Z36"/>
    <mergeCell ref="A37:B37"/>
    <mergeCell ref="D37:E37"/>
    <mergeCell ref="F37:G37"/>
    <mergeCell ref="H37:I37"/>
    <mergeCell ref="J37:K37"/>
    <mergeCell ref="L37:M37"/>
    <mergeCell ref="N37:O37"/>
    <mergeCell ref="P37:Q37"/>
    <mergeCell ref="R37:S37"/>
    <mergeCell ref="L36:M36"/>
    <mergeCell ref="N36:O36"/>
    <mergeCell ref="P36:Q36"/>
    <mergeCell ref="R36:S36"/>
    <mergeCell ref="T36:U36"/>
    <mergeCell ref="V36:W36"/>
    <mergeCell ref="T37:U37"/>
    <mergeCell ref="V37:W37"/>
    <mergeCell ref="X37:Z37"/>
    <mergeCell ref="T34:U34"/>
    <mergeCell ref="V34:W34"/>
    <mergeCell ref="X34:Z34"/>
    <mergeCell ref="A35:B35"/>
    <mergeCell ref="D35:E35"/>
    <mergeCell ref="F35:G35"/>
    <mergeCell ref="H35:I35"/>
    <mergeCell ref="J35:K35"/>
    <mergeCell ref="L35:M35"/>
    <mergeCell ref="N35:O35"/>
    <mergeCell ref="P35:Q35"/>
    <mergeCell ref="R35:S35"/>
    <mergeCell ref="T35:U35"/>
    <mergeCell ref="V35:W35"/>
    <mergeCell ref="X35:Z35"/>
    <mergeCell ref="A34:B34"/>
    <mergeCell ref="D34:E34"/>
    <mergeCell ref="F34:G34"/>
    <mergeCell ref="H34:I34"/>
    <mergeCell ref="J34:K34"/>
    <mergeCell ref="L34:M34"/>
    <mergeCell ref="N34:O34"/>
    <mergeCell ref="P34:Q34"/>
    <mergeCell ref="R34:S34"/>
    <mergeCell ref="T32:U32"/>
    <mergeCell ref="V32:W32"/>
    <mergeCell ref="X32:Z32"/>
    <mergeCell ref="A33:B33"/>
    <mergeCell ref="D33:E33"/>
    <mergeCell ref="F33:G33"/>
    <mergeCell ref="H33:I33"/>
    <mergeCell ref="J33:K33"/>
    <mergeCell ref="X33:Z33"/>
    <mergeCell ref="L33:M33"/>
    <mergeCell ref="N33:O33"/>
    <mergeCell ref="P33:Q33"/>
    <mergeCell ref="R33:S33"/>
    <mergeCell ref="T33:U33"/>
    <mergeCell ref="V33:W33"/>
    <mergeCell ref="A32:B32"/>
    <mergeCell ref="D32:E32"/>
    <mergeCell ref="F32:G32"/>
    <mergeCell ref="H32:I32"/>
    <mergeCell ref="J32:K32"/>
    <mergeCell ref="L32:M32"/>
    <mergeCell ref="N32:O32"/>
    <mergeCell ref="P32:Q32"/>
    <mergeCell ref="R32:S32"/>
    <mergeCell ref="A30:B30"/>
    <mergeCell ref="D30:E30"/>
    <mergeCell ref="F30:G30"/>
    <mergeCell ref="H30:I30"/>
    <mergeCell ref="J30:K30"/>
    <mergeCell ref="X30:Z30"/>
    <mergeCell ref="A31:B31"/>
    <mergeCell ref="D31:E31"/>
    <mergeCell ref="F31:G31"/>
    <mergeCell ref="H31:I31"/>
    <mergeCell ref="J31:K31"/>
    <mergeCell ref="L31:M31"/>
    <mergeCell ref="N31:O31"/>
    <mergeCell ref="P31:Q31"/>
    <mergeCell ref="R31:S31"/>
    <mergeCell ref="L30:M30"/>
    <mergeCell ref="N30:O30"/>
    <mergeCell ref="P30:Q30"/>
    <mergeCell ref="R30:S30"/>
    <mergeCell ref="T30:U30"/>
    <mergeCell ref="V30:W30"/>
    <mergeCell ref="T31:U31"/>
    <mergeCell ref="V31:W31"/>
    <mergeCell ref="X31:Z31"/>
    <mergeCell ref="T28:U28"/>
    <mergeCell ref="V28:W28"/>
    <mergeCell ref="X28:Z28"/>
    <mergeCell ref="A29:B29"/>
    <mergeCell ref="D29:E29"/>
    <mergeCell ref="F29:G29"/>
    <mergeCell ref="H29:I29"/>
    <mergeCell ref="J29:K29"/>
    <mergeCell ref="L29:M29"/>
    <mergeCell ref="N29:O29"/>
    <mergeCell ref="P29:Q29"/>
    <mergeCell ref="R29:S29"/>
    <mergeCell ref="T29:U29"/>
    <mergeCell ref="V29:W29"/>
    <mergeCell ref="X29:Z29"/>
    <mergeCell ref="A28:B28"/>
    <mergeCell ref="D28:E28"/>
    <mergeCell ref="F28:G28"/>
    <mergeCell ref="H28:I28"/>
    <mergeCell ref="J28:K28"/>
    <mergeCell ref="L28:M28"/>
    <mergeCell ref="N28:O28"/>
    <mergeCell ref="P28:Q28"/>
    <mergeCell ref="R28:S28"/>
    <mergeCell ref="T26:U26"/>
    <mergeCell ref="V26:W26"/>
    <mergeCell ref="X26:Z26"/>
    <mergeCell ref="A27:B27"/>
    <mergeCell ref="D27:E27"/>
    <mergeCell ref="F27:G27"/>
    <mergeCell ref="H27:I27"/>
    <mergeCell ref="J27:K27"/>
    <mergeCell ref="X27:Z27"/>
    <mergeCell ref="L27:M27"/>
    <mergeCell ref="N27:O27"/>
    <mergeCell ref="P27:Q27"/>
    <mergeCell ref="R27:S27"/>
    <mergeCell ref="T27:U27"/>
    <mergeCell ref="V27:W27"/>
    <mergeCell ref="A26:B26"/>
    <mergeCell ref="D26:E26"/>
    <mergeCell ref="F26:G26"/>
    <mergeCell ref="H26:I26"/>
    <mergeCell ref="J26:K26"/>
    <mergeCell ref="L26:M26"/>
    <mergeCell ref="N26:O26"/>
    <mergeCell ref="P26:Q26"/>
    <mergeCell ref="R26:S26"/>
    <mergeCell ref="X24:Z24"/>
    <mergeCell ref="A25:B25"/>
    <mergeCell ref="D25:E25"/>
    <mergeCell ref="F25:G25"/>
    <mergeCell ref="H25:I25"/>
    <mergeCell ref="J25:K25"/>
    <mergeCell ref="L25:M25"/>
    <mergeCell ref="N25:O25"/>
    <mergeCell ref="P25:Q25"/>
    <mergeCell ref="R25:S25"/>
    <mergeCell ref="L24:M24"/>
    <mergeCell ref="N24:O24"/>
    <mergeCell ref="P24:Q24"/>
    <mergeCell ref="R24:S24"/>
    <mergeCell ref="T24:U24"/>
    <mergeCell ref="V24:W24"/>
    <mergeCell ref="T25:U25"/>
    <mergeCell ref="V25:W25"/>
    <mergeCell ref="X25:Z25"/>
    <mergeCell ref="X22:Z22"/>
    <mergeCell ref="A23:B23"/>
    <mergeCell ref="D23:E23"/>
    <mergeCell ref="F23:G23"/>
    <mergeCell ref="H23:I23"/>
    <mergeCell ref="J23:K23"/>
    <mergeCell ref="L23:M23"/>
    <mergeCell ref="N23:O23"/>
    <mergeCell ref="P23:Q23"/>
    <mergeCell ref="R23:S23"/>
    <mergeCell ref="T23:U23"/>
    <mergeCell ref="V23:W23"/>
    <mergeCell ref="X23:Z23"/>
    <mergeCell ref="A22:B22"/>
    <mergeCell ref="D22:E22"/>
    <mergeCell ref="F22:G22"/>
    <mergeCell ref="H22:I22"/>
    <mergeCell ref="J22:K22"/>
    <mergeCell ref="L22:M22"/>
    <mergeCell ref="N22:O22"/>
    <mergeCell ref="P22:Q22"/>
    <mergeCell ref="R22:S22"/>
    <mergeCell ref="X20:Z20"/>
    <mergeCell ref="A21:B21"/>
    <mergeCell ref="D21:E21"/>
    <mergeCell ref="F21:G21"/>
    <mergeCell ref="H21:I21"/>
    <mergeCell ref="J21:K21"/>
    <mergeCell ref="X21:Z21"/>
    <mergeCell ref="L21:M21"/>
    <mergeCell ref="N21:O21"/>
    <mergeCell ref="P21:Q21"/>
    <mergeCell ref="R21:S21"/>
    <mergeCell ref="T21:U21"/>
    <mergeCell ref="V21:W21"/>
    <mergeCell ref="A20:B20"/>
    <mergeCell ref="D20:E20"/>
    <mergeCell ref="F20:G20"/>
    <mergeCell ref="H20:I20"/>
    <mergeCell ref="J20:K20"/>
    <mergeCell ref="L20:M20"/>
    <mergeCell ref="N20:O20"/>
    <mergeCell ref="P20:Q20"/>
    <mergeCell ref="R20:S20"/>
    <mergeCell ref="X18:Z18"/>
    <mergeCell ref="A19:B19"/>
    <mergeCell ref="D19:E19"/>
    <mergeCell ref="F19:G19"/>
    <mergeCell ref="H19:I19"/>
    <mergeCell ref="J19:K19"/>
    <mergeCell ref="L19:M19"/>
    <mergeCell ref="N19:O19"/>
    <mergeCell ref="P19:Q19"/>
    <mergeCell ref="R19:S19"/>
    <mergeCell ref="L18:M18"/>
    <mergeCell ref="N18:O18"/>
    <mergeCell ref="P18:Q18"/>
    <mergeCell ref="R18:S18"/>
    <mergeCell ref="T18:U18"/>
    <mergeCell ref="V18:W18"/>
    <mergeCell ref="T19:U19"/>
    <mergeCell ref="V19:W19"/>
    <mergeCell ref="X19:Z19"/>
    <mergeCell ref="AA15:AA16"/>
    <mergeCell ref="D16:E16"/>
    <mergeCell ref="F16:G16"/>
    <mergeCell ref="A17:B17"/>
    <mergeCell ref="D17:E17"/>
    <mergeCell ref="F17:G17"/>
    <mergeCell ref="H17:I17"/>
    <mergeCell ref="J17:K17"/>
    <mergeCell ref="L17:M17"/>
    <mergeCell ref="N17:O17"/>
    <mergeCell ref="N15:O16"/>
    <mergeCell ref="P15:Q16"/>
    <mergeCell ref="R15:S16"/>
    <mergeCell ref="T15:U16"/>
    <mergeCell ref="V15:W16"/>
    <mergeCell ref="X15:Z16"/>
    <mergeCell ref="P17:Q17"/>
    <mergeCell ref="R17:S17"/>
    <mergeCell ref="T17:U17"/>
    <mergeCell ref="V17:W17"/>
    <mergeCell ref="X17:Z17"/>
    <mergeCell ref="A12:B13"/>
    <mergeCell ref="C12:J13"/>
    <mergeCell ref="N57:O57"/>
    <mergeCell ref="P57:W57"/>
    <mergeCell ref="A15:B16"/>
    <mergeCell ref="C15:C16"/>
    <mergeCell ref="D15:G15"/>
    <mergeCell ref="H15:I16"/>
    <mergeCell ref="J15:K16"/>
    <mergeCell ref="L15:M16"/>
    <mergeCell ref="A18:B18"/>
    <mergeCell ref="D18:E18"/>
    <mergeCell ref="F18:G18"/>
    <mergeCell ref="H18:I18"/>
    <mergeCell ref="J18:K18"/>
    <mergeCell ref="T20:U20"/>
    <mergeCell ref="V20:W20"/>
    <mergeCell ref="T22:U22"/>
    <mergeCell ref="V22:W22"/>
    <mergeCell ref="A24:B24"/>
    <mergeCell ref="D24:E24"/>
    <mergeCell ref="F24:G24"/>
    <mergeCell ref="H24:I24"/>
    <mergeCell ref="J24:K24"/>
    <mergeCell ref="A8:B9"/>
    <mergeCell ref="C8:J9"/>
    <mergeCell ref="T9:Z9"/>
    <mergeCell ref="A10:B11"/>
    <mergeCell ref="C10:J11"/>
    <mergeCell ref="T10:Z10"/>
    <mergeCell ref="Y2:Z2"/>
    <mergeCell ref="A3:Z4"/>
    <mergeCell ref="A5:D5"/>
    <mergeCell ref="E5:I6"/>
    <mergeCell ref="A6:D6"/>
    <mergeCell ref="P7:Z7"/>
    <mergeCell ref="N7:O7"/>
  </mergeCells>
  <phoneticPr fontId="3"/>
  <conditionalFormatting sqref="A17:AA47">
    <cfRule type="expression" dxfId="317" priority="312" stopIfTrue="1">
      <formula>$X17="所休"</formula>
    </cfRule>
    <cfRule type="expression" dxfId="316" priority="311">
      <formula>$X17="法休"</formula>
    </cfRule>
  </conditionalFormatting>
  <conditionalFormatting sqref="J17:K17">
    <cfRule type="cellIs" dxfId="315" priority="310" stopIfTrue="1" operator="equal">
      <formula>0</formula>
    </cfRule>
  </conditionalFormatting>
  <conditionalFormatting sqref="L17:M17">
    <cfRule type="cellIs" dxfId="314" priority="309" stopIfTrue="1" operator="equal">
      <formula>0</formula>
    </cfRule>
  </conditionalFormatting>
  <conditionalFormatting sqref="N17:O17">
    <cfRule type="cellIs" dxfId="313" priority="308" stopIfTrue="1" operator="equal">
      <formula>0</formula>
    </cfRule>
  </conditionalFormatting>
  <conditionalFormatting sqref="P17:Q17">
    <cfRule type="cellIs" dxfId="312" priority="307" stopIfTrue="1" operator="equal">
      <formula>0</formula>
    </cfRule>
  </conditionalFormatting>
  <conditionalFormatting sqref="R17:S17">
    <cfRule type="cellIs" dxfId="311" priority="306" stopIfTrue="1" operator="equal">
      <formula>0</formula>
    </cfRule>
  </conditionalFormatting>
  <conditionalFormatting sqref="T17:U17">
    <cfRule type="cellIs" dxfId="310" priority="305" stopIfTrue="1" operator="equal">
      <formula>0</formula>
    </cfRule>
  </conditionalFormatting>
  <conditionalFormatting sqref="V17:W17">
    <cfRule type="cellIs" dxfId="309" priority="304" stopIfTrue="1" operator="equal">
      <formula>0</formula>
    </cfRule>
  </conditionalFormatting>
  <conditionalFormatting sqref="J18:K18">
    <cfRule type="cellIs" dxfId="308" priority="303" stopIfTrue="1" operator="equal">
      <formula>0</formula>
    </cfRule>
  </conditionalFormatting>
  <conditionalFormatting sqref="L18:M18">
    <cfRule type="cellIs" dxfId="307" priority="302" stopIfTrue="1" operator="equal">
      <formula>0</formula>
    </cfRule>
  </conditionalFormatting>
  <conditionalFormatting sqref="N18:O18">
    <cfRule type="cellIs" dxfId="306" priority="301" stopIfTrue="1" operator="equal">
      <formula>0</formula>
    </cfRule>
  </conditionalFormatting>
  <conditionalFormatting sqref="P18:Q18">
    <cfRule type="cellIs" dxfId="305" priority="300" stopIfTrue="1" operator="equal">
      <formula>0</formula>
    </cfRule>
  </conditionalFormatting>
  <conditionalFormatting sqref="R18:S18">
    <cfRule type="cellIs" dxfId="304" priority="299" stopIfTrue="1" operator="equal">
      <formula>0</formula>
    </cfRule>
  </conditionalFormatting>
  <conditionalFormatting sqref="T18:U18">
    <cfRule type="cellIs" dxfId="303" priority="298" stopIfTrue="1" operator="equal">
      <formula>0</formula>
    </cfRule>
  </conditionalFormatting>
  <conditionalFormatting sqref="V18:W18">
    <cfRule type="cellIs" dxfId="302" priority="297" stopIfTrue="1" operator="equal">
      <formula>0</formula>
    </cfRule>
  </conditionalFormatting>
  <conditionalFormatting sqref="J19:K19">
    <cfRule type="cellIs" dxfId="301" priority="296" stopIfTrue="1" operator="equal">
      <formula>0</formula>
    </cfRule>
  </conditionalFormatting>
  <conditionalFormatting sqref="L19:M19">
    <cfRule type="cellIs" dxfId="300" priority="295" stopIfTrue="1" operator="equal">
      <formula>0</formula>
    </cfRule>
  </conditionalFormatting>
  <conditionalFormatting sqref="N19:O19">
    <cfRule type="cellIs" dxfId="299" priority="294" stopIfTrue="1" operator="equal">
      <formula>0</formula>
    </cfRule>
  </conditionalFormatting>
  <conditionalFormatting sqref="P19:Q19">
    <cfRule type="cellIs" dxfId="298" priority="293" stopIfTrue="1" operator="equal">
      <formula>0</formula>
    </cfRule>
  </conditionalFormatting>
  <conditionalFormatting sqref="R19:S19">
    <cfRule type="cellIs" dxfId="297" priority="292" stopIfTrue="1" operator="equal">
      <formula>0</formula>
    </cfRule>
  </conditionalFormatting>
  <conditionalFormatting sqref="T19:U19">
    <cfRule type="cellIs" dxfId="296" priority="291" stopIfTrue="1" operator="equal">
      <formula>0</formula>
    </cfRule>
  </conditionalFormatting>
  <conditionalFormatting sqref="V19:W19">
    <cfRule type="cellIs" dxfId="295" priority="290" stopIfTrue="1" operator="equal">
      <formula>0</formula>
    </cfRule>
  </conditionalFormatting>
  <conditionalFormatting sqref="J20:K20">
    <cfRule type="cellIs" dxfId="294" priority="289" stopIfTrue="1" operator="equal">
      <formula>0</formula>
    </cfRule>
  </conditionalFormatting>
  <conditionalFormatting sqref="L20:M20">
    <cfRule type="cellIs" dxfId="293" priority="288" stopIfTrue="1" operator="equal">
      <formula>0</formula>
    </cfRule>
  </conditionalFormatting>
  <conditionalFormatting sqref="N20:O20">
    <cfRule type="cellIs" dxfId="292" priority="287" stopIfTrue="1" operator="equal">
      <formula>0</formula>
    </cfRule>
  </conditionalFormatting>
  <conditionalFormatting sqref="P20:Q20">
    <cfRule type="cellIs" dxfId="291" priority="286" stopIfTrue="1" operator="equal">
      <formula>0</formula>
    </cfRule>
  </conditionalFormatting>
  <conditionalFormatting sqref="R20:S20">
    <cfRule type="cellIs" dxfId="290" priority="285" stopIfTrue="1" operator="equal">
      <formula>0</formula>
    </cfRule>
  </conditionalFormatting>
  <conditionalFormatting sqref="T20:U20">
    <cfRule type="cellIs" dxfId="289" priority="284" stopIfTrue="1" operator="equal">
      <formula>0</formula>
    </cfRule>
  </conditionalFormatting>
  <conditionalFormatting sqref="V20:W20">
    <cfRule type="cellIs" dxfId="288" priority="283" stopIfTrue="1" operator="equal">
      <formula>0</formula>
    </cfRule>
  </conditionalFormatting>
  <conditionalFormatting sqref="J21:K21">
    <cfRule type="cellIs" dxfId="287" priority="282" stopIfTrue="1" operator="equal">
      <formula>0</formula>
    </cfRule>
  </conditionalFormatting>
  <conditionalFormatting sqref="L21:M21">
    <cfRule type="cellIs" dxfId="286" priority="281" stopIfTrue="1" operator="equal">
      <formula>0</formula>
    </cfRule>
  </conditionalFormatting>
  <conditionalFormatting sqref="N21:O21">
    <cfRule type="cellIs" dxfId="285" priority="280" stopIfTrue="1" operator="equal">
      <formula>0</formula>
    </cfRule>
  </conditionalFormatting>
  <conditionalFormatting sqref="P21:Q21">
    <cfRule type="cellIs" dxfId="284" priority="279" stopIfTrue="1" operator="equal">
      <formula>0</formula>
    </cfRule>
  </conditionalFormatting>
  <conditionalFormatting sqref="R21:S21">
    <cfRule type="cellIs" dxfId="283" priority="278" stopIfTrue="1" operator="equal">
      <formula>0</formula>
    </cfRule>
  </conditionalFormatting>
  <conditionalFormatting sqref="T21:U21">
    <cfRule type="cellIs" dxfId="282" priority="277" stopIfTrue="1" operator="equal">
      <formula>0</formula>
    </cfRule>
  </conditionalFormatting>
  <conditionalFormatting sqref="V21:W21">
    <cfRule type="cellIs" dxfId="281" priority="276" stopIfTrue="1" operator="equal">
      <formula>0</formula>
    </cfRule>
  </conditionalFormatting>
  <conditionalFormatting sqref="J22:K22">
    <cfRule type="cellIs" dxfId="280" priority="275" stopIfTrue="1" operator="equal">
      <formula>0</formula>
    </cfRule>
  </conditionalFormatting>
  <conditionalFormatting sqref="L22:M22">
    <cfRule type="cellIs" dxfId="279" priority="274" stopIfTrue="1" operator="equal">
      <formula>0</formula>
    </cfRule>
  </conditionalFormatting>
  <conditionalFormatting sqref="N22:O22">
    <cfRule type="cellIs" dxfId="278" priority="273" stopIfTrue="1" operator="equal">
      <formula>0</formula>
    </cfRule>
  </conditionalFormatting>
  <conditionalFormatting sqref="P22:Q22">
    <cfRule type="cellIs" dxfId="277" priority="272" stopIfTrue="1" operator="equal">
      <formula>0</formula>
    </cfRule>
  </conditionalFormatting>
  <conditionalFormatting sqref="R22:S22">
    <cfRule type="cellIs" dxfId="276" priority="271" stopIfTrue="1" operator="equal">
      <formula>0</formula>
    </cfRule>
  </conditionalFormatting>
  <conditionalFormatting sqref="T22:U22">
    <cfRule type="cellIs" dxfId="275" priority="270" stopIfTrue="1" operator="equal">
      <formula>0</formula>
    </cfRule>
  </conditionalFormatting>
  <conditionalFormatting sqref="V22:W22">
    <cfRule type="cellIs" dxfId="274" priority="269" stopIfTrue="1" operator="equal">
      <formula>0</formula>
    </cfRule>
  </conditionalFormatting>
  <conditionalFormatting sqref="J23:K23">
    <cfRule type="cellIs" dxfId="273" priority="268" stopIfTrue="1" operator="equal">
      <formula>0</formula>
    </cfRule>
  </conditionalFormatting>
  <conditionalFormatting sqref="L23:M23">
    <cfRule type="cellIs" dxfId="272" priority="267" stopIfTrue="1" operator="equal">
      <formula>0</formula>
    </cfRule>
  </conditionalFormatting>
  <conditionalFormatting sqref="N23:O23">
    <cfRule type="cellIs" dxfId="271" priority="266" stopIfTrue="1" operator="equal">
      <formula>0</formula>
    </cfRule>
  </conditionalFormatting>
  <conditionalFormatting sqref="P23:Q23">
    <cfRule type="cellIs" dxfId="270" priority="265" stopIfTrue="1" operator="equal">
      <formula>0</formula>
    </cfRule>
  </conditionalFormatting>
  <conditionalFormatting sqref="R23:S23">
    <cfRule type="cellIs" dxfId="269" priority="264" stopIfTrue="1" operator="equal">
      <formula>0</formula>
    </cfRule>
  </conditionalFormatting>
  <conditionalFormatting sqref="T23:U23">
    <cfRule type="cellIs" dxfId="268" priority="263" stopIfTrue="1" operator="equal">
      <formula>0</formula>
    </cfRule>
  </conditionalFormatting>
  <conditionalFormatting sqref="V23:W23">
    <cfRule type="cellIs" dxfId="267" priority="262" stopIfTrue="1" operator="equal">
      <formula>0</formula>
    </cfRule>
  </conditionalFormatting>
  <conditionalFormatting sqref="J24:K24">
    <cfRule type="cellIs" dxfId="266" priority="261" stopIfTrue="1" operator="equal">
      <formula>0</formula>
    </cfRule>
  </conditionalFormatting>
  <conditionalFormatting sqref="L24:M24">
    <cfRule type="cellIs" dxfId="265" priority="260" stopIfTrue="1" operator="equal">
      <formula>0</formula>
    </cfRule>
  </conditionalFormatting>
  <conditionalFormatting sqref="N24:O24">
    <cfRule type="cellIs" dxfId="264" priority="259" stopIfTrue="1" operator="equal">
      <formula>0</formula>
    </cfRule>
  </conditionalFormatting>
  <conditionalFormatting sqref="P24:Q24">
    <cfRule type="cellIs" dxfId="263" priority="258" stopIfTrue="1" operator="equal">
      <formula>0</formula>
    </cfRule>
  </conditionalFormatting>
  <conditionalFormatting sqref="R24:S24">
    <cfRule type="cellIs" dxfId="262" priority="257" stopIfTrue="1" operator="equal">
      <formula>0</formula>
    </cfRule>
  </conditionalFormatting>
  <conditionalFormatting sqref="T24:U24">
    <cfRule type="cellIs" dxfId="261" priority="256" stopIfTrue="1" operator="equal">
      <formula>0</formula>
    </cfRule>
  </conditionalFormatting>
  <conditionalFormatting sqref="V24:W24">
    <cfRule type="cellIs" dxfId="260" priority="255" stopIfTrue="1" operator="equal">
      <formula>0</formula>
    </cfRule>
  </conditionalFormatting>
  <conditionalFormatting sqref="J25:K25">
    <cfRule type="cellIs" dxfId="259" priority="254" stopIfTrue="1" operator="equal">
      <formula>0</formula>
    </cfRule>
  </conditionalFormatting>
  <conditionalFormatting sqref="L25:M25">
    <cfRule type="cellIs" dxfId="258" priority="253" stopIfTrue="1" operator="equal">
      <formula>0</formula>
    </cfRule>
  </conditionalFormatting>
  <conditionalFormatting sqref="N25:O25">
    <cfRule type="cellIs" dxfId="257" priority="252" stopIfTrue="1" operator="equal">
      <formula>0</formula>
    </cfRule>
  </conditionalFormatting>
  <conditionalFormatting sqref="P25:Q25">
    <cfRule type="cellIs" dxfId="256" priority="251" stopIfTrue="1" operator="equal">
      <formula>0</formula>
    </cfRule>
  </conditionalFormatting>
  <conditionalFormatting sqref="R25:S25">
    <cfRule type="cellIs" dxfId="255" priority="250" stopIfTrue="1" operator="equal">
      <formula>0</formula>
    </cfRule>
  </conditionalFormatting>
  <conditionalFormatting sqref="T25:U25">
    <cfRule type="cellIs" dxfId="254" priority="249" stopIfTrue="1" operator="equal">
      <formula>0</formula>
    </cfRule>
  </conditionalFormatting>
  <conditionalFormatting sqref="V25:W25">
    <cfRule type="cellIs" dxfId="253" priority="248" stopIfTrue="1" operator="equal">
      <formula>0</formula>
    </cfRule>
  </conditionalFormatting>
  <conditionalFormatting sqref="J26:K26">
    <cfRule type="cellIs" dxfId="252" priority="247" stopIfTrue="1" operator="equal">
      <formula>0</formula>
    </cfRule>
  </conditionalFormatting>
  <conditionalFormatting sqref="L26:M26">
    <cfRule type="cellIs" dxfId="251" priority="246" stopIfTrue="1" operator="equal">
      <formula>0</formula>
    </cfRule>
  </conditionalFormatting>
  <conditionalFormatting sqref="N26:O26">
    <cfRule type="cellIs" dxfId="250" priority="245" stopIfTrue="1" operator="equal">
      <formula>0</formula>
    </cfRule>
  </conditionalFormatting>
  <conditionalFormatting sqref="P26:Q26">
    <cfRule type="cellIs" dxfId="249" priority="244" stopIfTrue="1" operator="equal">
      <formula>0</formula>
    </cfRule>
  </conditionalFormatting>
  <conditionalFormatting sqref="R26:S26">
    <cfRule type="cellIs" dxfId="248" priority="243" stopIfTrue="1" operator="equal">
      <formula>0</formula>
    </cfRule>
  </conditionalFormatting>
  <conditionalFormatting sqref="T26:U26">
    <cfRule type="cellIs" dxfId="247" priority="242" stopIfTrue="1" operator="equal">
      <formula>0</formula>
    </cfRule>
  </conditionalFormatting>
  <conditionalFormatting sqref="V26:W26">
    <cfRule type="cellIs" dxfId="246" priority="241" stopIfTrue="1" operator="equal">
      <formula>0</formula>
    </cfRule>
  </conditionalFormatting>
  <conditionalFormatting sqref="J27:K27">
    <cfRule type="cellIs" dxfId="245" priority="240" stopIfTrue="1" operator="equal">
      <formula>0</formula>
    </cfRule>
  </conditionalFormatting>
  <conditionalFormatting sqref="L27:M27">
    <cfRule type="cellIs" dxfId="244" priority="239" stopIfTrue="1" operator="equal">
      <formula>0</formula>
    </cfRule>
  </conditionalFormatting>
  <conditionalFormatting sqref="N27:O27">
    <cfRule type="cellIs" dxfId="243" priority="238" stopIfTrue="1" operator="equal">
      <formula>0</formula>
    </cfRule>
  </conditionalFormatting>
  <conditionalFormatting sqref="P27:Q27">
    <cfRule type="cellIs" dxfId="242" priority="237" stopIfTrue="1" operator="equal">
      <formula>0</formula>
    </cfRule>
  </conditionalFormatting>
  <conditionalFormatting sqref="R27:S27">
    <cfRule type="cellIs" dxfId="241" priority="236" stopIfTrue="1" operator="equal">
      <formula>0</formula>
    </cfRule>
  </conditionalFormatting>
  <conditionalFormatting sqref="T27:U27">
    <cfRule type="cellIs" dxfId="240" priority="235" stopIfTrue="1" operator="equal">
      <formula>0</formula>
    </cfRule>
  </conditionalFormatting>
  <conditionalFormatting sqref="V27:W27">
    <cfRule type="cellIs" dxfId="239" priority="234" stopIfTrue="1" operator="equal">
      <formula>0</formula>
    </cfRule>
  </conditionalFormatting>
  <conditionalFormatting sqref="J28:K28">
    <cfRule type="cellIs" dxfId="238" priority="233" stopIfTrue="1" operator="equal">
      <formula>0</formula>
    </cfRule>
  </conditionalFormatting>
  <conditionalFormatting sqref="L28:M28">
    <cfRule type="cellIs" dxfId="237" priority="232" stopIfTrue="1" operator="equal">
      <formula>0</formula>
    </cfRule>
  </conditionalFormatting>
  <conditionalFormatting sqref="N28:O28">
    <cfRule type="cellIs" dxfId="236" priority="231" stopIfTrue="1" operator="equal">
      <formula>0</formula>
    </cfRule>
  </conditionalFormatting>
  <conditionalFormatting sqref="P28:Q28">
    <cfRule type="cellIs" dxfId="235" priority="230" stopIfTrue="1" operator="equal">
      <formula>0</formula>
    </cfRule>
  </conditionalFormatting>
  <conditionalFormatting sqref="R28:S28">
    <cfRule type="cellIs" dxfId="234" priority="229" stopIfTrue="1" operator="equal">
      <formula>0</formula>
    </cfRule>
  </conditionalFormatting>
  <conditionalFormatting sqref="T28:U28">
    <cfRule type="cellIs" dxfId="233" priority="228" stopIfTrue="1" operator="equal">
      <formula>0</formula>
    </cfRule>
  </conditionalFormatting>
  <conditionalFormatting sqref="V28:W28">
    <cfRule type="cellIs" dxfId="232" priority="227" stopIfTrue="1" operator="equal">
      <formula>0</formula>
    </cfRule>
  </conditionalFormatting>
  <conditionalFormatting sqref="J29:K29">
    <cfRule type="cellIs" dxfId="231" priority="226" stopIfTrue="1" operator="equal">
      <formula>0</formula>
    </cfRule>
  </conditionalFormatting>
  <conditionalFormatting sqref="L29:M29">
    <cfRule type="cellIs" dxfId="230" priority="225" stopIfTrue="1" operator="equal">
      <formula>0</formula>
    </cfRule>
  </conditionalFormatting>
  <conditionalFormatting sqref="N29:O29">
    <cfRule type="cellIs" dxfId="229" priority="224" stopIfTrue="1" operator="equal">
      <formula>0</formula>
    </cfRule>
  </conditionalFormatting>
  <conditionalFormatting sqref="P29:Q29">
    <cfRule type="cellIs" dxfId="228" priority="223" stopIfTrue="1" operator="equal">
      <formula>0</formula>
    </cfRule>
  </conditionalFormatting>
  <conditionalFormatting sqref="R29:S29">
    <cfRule type="cellIs" dxfId="227" priority="222" stopIfTrue="1" operator="equal">
      <formula>0</formula>
    </cfRule>
  </conditionalFormatting>
  <conditionalFormatting sqref="T29:U29">
    <cfRule type="cellIs" dxfId="226" priority="221" stopIfTrue="1" operator="equal">
      <formula>0</formula>
    </cfRule>
  </conditionalFormatting>
  <conditionalFormatting sqref="V29:W29">
    <cfRule type="cellIs" dxfId="225" priority="220" stopIfTrue="1" operator="equal">
      <formula>0</formula>
    </cfRule>
  </conditionalFormatting>
  <conditionalFormatting sqref="J30:K30">
    <cfRule type="cellIs" dxfId="224" priority="219" stopIfTrue="1" operator="equal">
      <formula>0</formula>
    </cfRule>
  </conditionalFormatting>
  <conditionalFormatting sqref="L30:M30">
    <cfRule type="cellIs" dxfId="223" priority="218" stopIfTrue="1" operator="equal">
      <formula>0</formula>
    </cfRule>
  </conditionalFormatting>
  <conditionalFormatting sqref="N30:O30">
    <cfRule type="cellIs" dxfId="222" priority="217" stopIfTrue="1" operator="equal">
      <formula>0</formula>
    </cfRule>
  </conditionalFormatting>
  <conditionalFormatting sqref="P30:Q30">
    <cfRule type="cellIs" dxfId="221" priority="216" stopIfTrue="1" operator="equal">
      <formula>0</formula>
    </cfRule>
  </conditionalFormatting>
  <conditionalFormatting sqref="R30:S30">
    <cfRule type="cellIs" dxfId="220" priority="215" stopIfTrue="1" operator="equal">
      <formula>0</formula>
    </cfRule>
  </conditionalFormatting>
  <conditionalFormatting sqref="T30:U30">
    <cfRule type="cellIs" dxfId="219" priority="214" stopIfTrue="1" operator="equal">
      <formula>0</formula>
    </cfRule>
  </conditionalFormatting>
  <conditionalFormatting sqref="V30:W30">
    <cfRule type="cellIs" dxfId="218" priority="213" stopIfTrue="1" operator="equal">
      <formula>0</formula>
    </cfRule>
  </conditionalFormatting>
  <conditionalFormatting sqref="J31:K31">
    <cfRule type="cellIs" dxfId="217" priority="212" stopIfTrue="1" operator="equal">
      <formula>0</formula>
    </cfRule>
  </conditionalFormatting>
  <conditionalFormatting sqref="L31:M31">
    <cfRule type="cellIs" dxfId="216" priority="211" stopIfTrue="1" operator="equal">
      <formula>0</formula>
    </cfRule>
  </conditionalFormatting>
  <conditionalFormatting sqref="N31:O31">
    <cfRule type="cellIs" dxfId="215" priority="210" stopIfTrue="1" operator="equal">
      <formula>0</formula>
    </cfRule>
  </conditionalFormatting>
  <conditionalFormatting sqref="P31:Q31">
    <cfRule type="cellIs" dxfId="214" priority="209" stopIfTrue="1" operator="equal">
      <formula>0</formula>
    </cfRule>
  </conditionalFormatting>
  <conditionalFormatting sqref="R31:S31">
    <cfRule type="cellIs" dxfId="213" priority="208" stopIfTrue="1" operator="equal">
      <formula>0</formula>
    </cfRule>
  </conditionalFormatting>
  <conditionalFormatting sqref="T31:U31">
    <cfRule type="cellIs" dxfId="212" priority="207" stopIfTrue="1" operator="equal">
      <formula>0</formula>
    </cfRule>
  </conditionalFormatting>
  <conditionalFormatting sqref="V31:W31">
    <cfRule type="cellIs" dxfId="211" priority="206" stopIfTrue="1" operator="equal">
      <formula>0</formula>
    </cfRule>
  </conditionalFormatting>
  <conditionalFormatting sqref="J32:K32">
    <cfRule type="cellIs" dxfId="210" priority="205" stopIfTrue="1" operator="equal">
      <formula>0</formula>
    </cfRule>
  </conditionalFormatting>
  <conditionalFormatting sqref="L32:M32">
    <cfRule type="cellIs" dxfId="209" priority="204" stopIfTrue="1" operator="equal">
      <formula>0</formula>
    </cfRule>
  </conditionalFormatting>
  <conditionalFormatting sqref="N32:O32">
    <cfRule type="cellIs" dxfId="208" priority="203" stopIfTrue="1" operator="equal">
      <formula>0</formula>
    </cfRule>
  </conditionalFormatting>
  <conditionalFormatting sqref="P32:Q32">
    <cfRule type="cellIs" dxfId="207" priority="202" stopIfTrue="1" operator="equal">
      <formula>0</formula>
    </cfRule>
  </conditionalFormatting>
  <conditionalFormatting sqref="R32:S32">
    <cfRule type="cellIs" dxfId="206" priority="201" stopIfTrue="1" operator="equal">
      <formula>0</formula>
    </cfRule>
  </conditionalFormatting>
  <conditionalFormatting sqref="T32:U32">
    <cfRule type="cellIs" dxfId="205" priority="200" stopIfTrue="1" operator="equal">
      <formula>0</formula>
    </cfRule>
  </conditionalFormatting>
  <conditionalFormatting sqref="V32:W32">
    <cfRule type="cellIs" dxfId="204" priority="199" stopIfTrue="1" operator="equal">
      <formula>0</formula>
    </cfRule>
  </conditionalFormatting>
  <conditionalFormatting sqref="J33:K33">
    <cfRule type="cellIs" dxfId="203" priority="198" stopIfTrue="1" operator="equal">
      <formula>0</formula>
    </cfRule>
  </conditionalFormatting>
  <conditionalFormatting sqref="L33:M33">
    <cfRule type="cellIs" dxfId="202" priority="197" stopIfTrue="1" operator="equal">
      <formula>0</formula>
    </cfRule>
  </conditionalFormatting>
  <conditionalFormatting sqref="N33:O33">
    <cfRule type="cellIs" dxfId="201" priority="196" stopIfTrue="1" operator="equal">
      <formula>0</formula>
    </cfRule>
  </conditionalFormatting>
  <conditionalFormatting sqref="P33:Q33">
    <cfRule type="cellIs" dxfId="200" priority="195" stopIfTrue="1" operator="equal">
      <formula>0</formula>
    </cfRule>
  </conditionalFormatting>
  <conditionalFormatting sqref="R33:S33">
    <cfRule type="cellIs" dxfId="199" priority="194" stopIfTrue="1" operator="equal">
      <formula>0</formula>
    </cfRule>
  </conditionalFormatting>
  <conditionalFormatting sqref="T33:U33">
    <cfRule type="cellIs" dxfId="198" priority="193" stopIfTrue="1" operator="equal">
      <formula>0</formula>
    </cfRule>
  </conditionalFormatting>
  <conditionalFormatting sqref="V33:W33">
    <cfRule type="cellIs" dxfId="197" priority="192" stopIfTrue="1" operator="equal">
      <formula>0</formula>
    </cfRule>
  </conditionalFormatting>
  <conditionalFormatting sqref="J34:K34">
    <cfRule type="cellIs" dxfId="196" priority="191" stopIfTrue="1" operator="equal">
      <formula>0</formula>
    </cfRule>
  </conditionalFormatting>
  <conditionalFormatting sqref="L34:M34">
    <cfRule type="cellIs" dxfId="195" priority="190" stopIfTrue="1" operator="equal">
      <formula>0</formula>
    </cfRule>
  </conditionalFormatting>
  <conditionalFormatting sqref="N34:O34">
    <cfRule type="cellIs" dxfId="194" priority="189" stopIfTrue="1" operator="equal">
      <formula>0</formula>
    </cfRule>
  </conditionalFormatting>
  <conditionalFormatting sqref="P34:Q34">
    <cfRule type="cellIs" dxfId="193" priority="188" stopIfTrue="1" operator="equal">
      <formula>0</formula>
    </cfRule>
  </conditionalFormatting>
  <conditionalFormatting sqref="R34:S34">
    <cfRule type="cellIs" dxfId="192" priority="187" stopIfTrue="1" operator="equal">
      <formula>0</formula>
    </cfRule>
  </conditionalFormatting>
  <conditionalFormatting sqref="T34:U34">
    <cfRule type="cellIs" dxfId="191" priority="186" stopIfTrue="1" operator="equal">
      <formula>0</formula>
    </cfRule>
  </conditionalFormatting>
  <conditionalFormatting sqref="V34:W34">
    <cfRule type="cellIs" dxfId="190" priority="185" stopIfTrue="1" operator="equal">
      <formula>0</formula>
    </cfRule>
  </conditionalFormatting>
  <conditionalFormatting sqref="J35:K35">
    <cfRule type="cellIs" dxfId="189" priority="184" stopIfTrue="1" operator="equal">
      <formula>0</formula>
    </cfRule>
  </conditionalFormatting>
  <conditionalFormatting sqref="L35:M35">
    <cfRule type="cellIs" dxfId="188" priority="183" stopIfTrue="1" operator="equal">
      <formula>0</formula>
    </cfRule>
  </conditionalFormatting>
  <conditionalFormatting sqref="N35:O35">
    <cfRule type="cellIs" dxfId="187" priority="182" stopIfTrue="1" operator="equal">
      <formula>0</formula>
    </cfRule>
  </conditionalFormatting>
  <conditionalFormatting sqref="P35:Q35">
    <cfRule type="cellIs" dxfId="186" priority="181" stopIfTrue="1" operator="equal">
      <formula>0</formula>
    </cfRule>
  </conditionalFormatting>
  <conditionalFormatting sqref="R35:S35">
    <cfRule type="cellIs" dxfId="185" priority="180" stopIfTrue="1" operator="equal">
      <formula>0</formula>
    </cfRule>
  </conditionalFormatting>
  <conditionalFormatting sqref="T35:U35">
    <cfRule type="cellIs" dxfId="184" priority="179" stopIfTrue="1" operator="equal">
      <formula>0</formula>
    </cfRule>
  </conditionalFormatting>
  <conditionalFormatting sqref="V35:W35">
    <cfRule type="cellIs" dxfId="183" priority="178" stopIfTrue="1" operator="equal">
      <formula>0</formula>
    </cfRule>
  </conditionalFormatting>
  <conditionalFormatting sqref="J36:K36">
    <cfRule type="cellIs" dxfId="182" priority="177" stopIfTrue="1" operator="equal">
      <formula>0</formula>
    </cfRule>
  </conditionalFormatting>
  <conditionalFormatting sqref="L36:M36">
    <cfRule type="cellIs" dxfId="181" priority="176" stopIfTrue="1" operator="equal">
      <formula>0</formula>
    </cfRule>
  </conditionalFormatting>
  <conditionalFormatting sqref="N36:O36">
    <cfRule type="cellIs" dxfId="180" priority="175" stopIfTrue="1" operator="equal">
      <formula>0</formula>
    </cfRule>
  </conditionalFormatting>
  <conditionalFormatting sqref="P36:Q36">
    <cfRule type="cellIs" dxfId="179" priority="174" stopIfTrue="1" operator="equal">
      <formula>0</formula>
    </cfRule>
  </conditionalFormatting>
  <conditionalFormatting sqref="R36:S36">
    <cfRule type="cellIs" dxfId="178" priority="173" stopIfTrue="1" operator="equal">
      <formula>0</formula>
    </cfRule>
  </conditionalFormatting>
  <conditionalFormatting sqref="T36:U36">
    <cfRule type="cellIs" dxfId="177" priority="172" stopIfTrue="1" operator="equal">
      <formula>0</formula>
    </cfRule>
  </conditionalFormatting>
  <conditionalFormatting sqref="V36:W36">
    <cfRule type="cellIs" dxfId="176" priority="171" stopIfTrue="1" operator="equal">
      <formula>0</formula>
    </cfRule>
  </conditionalFormatting>
  <conditionalFormatting sqref="J37:K37">
    <cfRule type="cellIs" dxfId="175" priority="170" stopIfTrue="1" operator="equal">
      <formula>0</formula>
    </cfRule>
  </conditionalFormatting>
  <conditionalFormatting sqref="L37:M37">
    <cfRule type="cellIs" dxfId="174" priority="169" stopIfTrue="1" operator="equal">
      <formula>0</formula>
    </cfRule>
  </conditionalFormatting>
  <conditionalFormatting sqref="N37:O37">
    <cfRule type="cellIs" dxfId="173" priority="168" stopIfTrue="1" operator="equal">
      <formula>0</formula>
    </cfRule>
  </conditionalFormatting>
  <conditionalFormatting sqref="P37:Q37">
    <cfRule type="cellIs" dxfId="172" priority="167" stopIfTrue="1" operator="equal">
      <formula>0</formula>
    </cfRule>
  </conditionalFormatting>
  <conditionalFormatting sqref="R37:S37">
    <cfRule type="cellIs" dxfId="171" priority="166" stopIfTrue="1" operator="equal">
      <formula>0</formula>
    </cfRule>
  </conditionalFormatting>
  <conditionalFormatting sqref="T37:U37">
    <cfRule type="cellIs" dxfId="170" priority="165" stopIfTrue="1" operator="equal">
      <formula>0</formula>
    </cfRule>
  </conditionalFormatting>
  <conditionalFormatting sqref="V37:W37">
    <cfRule type="cellIs" dxfId="169" priority="164" stopIfTrue="1" operator="equal">
      <formula>0</formula>
    </cfRule>
  </conditionalFormatting>
  <conditionalFormatting sqref="J38:K38">
    <cfRule type="cellIs" dxfId="168" priority="163" stopIfTrue="1" operator="equal">
      <formula>0</formula>
    </cfRule>
  </conditionalFormatting>
  <conditionalFormatting sqref="L38:M38">
    <cfRule type="cellIs" dxfId="167" priority="162" stopIfTrue="1" operator="equal">
      <formula>0</formula>
    </cfRule>
  </conditionalFormatting>
  <conditionalFormatting sqref="N38:O38">
    <cfRule type="cellIs" dxfId="166" priority="161" stopIfTrue="1" operator="equal">
      <formula>0</formula>
    </cfRule>
  </conditionalFormatting>
  <conditionalFormatting sqref="P38:Q38">
    <cfRule type="cellIs" dxfId="165" priority="160" stopIfTrue="1" operator="equal">
      <formula>0</formula>
    </cfRule>
  </conditionalFormatting>
  <conditionalFormatting sqref="R38:S38">
    <cfRule type="cellIs" dxfId="164" priority="159" stopIfTrue="1" operator="equal">
      <formula>0</formula>
    </cfRule>
  </conditionalFormatting>
  <conditionalFormatting sqref="T38:U38">
    <cfRule type="cellIs" dxfId="163" priority="158" stopIfTrue="1" operator="equal">
      <formula>0</formula>
    </cfRule>
  </conditionalFormatting>
  <conditionalFormatting sqref="V38:W38">
    <cfRule type="cellIs" dxfId="162" priority="157" stopIfTrue="1" operator="equal">
      <formula>0</formula>
    </cfRule>
  </conditionalFormatting>
  <conditionalFormatting sqref="J39:K39">
    <cfRule type="cellIs" dxfId="161" priority="156" stopIfTrue="1" operator="equal">
      <formula>0</formula>
    </cfRule>
  </conditionalFormatting>
  <conditionalFormatting sqref="L39:M39">
    <cfRule type="cellIs" dxfId="160" priority="155" stopIfTrue="1" operator="equal">
      <formula>0</formula>
    </cfRule>
  </conditionalFormatting>
  <conditionalFormatting sqref="N39:O39">
    <cfRule type="cellIs" dxfId="159" priority="154" stopIfTrue="1" operator="equal">
      <formula>0</formula>
    </cfRule>
  </conditionalFormatting>
  <conditionalFormatting sqref="P39:Q39">
    <cfRule type="cellIs" dxfId="158" priority="153" stopIfTrue="1" operator="equal">
      <formula>0</formula>
    </cfRule>
  </conditionalFormatting>
  <conditionalFormatting sqref="R39:S39">
    <cfRule type="cellIs" dxfId="157" priority="152" stopIfTrue="1" operator="equal">
      <formula>0</formula>
    </cfRule>
  </conditionalFormatting>
  <conditionalFormatting sqref="T39:U39">
    <cfRule type="cellIs" dxfId="156" priority="151" stopIfTrue="1" operator="equal">
      <formula>0</formula>
    </cfRule>
  </conditionalFormatting>
  <conditionalFormatting sqref="V39:W39">
    <cfRule type="cellIs" dxfId="155" priority="150" stopIfTrue="1" operator="equal">
      <formula>0</formula>
    </cfRule>
  </conditionalFormatting>
  <conditionalFormatting sqref="J40:K40">
    <cfRule type="cellIs" dxfId="154" priority="149" stopIfTrue="1" operator="equal">
      <formula>0</formula>
    </cfRule>
  </conditionalFormatting>
  <conditionalFormatting sqref="L40:M40">
    <cfRule type="cellIs" dxfId="153" priority="148" stopIfTrue="1" operator="equal">
      <formula>0</formula>
    </cfRule>
  </conditionalFormatting>
  <conditionalFormatting sqref="N40:O40">
    <cfRule type="cellIs" dxfId="152" priority="147" stopIfTrue="1" operator="equal">
      <formula>0</formula>
    </cfRule>
  </conditionalFormatting>
  <conditionalFormatting sqref="P40:Q40">
    <cfRule type="cellIs" dxfId="151" priority="146" stopIfTrue="1" operator="equal">
      <formula>0</formula>
    </cfRule>
  </conditionalFormatting>
  <conditionalFormatting sqref="R40:S40">
    <cfRule type="cellIs" dxfId="150" priority="145" stopIfTrue="1" operator="equal">
      <formula>0</formula>
    </cfRule>
  </conditionalFormatting>
  <conditionalFormatting sqref="T40:U40">
    <cfRule type="cellIs" dxfId="149" priority="144" stopIfTrue="1" operator="equal">
      <formula>0</formula>
    </cfRule>
  </conditionalFormatting>
  <conditionalFormatting sqref="V40:W40">
    <cfRule type="cellIs" dxfId="148" priority="143" stopIfTrue="1" operator="equal">
      <formula>0</formula>
    </cfRule>
  </conditionalFormatting>
  <conditionalFormatting sqref="J41:K41">
    <cfRule type="cellIs" dxfId="147" priority="142" stopIfTrue="1" operator="equal">
      <formula>0</formula>
    </cfRule>
  </conditionalFormatting>
  <conditionalFormatting sqref="L41:M41">
    <cfRule type="cellIs" dxfId="146" priority="141" stopIfTrue="1" operator="equal">
      <formula>0</formula>
    </cfRule>
  </conditionalFormatting>
  <conditionalFormatting sqref="N41:O41">
    <cfRule type="cellIs" dxfId="145" priority="140" stopIfTrue="1" operator="equal">
      <formula>0</formula>
    </cfRule>
  </conditionalFormatting>
  <conditionalFormatting sqref="P41:Q41">
    <cfRule type="cellIs" dxfId="144" priority="139" stopIfTrue="1" operator="equal">
      <formula>0</formula>
    </cfRule>
  </conditionalFormatting>
  <conditionalFormatting sqref="R41:S41">
    <cfRule type="cellIs" dxfId="143" priority="138" stopIfTrue="1" operator="equal">
      <formula>0</formula>
    </cfRule>
  </conditionalFormatting>
  <conditionalFormatting sqref="T41:U41">
    <cfRule type="cellIs" dxfId="142" priority="137" stopIfTrue="1" operator="equal">
      <formula>0</formula>
    </cfRule>
  </conditionalFormatting>
  <conditionalFormatting sqref="V41:W41">
    <cfRule type="cellIs" dxfId="141" priority="136" stopIfTrue="1" operator="equal">
      <formula>0</formula>
    </cfRule>
  </conditionalFormatting>
  <conditionalFormatting sqref="J42:K42">
    <cfRule type="cellIs" dxfId="140" priority="135" stopIfTrue="1" operator="equal">
      <formula>0</formula>
    </cfRule>
  </conditionalFormatting>
  <conditionalFormatting sqref="L42:M42">
    <cfRule type="cellIs" dxfId="139" priority="134" stopIfTrue="1" operator="equal">
      <formula>0</formula>
    </cfRule>
  </conditionalFormatting>
  <conditionalFormatting sqref="N42:O42">
    <cfRule type="cellIs" dxfId="138" priority="133" stopIfTrue="1" operator="equal">
      <formula>0</formula>
    </cfRule>
  </conditionalFormatting>
  <conditionalFormatting sqref="P42:Q42">
    <cfRule type="cellIs" dxfId="137" priority="132" stopIfTrue="1" operator="equal">
      <formula>0</formula>
    </cfRule>
  </conditionalFormatting>
  <conditionalFormatting sqref="R42:S42">
    <cfRule type="cellIs" dxfId="136" priority="131" stopIfTrue="1" operator="equal">
      <formula>0</formula>
    </cfRule>
  </conditionalFormatting>
  <conditionalFormatting sqref="T42:U42">
    <cfRule type="cellIs" dxfId="135" priority="130" stopIfTrue="1" operator="equal">
      <formula>0</formula>
    </cfRule>
  </conditionalFormatting>
  <conditionalFormatting sqref="V42:W42">
    <cfRule type="cellIs" dxfId="134" priority="129" stopIfTrue="1" operator="equal">
      <formula>0</formula>
    </cfRule>
  </conditionalFormatting>
  <conditionalFormatting sqref="J43:K43">
    <cfRule type="cellIs" dxfId="133" priority="128" stopIfTrue="1" operator="equal">
      <formula>0</formula>
    </cfRule>
  </conditionalFormatting>
  <conditionalFormatting sqref="L43:M43">
    <cfRule type="cellIs" dxfId="132" priority="127" stopIfTrue="1" operator="equal">
      <formula>0</formula>
    </cfRule>
  </conditionalFormatting>
  <conditionalFormatting sqref="N43:O43">
    <cfRule type="cellIs" dxfId="131" priority="126" stopIfTrue="1" operator="equal">
      <formula>0</formula>
    </cfRule>
  </conditionalFormatting>
  <conditionalFormatting sqref="P43:Q43">
    <cfRule type="cellIs" dxfId="130" priority="125" stopIfTrue="1" operator="equal">
      <formula>0</formula>
    </cfRule>
  </conditionalFormatting>
  <conditionalFormatting sqref="R43:S43">
    <cfRule type="cellIs" dxfId="129" priority="124" stopIfTrue="1" operator="equal">
      <formula>0</formula>
    </cfRule>
  </conditionalFormatting>
  <conditionalFormatting sqref="T43:U43">
    <cfRule type="cellIs" dxfId="128" priority="123" stopIfTrue="1" operator="equal">
      <formula>0</formula>
    </cfRule>
  </conditionalFormatting>
  <conditionalFormatting sqref="V43:W43">
    <cfRule type="cellIs" dxfId="127" priority="122" stopIfTrue="1" operator="equal">
      <formula>0</formula>
    </cfRule>
  </conditionalFormatting>
  <conditionalFormatting sqref="J44:K44">
    <cfRule type="cellIs" dxfId="126" priority="121" stopIfTrue="1" operator="equal">
      <formula>0</formula>
    </cfRule>
  </conditionalFormatting>
  <conditionalFormatting sqref="L44:M44">
    <cfRule type="cellIs" dxfId="125" priority="120" stopIfTrue="1" operator="equal">
      <formula>0</formula>
    </cfRule>
  </conditionalFormatting>
  <conditionalFormatting sqref="N44:O44">
    <cfRule type="cellIs" dxfId="124" priority="119" stopIfTrue="1" operator="equal">
      <formula>0</formula>
    </cfRule>
  </conditionalFormatting>
  <conditionalFormatting sqref="P44:Q44">
    <cfRule type="cellIs" dxfId="123" priority="118" stopIfTrue="1" operator="equal">
      <formula>0</formula>
    </cfRule>
  </conditionalFormatting>
  <conditionalFormatting sqref="R44:S44">
    <cfRule type="cellIs" dxfId="122" priority="117" stopIfTrue="1" operator="equal">
      <formula>0</formula>
    </cfRule>
  </conditionalFormatting>
  <conditionalFormatting sqref="T44:U44">
    <cfRule type="cellIs" dxfId="121" priority="116" stopIfTrue="1" operator="equal">
      <formula>0</formula>
    </cfRule>
  </conditionalFormatting>
  <conditionalFormatting sqref="V44:W44">
    <cfRule type="cellIs" dxfId="120" priority="115" stopIfTrue="1" operator="equal">
      <formula>0</formula>
    </cfRule>
  </conditionalFormatting>
  <conditionalFormatting sqref="J45:K45">
    <cfRule type="cellIs" dxfId="119" priority="114" stopIfTrue="1" operator="equal">
      <formula>0</formula>
    </cfRule>
  </conditionalFormatting>
  <conditionalFormatting sqref="L45:M45">
    <cfRule type="cellIs" dxfId="118" priority="113" stopIfTrue="1" operator="equal">
      <formula>0</formula>
    </cfRule>
  </conditionalFormatting>
  <conditionalFormatting sqref="N45:O45">
    <cfRule type="cellIs" dxfId="117" priority="112" stopIfTrue="1" operator="equal">
      <formula>0</formula>
    </cfRule>
  </conditionalFormatting>
  <conditionalFormatting sqref="P45:Q45">
    <cfRule type="cellIs" dxfId="116" priority="111" stopIfTrue="1" operator="equal">
      <formula>0</formula>
    </cfRule>
  </conditionalFormatting>
  <conditionalFormatting sqref="R45:S45">
    <cfRule type="cellIs" dxfId="115" priority="110" stopIfTrue="1" operator="equal">
      <formula>0</formula>
    </cfRule>
  </conditionalFormatting>
  <conditionalFormatting sqref="T45:U45">
    <cfRule type="cellIs" dxfId="114" priority="109" stopIfTrue="1" operator="equal">
      <formula>0</formula>
    </cfRule>
  </conditionalFormatting>
  <conditionalFormatting sqref="V45:W45">
    <cfRule type="cellIs" dxfId="113" priority="108" stopIfTrue="1" operator="equal">
      <formula>0</formula>
    </cfRule>
  </conditionalFormatting>
  <conditionalFormatting sqref="J46:K46">
    <cfRule type="cellIs" dxfId="112" priority="107" stopIfTrue="1" operator="equal">
      <formula>0</formula>
    </cfRule>
  </conditionalFormatting>
  <conditionalFormatting sqref="L46:M46">
    <cfRule type="cellIs" dxfId="111" priority="106" stopIfTrue="1" operator="equal">
      <formula>0</formula>
    </cfRule>
  </conditionalFormatting>
  <conditionalFormatting sqref="N46:O46">
    <cfRule type="cellIs" dxfId="110" priority="105" stopIfTrue="1" operator="equal">
      <formula>0</formula>
    </cfRule>
  </conditionalFormatting>
  <conditionalFormatting sqref="P46:Q46">
    <cfRule type="cellIs" dxfId="109" priority="104" stopIfTrue="1" operator="equal">
      <formula>0</formula>
    </cfRule>
  </conditionalFormatting>
  <conditionalFormatting sqref="R46:S46">
    <cfRule type="cellIs" dxfId="108" priority="103" stopIfTrue="1" operator="equal">
      <formula>0</formula>
    </cfRule>
  </conditionalFormatting>
  <conditionalFormatting sqref="T46:U46">
    <cfRule type="cellIs" dxfId="107" priority="102" stopIfTrue="1" operator="equal">
      <formula>0</formula>
    </cfRule>
  </conditionalFormatting>
  <conditionalFormatting sqref="V46:W46">
    <cfRule type="cellIs" dxfId="106" priority="101" stopIfTrue="1" operator="equal">
      <formula>0</formula>
    </cfRule>
  </conditionalFormatting>
  <conditionalFormatting sqref="J47:K47">
    <cfRule type="cellIs" dxfId="105" priority="100" stopIfTrue="1" operator="equal">
      <formula>0</formula>
    </cfRule>
  </conditionalFormatting>
  <conditionalFormatting sqref="L47:M47">
    <cfRule type="cellIs" dxfId="104" priority="99" stopIfTrue="1" operator="equal">
      <formula>0</formula>
    </cfRule>
  </conditionalFormatting>
  <conditionalFormatting sqref="R47:S47">
    <cfRule type="cellIs" dxfId="103" priority="98" stopIfTrue="1" operator="equal">
      <formula>0</formula>
    </cfRule>
  </conditionalFormatting>
  <conditionalFormatting sqref="T47:U47">
    <cfRule type="cellIs" dxfId="102" priority="97" stopIfTrue="1" operator="equal">
      <formula>0</formula>
    </cfRule>
  </conditionalFormatting>
  <conditionalFormatting sqref="V47:W47">
    <cfRule type="cellIs" dxfId="101" priority="96" stopIfTrue="1" operator="equal">
      <formula>0</formula>
    </cfRule>
  </conditionalFormatting>
  <conditionalFormatting sqref="D54:L59">
    <cfRule type="expression" dxfId="100" priority="95">
      <formula>$AB$8=0</formula>
    </cfRule>
  </conditionalFormatting>
  <conditionalFormatting sqref="D54:I56">
    <cfRule type="expression" dxfId="99" priority="94">
      <formula>$AB$8=1</formula>
    </cfRule>
  </conditionalFormatting>
  <printOptions horizontalCentered="1"/>
  <pageMargins left="0.7" right="0.7" top="0.39370078740157477" bottom="0.39370078740157477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3" r:id="rId4" name="Button 5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5" name="Button 6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6" name="Button 7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7" name="Button 10">
              <controlPr defaultSize="0" print="0" autoFill="0" autoPict="0" macro="[0]!統合">
                <anchor moveWithCells="1" sizeWithCells="1">
                  <from>
                    <xdr:col>27</xdr:col>
                    <xdr:colOff>495300</xdr:colOff>
                    <xdr:row>16</xdr:row>
                    <xdr:rowOff>146050</xdr:rowOff>
                  </from>
                  <to>
                    <xdr:col>28</xdr:col>
                    <xdr:colOff>298450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8" name="Button 11">
              <controlPr defaultSize="0" print="0" autoFill="0" autoPict="0" macro="[0]!休暇処理">
                <anchor moveWithCells="1" sizeWithCells="1">
                  <from>
                    <xdr:col>27</xdr:col>
                    <xdr:colOff>495300</xdr:colOff>
                    <xdr:row>19</xdr:row>
                    <xdr:rowOff>114300</xdr:rowOff>
                  </from>
                  <to>
                    <xdr:col>28</xdr:col>
                    <xdr:colOff>298450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9" name="Button 12">
              <controlPr defaultSize="0" print="0" autoFill="0" autoPict="0" macro="[0]!化粧直し">
                <anchor moveWithCells="1" sizeWithCells="1">
                  <from>
                    <xdr:col>27</xdr:col>
                    <xdr:colOff>495300</xdr:colOff>
                    <xdr:row>22</xdr:row>
                    <xdr:rowOff>107950</xdr:rowOff>
                  </from>
                  <to>
                    <xdr:col>28</xdr:col>
                    <xdr:colOff>298450</xdr:colOff>
                    <xdr:row>24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0" name="Button 13">
              <controlPr defaultSize="0" print="0" autoFill="0" autoPict="0" macro="[0]!休日初期化">
                <anchor moveWithCells="1" sizeWithCells="1">
                  <from>
                    <xdr:col>27</xdr:col>
                    <xdr:colOff>488950</xdr:colOff>
                    <xdr:row>25</xdr:row>
                    <xdr:rowOff>69850</xdr:rowOff>
                  </from>
                  <to>
                    <xdr:col>28</xdr:col>
                    <xdr:colOff>266700</xdr:colOff>
                    <xdr:row>26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1" name="Button 14">
              <controlPr defaultSize="0" print="0" autoFill="0" autoPict="0" macro="[0]!初期状態">
                <anchor moveWithCells="1" sizeWithCells="1">
                  <from>
                    <xdr:col>27</xdr:col>
                    <xdr:colOff>533400</xdr:colOff>
                    <xdr:row>32</xdr:row>
                    <xdr:rowOff>31750</xdr:rowOff>
                  </from>
                  <to>
                    <xdr:col>28</xdr:col>
                    <xdr:colOff>419100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12" name="Button 50">
              <controlPr defaultSize="0" print="0" autoFill="0" autoPict="0" macro="[0]!ws_add">
                <anchor moveWithCells="1" sizeWithCells="1">
                  <from>
                    <xdr:col>27</xdr:col>
                    <xdr:colOff>488950</xdr:colOff>
                    <xdr:row>35</xdr:row>
                    <xdr:rowOff>69850</xdr:rowOff>
                  </from>
                  <to>
                    <xdr:col>29</xdr:col>
                    <xdr:colOff>603250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13" name="Button 56">
              <controlPr defaultSize="0" print="0" autoFill="0" autoPict="0" macro="[0]!統合">
                <anchor moveWithCells="1" sizeWithCells="1">
                  <from>
                    <xdr:col>26</xdr:col>
                    <xdr:colOff>63500</xdr:colOff>
                    <xdr:row>59</xdr:row>
                    <xdr:rowOff>19050</xdr:rowOff>
                  </from>
                  <to>
                    <xdr:col>26</xdr:col>
                    <xdr:colOff>673100</xdr:colOff>
                    <xdr:row>60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14" name="Button 57">
              <controlPr defaultSize="0" print="0" autoFill="0" autoPict="0" macro="[0]!休暇処理">
                <anchor moveWithCells="1" sizeWithCells="1">
                  <from>
                    <xdr:col>26</xdr:col>
                    <xdr:colOff>63500</xdr:colOff>
                    <xdr:row>61</xdr:row>
                    <xdr:rowOff>19050</xdr:rowOff>
                  </from>
                  <to>
                    <xdr:col>26</xdr:col>
                    <xdr:colOff>673100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15" name="Button 58">
              <controlPr defaultSize="0" print="0" autoFill="0" autoPict="0" macro="[0]!化粧直し">
                <anchor moveWithCells="1" sizeWithCells="1">
                  <from>
                    <xdr:col>26</xdr:col>
                    <xdr:colOff>69850</xdr:colOff>
                    <xdr:row>63</xdr:row>
                    <xdr:rowOff>31750</xdr:rowOff>
                  </from>
                  <to>
                    <xdr:col>26</xdr:col>
                    <xdr:colOff>679450</xdr:colOff>
                    <xdr:row>64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16" name="Button 59">
              <controlPr defaultSize="0" print="0" autoFill="0" autoPict="0" macro="[0]!休日初期化">
                <anchor moveWithCells="1" sizeWithCells="1">
                  <from>
                    <xdr:col>26</xdr:col>
                    <xdr:colOff>146050</xdr:colOff>
                    <xdr:row>65</xdr:row>
                    <xdr:rowOff>69850</xdr:rowOff>
                  </from>
                  <to>
                    <xdr:col>26</xdr:col>
                    <xdr:colOff>641350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17" name="Button 60">
              <controlPr defaultSize="0" print="0" autoFill="0" autoPict="0" macro="[0]!初期状態">
                <anchor moveWithCells="1" sizeWithCells="1">
                  <from>
                    <xdr:col>26</xdr:col>
                    <xdr:colOff>57150</xdr:colOff>
                    <xdr:row>67</xdr:row>
                    <xdr:rowOff>88900</xdr:rowOff>
                  </from>
                  <to>
                    <xdr:col>26</xdr:col>
                    <xdr:colOff>666750</xdr:colOff>
                    <xdr:row>69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stopIfTrue="1" id="{D06CBEE4-00B7-49F0-89AC-CEDA4F4C16F2}">
            <xm:f xml:space="preserve"> OR($X$17=+テーブル!A2,$X$17=+テーブル!A3,$X$17=+テーブル!A9,$X$17=+テーブル!A10,$X$17=+テーブル!A12,$X$17=+テーブル!A13,$X$17=+テーブル!A16)</xm:f>
            <x14:dxf>
              <font>
                <color rgb="FFFF0000"/>
              </font>
            </x14:dxf>
          </x14:cfRule>
          <xm:sqref>D17:E17</xm:sqref>
        </x14:conditionalFormatting>
        <x14:conditionalFormatting xmlns:xm="http://schemas.microsoft.com/office/excel/2006/main">
          <x14:cfRule type="expression" priority="92" stopIfTrue="1" id="{BDF398C8-8DCF-43A3-A378-8BB7897FB03D}">
            <xm:f xml:space="preserve"> OR($X$17=+テーブル!A2,$X$17=+テーブル!A4,$X$17=+テーブル!A9,$X$17=+テーブル!A11,$X$17=+テーブル!A12,$X$17=+テーブル!A14,$X$17=+テーブル!A16)</xm:f>
            <x14:dxf>
              <font>
                <color rgb="FFFF0000"/>
              </font>
            </x14:dxf>
          </x14:cfRule>
          <xm:sqref>F17:G17</xm:sqref>
        </x14:conditionalFormatting>
        <x14:conditionalFormatting xmlns:xm="http://schemas.microsoft.com/office/excel/2006/main">
          <x14:cfRule type="expression" priority="91" stopIfTrue="1" id="{136834D6-AE32-4406-8377-852FC7327736}">
            <xm:f xml:space="preserve"> OR($X$17=+テーブル!A2,$X$17=+テーブル!A3,$X$17=+テーブル!A4,$X$17=+テーブル!A9,$X$17=+テーブル!A10,$X$17=+テーブル!A11,$X$17=+テーブル!A12,$X$17=+テーブル!A13,$X$17=+テーブル!A14,$X$17=+テーブル!A16)</xm:f>
            <x14:dxf>
              <font>
                <color rgb="FFFF0000"/>
              </font>
            </x14:dxf>
          </x14:cfRule>
          <xm:sqref>H17:I17</xm:sqref>
        </x14:conditionalFormatting>
        <x14:conditionalFormatting xmlns:xm="http://schemas.microsoft.com/office/excel/2006/main">
          <x14:cfRule type="expression" priority="90" stopIfTrue="1" id="{218A9B4B-BE37-4F27-8902-3696D2478292}">
            <xm:f xml:space="preserve"> OR($X$18=+テーブル!A2,$X$18=+テーブル!A3,$X$18=+テーブル!A9,$X$18=+テーブル!A10,$X$18=+テーブル!A12,$X$18=+テーブル!A13,$X$18=+テーブル!A16)</xm:f>
            <x14:dxf>
              <font>
                <color rgb="FFFF0000"/>
              </font>
            </x14:dxf>
          </x14:cfRule>
          <xm:sqref>D18:E18</xm:sqref>
        </x14:conditionalFormatting>
        <x14:conditionalFormatting xmlns:xm="http://schemas.microsoft.com/office/excel/2006/main">
          <x14:cfRule type="expression" priority="89" stopIfTrue="1" id="{FB0840D7-AC75-49C3-9431-7400E74B8CC1}">
            <xm:f xml:space="preserve"> OR($X$18=+テーブル!A2,$X$18=+テーブル!A4,$X$18=+テーブル!A9,$X$18=+テーブル!A11,$X$18=+テーブル!A12,$X$18=+テーブル!A14,$X$18=+テーブル!A16)</xm:f>
            <x14:dxf>
              <font>
                <color rgb="FFFF0000"/>
              </font>
            </x14:dxf>
          </x14:cfRule>
          <xm:sqref>F18:G18</xm:sqref>
        </x14:conditionalFormatting>
        <x14:conditionalFormatting xmlns:xm="http://schemas.microsoft.com/office/excel/2006/main">
          <x14:cfRule type="expression" priority="88" stopIfTrue="1" id="{742DCAFB-3AFD-4BCE-8B76-8C495B260328}">
            <xm:f xml:space="preserve"> OR($X$18=+テーブル!A2,$X$18=+テーブル!A3,$X$18=+テーブル!A4,$X$18=+テーブル!A9,$X$18=+テーブル!A10,$X$18=+テーブル!A11,$X$18=+テーブル!A12,$X$18=+テーブル!A13,$X$18=+テーブル!A14,$X$18=+テーブル!A16)</xm:f>
            <x14:dxf>
              <font>
                <color rgb="FFFF0000"/>
              </font>
            </x14:dxf>
          </x14:cfRule>
          <xm:sqref>H18:I18</xm:sqref>
        </x14:conditionalFormatting>
        <x14:conditionalFormatting xmlns:xm="http://schemas.microsoft.com/office/excel/2006/main">
          <x14:cfRule type="expression" priority="87" stopIfTrue="1" id="{0A6DFF64-1D9C-4A33-8163-FAFFE4DA3A03}">
            <xm:f xml:space="preserve"> OR($X$19=+テーブル!A2,$X$19=+テーブル!A3,$X$19=+テーブル!A9,$X$19=+テーブル!A10,$X$19=+テーブル!A12,$X$19=+テーブル!A13,$X$19=+テーブル!A16)</xm:f>
            <x14:dxf>
              <font>
                <color rgb="FFFF0000"/>
              </font>
            </x14:dxf>
          </x14:cfRule>
          <xm:sqref>D19:E19</xm:sqref>
        </x14:conditionalFormatting>
        <x14:conditionalFormatting xmlns:xm="http://schemas.microsoft.com/office/excel/2006/main">
          <x14:cfRule type="expression" priority="86" stopIfTrue="1" id="{9658F557-FF46-4BD2-A9FE-EF952C6BF11D}">
            <xm:f xml:space="preserve"> OR($X$19=+テーブル!A2,$X$19=+テーブル!A4,$X$19=+テーブル!A9,$X$19=+テーブル!A11,$X$19=+テーブル!A12,$X$19=+テーブル!A14,$X$19=+テーブル!A16)</xm:f>
            <x14:dxf>
              <font>
                <color rgb="FFFF0000"/>
              </font>
            </x14:dxf>
          </x14:cfRule>
          <xm:sqref>F19:G19</xm:sqref>
        </x14:conditionalFormatting>
        <x14:conditionalFormatting xmlns:xm="http://schemas.microsoft.com/office/excel/2006/main">
          <x14:cfRule type="expression" priority="85" stopIfTrue="1" id="{18311F29-E6BF-43D4-9BC2-D2B1AA8617A3}">
            <xm:f xml:space="preserve"> OR($X$19=+テーブル!A2,$X$19=+テーブル!A3,$X$19=+テーブル!A4,$X$19=+テーブル!A9,$X$19=+テーブル!A10,$X$19=+テーブル!A11,$X$19=+テーブル!A12,$X$19=+テーブル!A13,$X$19=+テーブル!A14,$X$19=+テーブル!A16)</xm:f>
            <x14:dxf>
              <font>
                <color rgb="FFFF0000"/>
              </font>
            </x14:dxf>
          </x14:cfRule>
          <xm:sqref>H19:I19</xm:sqref>
        </x14:conditionalFormatting>
        <x14:conditionalFormatting xmlns:xm="http://schemas.microsoft.com/office/excel/2006/main">
          <x14:cfRule type="expression" priority="84" stopIfTrue="1" id="{F98F5E39-05A3-4513-808D-815F44D97574}">
            <xm:f xml:space="preserve"> OR($X$20=+テーブル!A2,$X$20=+テーブル!A3,$X$20=+テーブル!A9,$X$20=+テーブル!A10,$X$20=+テーブル!A12,$X$20=+テーブル!A13,$X$20=+テーブル!A16)</xm:f>
            <x14:dxf>
              <font>
                <color rgb="FFFF000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83" stopIfTrue="1" id="{5F1CB19E-9831-4F5E-A685-0680C20933E3}">
            <xm:f xml:space="preserve"> OR($X$20=+テーブル!A2,$X$20=+テーブル!A4,$X$20=+テーブル!A9,$X$20=+テーブル!A11,$X$20=+テーブル!A12,$X$20=+テーブル!A14,$X$20=+テーブル!A16)</xm:f>
            <x14:dxf>
              <font>
                <color rgb="FFFF0000"/>
              </font>
            </x14:dxf>
          </x14:cfRule>
          <xm:sqref>F20:G20</xm:sqref>
        </x14:conditionalFormatting>
        <x14:conditionalFormatting xmlns:xm="http://schemas.microsoft.com/office/excel/2006/main">
          <x14:cfRule type="expression" priority="82" stopIfTrue="1" id="{E2552DFC-DE59-4755-BDED-CDCBF5F96824}">
            <xm:f xml:space="preserve"> OR($X$20=+テーブル!A2,$X$20=+テーブル!A3,$X$20=+テーブル!A4,$X$20=+テーブル!A9,$X$20=+テーブル!A10,$X$20=+テーブル!A11,$X$20=+テーブル!A12,$X$20=+テーブル!A13,$X$20=+テーブル!A14,$X$20=+テーブル!A16)</xm:f>
            <x14:dxf>
              <font>
                <color rgb="FFFF0000"/>
              </font>
            </x14:dxf>
          </x14:cfRule>
          <xm:sqref>H20:I20</xm:sqref>
        </x14:conditionalFormatting>
        <x14:conditionalFormatting xmlns:xm="http://schemas.microsoft.com/office/excel/2006/main">
          <x14:cfRule type="expression" priority="81" stopIfTrue="1" id="{888C77A7-155C-41A4-A0A3-1155DFA1817E}">
            <xm:f xml:space="preserve"> OR($X$21=+テーブル!A2,$X$21=+テーブル!A3,$X$21=+テーブル!A9,$X$21=+テーブル!A10,$X$21=+テーブル!A12,$X$21=+テーブル!A13,$X$21=+テーブル!A16)</xm:f>
            <x14:dxf>
              <font>
                <color rgb="FFFF0000"/>
              </font>
            </x14:dxf>
          </x14:cfRule>
          <xm:sqref>D21:E21</xm:sqref>
        </x14:conditionalFormatting>
        <x14:conditionalFormatting xmlns:xm="http://schemas.microsoft.com/office/excel/2006/main">
          <x14:cfRule type="expression" priority="80" stopIfTrue="1" id="{DA0730C8-898E-438D-AC6F-BA2CAFCFF9A9}">
            <xm:f xml:space="preserve"> OR($X$21=+テーブル!A2,$X$21=+テーブル!A4,$X$21=+テーブル!A9,$X$21=+テーブル!A11,$X$21=+テーブル!A12,$X$21=+テーブル!A14,$X$21=+テーブル!A16)</xm:f>
            <x14:dxf>
              <font>
                <color rgb="FFFF0000"/>
              </font>
            </x14:dxf>
          </x14:cfRule>
          <xm:sqref>F21:G21</xm:sqref>
        </x14:conditionalFormatting>
        <x14:conditionalFormatting xmlns:xm="http://schemas.microsoft.com/office/excel/2006/main">
          <x14:cfRule type="expression" priority="79" stopIfTrue="1" id="{DC50B84D-C7D8-4538-8D9A-0914AAB6E95C}">
            <xm:f xml:space="preserve"> OR($X$21=+テーブル!A2,$X$21=+テーブル!A3,$X$21=+テーブル!A4,$X$21=+テーブル!A9,$X$21=+テーブル!A10,$X$21=+テーブル!A11,$X$21=+テーブル!A12,$X$21=+テーブル!A13,$X$21=+テーブル!A14,$X$21=+テーブル!A16)</xm:f>
            <x14:dxf>
              <font>
                <color rgb="FFFF0000"/>
              </font>
            </x14:dxf>
          </x14:cfRule>
          <xm:sqref>H21:I21</xm:sqref>
        </x14:conditionalFormatting>
        <x14:conditionalFormatting xmlns:xm="http://schemas.microsoft.com/office/excel/2006/main">
          <x14:cfRule type="expression" priority="78" stopIfTrue="1" id="{A0B84DCC-F5A6-4B04-A487-F2483958671F}">
            <xm:f xml:space="preserve"> OR($X$22=+テーブル!A2,$X$22=+テーブル!A3,$X$22=+テーブル!A9,$X$22=+テーブル!A10,$X$22=+テーブル!A12,$X$22=+テーブル!A13,$X$22=+テーブル!A16)</xm:f>
            <x14:dxf>
              <font>
                <color rgb="FFFF0000"/>
              </font>
            </x14:dxf>
          </x14:cfRule>
          <xm:sqref>D22:E22</xm:sqref>
        </x14:conditionalFormatting>
        <x14:conditionalFormatting xmlns:xm="http://schemas.microsoft.com/office/excel/2006/main">
          <x14:cfRule type="expression" priority="77" stopIfTrue="1" id="{2D126F87-FB62-4F56-824E-F90B091C2A27}">
            <xm:f xml:space="preserve"> OR($X$22=+テーブル!A2,$X$22=+テーブル!A4,$X$22=+テーブル!A9,$X$22=+テーブル!A11,$X$22=+テーブル!A12,$X$22=+テーブル!A14,$X$22=+テーブル!A16)</xm:f>
            <x14:dxf>
              <font>
                <color rgb="FFFF0000"/>
              </font>
            </x14:dxf>
          </x14:cfRule>
          <xm:sqref>F22:G22</xm:sqref>
        </x14:conditionalFormatting>
        <x14:conditionalFormatting xmlns:xm="http://schemas.microsoft.com/office/excel/2006/main">
          <x14:cfRule type="expression" priority="76" stopIfTrue="1" id="{B31600A3-0893-415D-A037-2BC21E588D51}">
            <xm:f xml:space="preserve"> OR($X$22=+テーブル!A2,$X$22=+テーブル!A3,$X$22=+テーブル!A4,$X$22=+テーブル!A9,$X$22=+テーブル!A10,$X$22=+テーブル!A11,$X$22=+テーブル!A12,$X$22=+テーブル!A13,$X$22=+テーブル!A14,$X$22=+テーブル!A16)</xm:f>
            <x14:dxf>
              <font>
                <color rgb="FFFF0000"/>
              </font>
            </x14:dxf>
          </x14:cfRule>
          <xm:sqref>H22:I22</xm:sqref>
        </x14:conditionalFormatting>
        <x14:conditionalFormatting xmlns:xm="http://schemas.microsoft.com/office/excel/2006/main">
          <x14:cfRule type="expression" priority="75" stopIfTrue="1" id="{0A76FFCF-46C1-4BBD-8CAD-BAE2D68ABD7D}">
            <xm:f xml:space="preserve"> OR($X$23=+テーブル!A2,$X$23=+テーブル!A3,$X$23=+テーブル!A9,$X$23=+テーブル!A10,$X$23=+テーブル!A12,$X$23=+テーブル!A13,$X$23=+テーブル!A16)</xm:f>
            <x14:dxf>
              <font>
                <color rgb="FFFF0000"/>
              </font>
            </x14:dxf>
          </x14:cfRule>
          <xm:sqref>D23:E23</xm:sqref>
        </x14:conditionalFormatting>
        <x14:conditionalFormatting xmlns:xm="http://schemas.microsoft.com/office/excel/2006/main">
          <x14:cfRule type="expression" priority="74" stopIfTrue="1" id="{CCBFC53B-6C07-4443-B745-471E5587DF88}">
            <xm:f xml:space="preserve"> OR($X$23=+テーブル!A2,$X$23=+テーブル!A4,$X$23=+テーブル!A9,$X$23=+テーブル!A11,$X$23=+テーブル!A12,$X$23=+テーブル!A14,$X$23=+テーブル!A16)</xm:f>
            <x14:dxf>
              <font>
                <color rgb="FFFF0000"/>
              </font>
            </x14:dxf>
          </x14:cfRule>
          <xm:sqref>F23:G23</xm:sqref>
        </x14:conditionalFormatting>
        <x14:conditionalFormatting xmlns:xm="http://schemas.microsoft.com/office/excel/2006/main">
          <x14:cfRule type="expression" priority="73" stopIfTrue="1" id="{B65BC7F6-5301-456D-BEFB-961E827104C9}">
            <xm:f xml:space="preserve"> OR($X$23=+テーブル!A2,$X$23=+テーブル!A3,$X$23=+テーブル!A4,$X$23=+テーブル!A9,$X$23=+テーブル!A10,$X$23=+テーブル!A11,$X$23=+テーブル!A12,$X$23=+テーブル!A13,$X$23=+テーブル!A14,$X$23=+テーブル!A16)</xm:f>
            <x14:dxf>
              <font>
                <color rgb="FFFF0000"/>
              </font>
            </x14:dxf>
          </x14:cfRule>
          <xm:sqref>H23:I23</xm:sqref>
        </x14:conditionalFormatting>
        <x14:conditionalFormatting xmlns:xm="http://schemas.microsoft.com/office/excel/2006/main">
          <x14:cfRule type="expression" priority="72" stopIfTrue="1" id="{3485647D-D4CA-4E0F-A722-A8B97B19E2FC}">
            <xm:f xml:space="preserve"> OR($X$24=+テーブル!A2,$X$24=+テーブル!A3,$X$24=+テーブル!A9,$X$24=+テーブル!A10,$X$24=+テーブル!A12,$X$24=+テーブル!A13,$X$24=+テーブル!A16)</xm:f>
            <x14:dxf>
              <font>
                <color rgb="FFFF0000"/>
              </font>
            </x14:dxf>
          </x14:cfRule>
          <xm:sqref>D24:E24</xm:sqref>
        </x14:conditionalFormatting>
        <x14:conditionalFormatting xmlns:xm="http://schemas.microsoft.com/office/excel/2006/main">
          <x14:cfRule type="expression" priority="71" stopIfTrue="1" id="{A5083297-CF79-4CA7-9344-BB2C5D821F82}">
            <xm:f xml:space="preserve"> OR($X$24=+テーブル!A2,$X$24=+テーブル!A4,$X$24=+テーブル!A9,$X$24=+テーブル!A11,$X$24=+テーブル!A12,$X$24=+テーブル!A14,$X$24=+テーブル!A16)</xm:f>
            <x14:dxf>
              <font>
                <color rgb="FFFF0000"/>
              </font>
            </x14:dxf>
          </x14:cfRule>
          <xm:sqref>F24:G24</xm:sqref>
        </x14:conditionalFormatting>
        <x14:conditionalFormatting xmlns:xm="http://schemas.microsoft.com/office/excel/2006/main">
          <x14:cfRule type="expression" priority="70" stopIfTrue="1" id="{6B86CB26-1A44-4AFA-86D8-8ADC4207B815}">
            <xm:f xml:space="preserve"> OR($X$24=+テーブル!A2,$X$24=+テーブル!A3,$X$24=+テーブル!A4,$X$24=+テーブル!A9,$X$24=+テーブル!A10,$X$24=+テーブル!A11,$X$24=+テーブル!A12,$X$24=+テーブル!A13,$X$24=+テーブル!A14,$X$24=+テーブル!A16)</xm:f>
            <x14:dxf>
              <font>
                <color rgb="FFFF0000"/>
              </font>
            </x14:dxf>
          </x14:cfRule>
          <xm:sqref>H24:I24</xm:sqref>
        </x14:conditionalFormatting>
        <x14:conditionalFormatting xmlns:xm="http://schemas.microsoft.com/office/excel/2006/main">
          <x14:cfRule type="expression" priority="69" stopIfTrue="1" id="{3ED56979-357E-40FF-903E-A597F6560B20}">
            <xm:f xml:space="preserve"> OR($X$25=+テーブル!A2,$X$25=+テーブル!A3,$X$25=+テーブル!A9,$X$25=+テーブル!A10,$X$25=+テーブル!A12,$X$25=+テーブル!A13,$X$25=+テーブル!A16)</xm:f>
            <x14:dxf>
              <font>
                <color rgb="FFFF0000"/>
              </font>
            </x14:dxf>
          </x14:cfRule>
          <xm:sqref>D25:E25</xm:sqref>
        </x14:conditionalFormatting>
        <x14:conditionalFormatting xmlns:xm="http://schemas.microsoft.com/office/excel/2006/main">
          <x14:cfRule type="expression" priority="68" stopIfTrue="1" id="{400E8EF0-046B-47A1-809C-9AAB838B8362}">
            <xm:f xml:space="preserve"> OR($X$25=+テーブル!A2,$X$25=+テーブル!A4,$X$25=+テーブル!A9,$X$25=+テーブル!A11,$X$25=+テーブル!A12,$X$25=+テーブル!A14,$X$25=+テーブル!A16)</xm:f>
            <x14:dxf>
              <font>
                <color rgb="FFFF0000"/>
              </font>
            </x14:dxf>
          </x14:cfRule>
          <xm:sqref>F25:G25</xm:sqref>
        </x14:conditionalFormatting>
        <x14:conditionalFormatting xmlns:xm="http://schemas.microsoft.com/office/excel/2006/main">
          <x14:cfRule type="expression" priority="67" stopIfTrue="1" id="{DB273304-3EC1-4FC6-8D91-A62531637BC5}">
            <xm:f xml:space="preserve"> OR($X$25=+テーブル!A2,$X$25=+テーブル!A3,$X$25=+テーブル!A4,$X$25=+テーブル!A9,$X$25=+テーブル!A10,$X$25=+テーブル!A11,$X$25=+テーブル!A12,$X$25=+テーブル!A13,$X$25=+テーブル!A14,$X$25=+テーブル!A16)</xm:f>
            <x14:dxf>
              <font>
                <color rgb="FFFF0000"/>
              </font>
            </x14:dxf>
          </x14:cfRule>
          <xm:sqref>H25:I25</xm:sqref>
        </x14:conditionalFormatting>
        <x14:conditionalFormatting xmlns:xm="http://schemas.microsoft.com/office/excel/2006/main">
          <x14:cfRule type="expression" priority="66" stopIfTrue="1" id="{CB757292-91A3-4183-A437-02E5494EFF83}">
            <xm:f xml:space="preserve"> OR($X$26=+テーブル!A2,$X$26=+テーブル!A3,$X$26=+テーブル!A9,$X$26=+テーブル!A10,$X$26=+テーブル!A12,$X$26=+テーブル!A13,$X$26=+テーブル!A16)</xm:f>
            <x14:dxf>
              <font>
                <color rgb="FFFF0000"/>
              </font>
            </x14:dxf>
          </x14:cfRule>
          <xm:sqref>D26:E26</xm:sqref>
        </x14:conditionalFormatting>
        <x14:conditionalFormatting xmlns:xm="http://schemas.microsoft.com/office/excel/2006/main">
          <x14:cfRule type="expression" priority="65" stopIfTrue="1" id="{ADFCC642-CEED-4D8B-81CE-FD8D1F70DF3F}">
            <xm:f xml:space="preserve"> OR($X$26=+テーブル!A2,$X$26=+テーブル!A4,$X$26=+テーブル!A9,$X$26=+テーブル!A11,$X$26=+テーブル!A12,$X$26=+テーブル!A14,$X$26=+テーブル!A16)</xm:f>
            <x14:dxf>
              <font>
                <color rgb="FFFF0000"/>
              </font>
            </x14:dxf>
          </x14:cfRule>
          <xm:sqref>F26:G26</xm:sqref>
        </x14:conditionalFormatting>
        <x14:conditionalFormatting xmlns:xm="http://schemas.microsoft.com/office/excel/2006/main">
          <x14:cfRule type="expression" priority="64" stopIfTrue="1" id="{5A59AD9A-A6A1-4F04-A107-DAB2C4E09BA6}">
            <xm:f xml:space="preserve"> OR($X$26=+テーブル!A2,$X$26=+テーブル!A3,$X$26=+テーブル!A4,$X$26=+テーブル!A9,$X$26=+テーブル!A10,$X$26=+テーブル!A11,$X$26=+テーブル!A12,$X$26=+テーブル!A13,$X$26=+テーブル!A14,$X$26=+テーブル!A16)</xm:f>
            <x14:dxf>
              <font>
                <color rgb="FFFF0000"/>
              </font>
            </x14:dxf>
          </x14:cfRule>
          <xm:sqref>H26:I26</xm:sqref>
        </x14:conditionalFormatting>
        <x14:conditionalFormatting xmlns:xm="http://schemas.microsoft.com/office/excel/2006/main">
          <x14:cfRule type="expression" priority="63" stopIfTrue="1" id="{B2B7D8B3-E496-4F93-8EB6-8F2D2380DF08}">
            <xm:f xml:space="preserve"> OR($X$27=+テーブル!A2,$X$27=+テーブル!A3,$X$27=+テーブル!A9,$X$27=+テーブル!A10,$X$27=+テーブル!A12,$X$27=+テーブル!A13,$X$27=+テーブル!A16)</xm:f>
            <x14:dxf>
              <font>
                <color rgb="FFFF0000"/>
              </font>
            </x14:dxf>
          </x14:cfRule>
          <xm:sqref>D27:E27</xm:sqref>
        </x14:conditionalFormatting>
        <x14:conditionalFormatting xmlns:xm="http://schemas.microsoft.com/office/excel/2006/main">
          <x14:cfRule type="expression" priority="62" stopIfTrue="1" id="{EB5F9F7E-EAB7-46A6-A647-427535795B8E}">
            <xm:f xml:space="preserve"> OR($X$27=+テーブル!A2,$X$27=+テーブル!A4,$X$27=+テーブル!A9,$X$27=+テーブル!A11,$X$27=+テーブル!A12,$X$27=+テーブル!A14,$X$27=+テーブル!A16)</xm:f>
            <x14:dxf>
              <font>
                <color rgb="FFFF0000"/>
              </font>
            </x14:dxf>
          </x14:cfRule>
          <xm:sqref>F27:G27</xm:sqref>
        </x14:conditionalFormatting>
        <x14:conditionalFormatting xmlns:xm="http://schemas.microsoft.com/office/excel/2006/main">
          <x14:cfRule type="expression" priority="61" stopIfTrue="1" id="{3986C8AC-B286-4545-A104-830EB31ECCF1}">
            <xm:f xml:space="preserve"> OR($X$27=+テーブル!A2,$X$27=+テーブル!A3,$X$27=+テーブル!A4,$X$27=+テーブル!A9,$X$27=+テーブル!A10,$X$27=+テーブル!A11,$X$27=+テーブル!A12,$X$27=+テーブル!A13,$X$27=+テーブル!A14,$X$27=+テーブル!A16)</xm:f>
            <x14:dxf>
              <font>
                <color rgb="FFFF0000"/>
              </font>
            </x14:dxf>
          </x14:cfRule>
          <xm:sqref>H27:I27</xm:sqref>
        </x14:conditionalFormatting>
        <x14:conditionalFormatting xmlns:xm="http://schemas.microsoft.com/office/excel/2006/main">
          <x14:cfRule type="expression" priority="60" stopIfTrue="1" id="{3A643AA3-E107-4C8A-97A0-C94F6104BDB5}">
            <xm:f xml:space="preserve"> OR($X$28=+テーブル!A2,$X$28=+テーブル!A3,$X$28=+テーブル!A9,$X$28=+テーブル!A10,$X$28=+テーブル!A12,$X$28=+テーブル!A13,$X$28=+テーブル!A16)</xm:f>
            <x14:dxf>
              <font>
                <color rgb="FFFF0000"/>
              </font>
            </x14:dxf>
          </x14:cfRule>
          <xm:sqref>D28:E28</xm:sqref>
        </x14:conditionalFormatting>
        <x14:conditionalFormatting xmlns:xm="http://schemas.microsoft.com/office/excel/2006/main">
          <x14:cfRule type="expression" priority="59" stopIfTrue="1" id="{C5353D99-F58B-452E-9EBF-88B0AB31ACE5}">
            <xm:f xml:space="preserve"> OR($X$28=+テーブル!A2,$X$28=+テーブル!A4,$X$28=+テーブル!A9,$X$28=+テーブル!A11,$X$28=+テーブル!A12,$X$28=+テーブル!A14,$X$28=+テーブル!A16)</xm:f>
            <x14:dxf>
              <font>
                <color rgb="FFFF0000"/>
              </font>
            </x14:dxf>
          </x14:cfRule>
          <xm:sqref>F28:G28</xm:sqref>
        </x14:conditionalFormatting>
        <x14:conditionalFormatting xmlns:xm="http://schemas.microsoft.com/office/excel/2006/main">
          <x14:cfRule type="expression" priority="58" stopIfTrue="1" id="{00A4F35E-39BD-49A3-842F-4D80E8528959}">
            <xm:f xml:space="preserve"> OR($X$28=+テーブル!A2,$X$28=+テーブル!A3,$X$28=+テーブル!A4,$X$28=+テーブル!A9,$X$28=+テーブル!A10,$X$28=+テーブル!A11,$X$28=+テーブル!A12,$X$28=+テーブル!A13,$X$28=+テーブル!A14,$X$28=+テーブル!A16)</xm:f>
            <x14:dxf>
              <font>
                <color rgb="FFFF0000"/>
              </font>
            </x14:dxf>
          </x14:cfRule>
          <xm:sqref>H28:I28</xm:sqref>
        </x14:conditionalFormatting>
        <x14:conditionalFormatting xmlns:xm="http://schemas.microsoft.com/office/excel/2006/main">
          <x14:cfRule type="expression" priority="57" stopIfTrue="1" id="{4D2B61B2-CA35-4708-9DBD-D666B42F888D}">
            <xm:f xml:space="preserve"> OR($X$29=+テーブル!A2,$X$29=+テーブル!A3,$X$29=+テーブル!A9,$X$29=+テーブル!A10,$X$29=+テーブル!A12,$X$29=+テーブル!A13,$X$29=+テーブル!A16)</xm:f>
            <x14:dxf>
              <font>
                <color rgb="FFFF0000"/>
              </font>
            </x14:dxf>
          </x14:cfRule>
          <xm:sqref>D29:E29</xm:sqref>
        </x14:conditionalFormatting>
        <x14:conditionalFormatting xmlns:xm="http://schemas.microsoft.com/office/excel/2006/main">
          <x14:cfRule type="expression" priority="56" stopIfTrue="1" id="{ED5BEFA6-343F-49D4-B338-9CF1CEFA9BB5}">
            <xm:f xml:space="preserve"> OR($X$29=+テーブル!A2,$X$29=+テーブル!A4,$X$29=+テーブル!A9,$X$29=+テーブル!A11,$X$29=+テーブル!A12,$X$29=+テーブル!A14,$X$29=+テーブル!A16)</xm:f>
            <x14:dxf>
              <font>
                <color rgb="FFFF0000"/>
              </font>
            </x14:dxf>
          </x14:cfRule>
          <xm:sqref>F29:G29</xm:sqref>
        </x14:conditionalFormatting>
        <x14:conditionalFormatting xmlns:xm="http://schemas.microsoft.com/office/excel/2006/main">
          <x14:cfRule type="expression" priority="55" stopIfTrue="1" id="{2EF31437-D8FA-43AD-9E1B-6B7B19DB7893}">
            <xm:f xml:space="preserve"> OR($X$29=+テーブル!A2,$X$29=+テーブル!A3,$X$29=+テーブル!A4,$X$29=+テーブル!A9,$X$29=+テーブル!A10,$X$29=+テーブル!A11,$X$29=+テーブル!A12,$X$29=+テーブル!A13,$X$29=+テーブル!A14,$X$29=+テーブル!A16)</xm:f>
            <x14:dxf>
              <font>
                <color rgb="FFFF0000"/>
              </font>
            </x14:dxf>
          </x14:cfRule>
          <xm:sqref>H29:I29</xm:sqref>
        </x14:conditionalFormatting>
        <x14:conditionalFormatting xmlns:xm="http://schemas.microsoft.com/office/excel/2006/main">
          <x14:cfRule type="expression" priority="54" stopIfTrue="1" id="{BE5085E1-AA61-4071-BDD4-FF1EAD7AB284}">
            <xm:f xml:space="preserve"> OR($X$30=+テーブル!A2,$X$30=+テーブル!A3,$X$30=+テーブル!A9,$X$30=+テーブル!A10,$X$30=+テーブル!A12,$X$30=+テーブル!A13,$X$30=+テーブル!A16)</xm:f>
            <x14:dxf>
              <font>
                <color rgb="FFFF0000"/>
              </font>
            </x14:dxf>
          </x14:cfRule>
          <xm:sqref>D30:E30</xm:sqref>
        </x14:conditionalFormatting>
        <x14:conditionalFormatting xmlns:xm="http://schemas.microsoft.com/office/excel/2006/main">
          <x14:cfRule type="expression" priority="53" stopIfTrue="1" id="{02C192A4-995C-49A0-B6BD-C9719FC2A4C7}">
            <xm:f xml:space="preserve"> OR($X$30=+テーブル!A2,$X$30=+テーブル!A4,$X$30=+テーブル!A9,$X$30=+テーブル!A11,$X$30=+テーブル!A12,$X$30=+テーブル!A14,$X$30=+テーブル!A16)</xm:f>
            <x14:dxf>
              <font>
                <color rgb="FFFF0000"/>
              </font>
            </x14:dxf>
          </x14:cfRule>
          <xm:sqref>F30:G30</xm:sqref>
        </x14:conditionalFormatting>
        <x14:conditionalFormatting xmlns:xm="http://schemas.microsoft.com/office/excel/2006/main">
          <x14:cfRule type="expression" priority="52" stopIfTrue="1" id="{D731D9E8-67B6-4DAF-B88D-9A855E2D7FA7}">
            <xm:f xml:space="preserve"> OR($X$30=+テーブル!A2,$X$30=+テーブル!A3,$X$30=+テーブル!A4,$X$30=+テーブル!A9,$X$30=+テーブル!A10,$X$30=+テーブル!A11,$X$30=+テーブル!A12,$X$30=+テーブル!A13,$X$30=+テーブル!A14,$X$30=+テーブル!A16)</xm:f>
            <x14:dxf>
              <font>
                <color rgb="FFFF0000"/>
              </font>
            </x14:dxf>
          </x14:cfRule>
          <xm:sqref>H30:I30</xm:sqref>
        </x14:conditionalFormatting>
        <x14:conditionalFormatting xmlns:xm="http://schemas.microsoft.com/office/excel/2006/main">
          <x14:cfRule type="expression" priority="51" stopIfTrue="1" id="{C1C7A1FF-CCCE-495B-AE64-7F6F516FFF4F}">
            <xm:f xml:space="preserve"> OR($X$31=+テーブル!A2,$X$31=+テーブル!A3,$X$31=+テーブル!A9,$X$31=+テーブル!A10,$X$31=+テーブル!A12,$X$31=+テーブル!A13,$X$31=+テーブル!A16)</xm:f>
            <x14:dxf>
              <font>
                <color rgb="FFFF0000"/>
              </font>
            </x14:dxf>
          </x14:cfRule>
          <xm:sqref>D31:E31</xm:sqref>
        </x14:conditionalFormatting>
        <x14:conditionalFormatting xmlns:xm="http://schemas.microsoft.com/office/excel/2006/main">
          <x14:cfRule type="expression" priority="50" stopIfTrue="1" id="{AA2AD81D-30B8-49DF-B86F-5415F07B3FFC}">
            <xm:f xml:space="preserve"> OR($X$31=+テーブル!A2,$X$31=+テーブル!A4,$X$31=+テーブル!A9,$X$31=+テーブル!A11,$X$31=+テーブル!A12,$X$31=+テーブル!A14,$X$31=+テーブル!A16)</xm:f>
            <x14:dxf>
              <font>
                <color rgb="FFFF0000"/>
              </font>
            </x14:dxf>
          </x14:cfRule>
          <xm:sqref>F31:G31</xm:sqref>
        </x14:conditionalFormatting>
        <x14:conditionalFormatting xmlns:xm="http://schemas.microsoft.com/office/excel/2006/main">
          <x14:cfRule type="expression" priority="49" stopIfTrue="1" id="{89E01C69-37E0-40DF-A9E5-6A09BF0649F9}">
            <xm:f xml:space="preserve"> OR($X$31=+テーブル!A2,$X$31=+テーブル!A3,$X$31=+テーブル!A4,$X$31=+テーブル!A9,$X$31=+テーブル!A10,$X$31=+テーブル!A11,$X$31=+テーブル!A12,$X$31=+テーブル!A13,$X$31=+テーブル!A14,$X$31=+テーブル!A16)</xm:f>
            <x14:dxf>
              <font>
                <color rgb="FFFF0000"/>
              </font>
            </x14:dxf>
          </x14:cfRule>
          <xm:sqref>H31:I31</xm:sqref>
        </x14:conditionalFormatting>
        <x14:conditionalFormatting xmlns:xm="http://schemas.microsoft.com/office/excel/2006/main">
          <x14:cfRule type="expression" priority="48" stopIfTrue="1" id="{406C66F6-3D50-41BB-A75E-DF51C992B64F}">
            <xm:f xml:space="preserve"> OR($X$32=+テーブル!A2,$X$32=+テーブル!A3,$X$32=+テーブル!A9,$X$32=+テーブル!A10,$X$32=+テーブル!A12,$X$32=+テーブル!A13,$X$32=+テーブル!A16)</xm:f>
            <x14:dxf>
              <font>
                <color rgb="FFFF0000"/>
              </font>
            </x14:dxf>
          </x14:cfRule>
          <xm:sqref>D32:E32</xm:sqref>
        </x14:conditionalFormatting>
        <x14:conditionalFormatting xmlns:xm="http://schemas.microsoft.com/office/excel/2006/main">
          <x14:cfRule type="expression" priority="47" stopIfTrue="1" id="{C2E26225-3296-4430-AE2E-A5C3F1C18B5C}">
            <xm:f xml:space="preserve"> OR($X$32=+テーブル!A2,$X$32=+テーブル!A4,$X$32=+テーブル!A9,$X$32=+テーブル!A11,$X$32=+テーブル!A12,$X$32=+テーブル!A14,$X$32=+テーブル!A16)</xm:f>
            <x14:dxf>
              <font>
                <color rgb="FFFF0000"/>
              </font>
            </x14:dxf>
          </x14:cfRule>
          <xm:sqref>F32:G32</xm:sqref>
        </x14:conditionalFormatting>
        <x14:conditionalFormatting xmlns:xm="http://schemas.microsoft.com/office/excel/2006/main">
          <x14:cfRule type="expression" priority="46" stopIfTrue="1" id="{300D6726-F5E7-4E9C-A3B9-8AB2322B0EFD}">
            <xm:f xml:space="preserve"> OR($X$32=+テーブル!A2,$X$32=+テーブル!A3,$X$32=+テーブル!A4,$X$32=+テーブル!A9,$X$32=+テーブル!A10,$X$32=+テーブル!A11,$X$32=+テーブル!A12,$X$32=+テーブル!A13,$X$32=+テーブル!A14,$X$32=+テーブル!A16)</xm:f>
            <x14:dxf>
              <font>
                <color rgb="FFFF0000"/>
              </font>
            </x14:dxf>
          </x14:cfRule>
          <xm:sqref>H32:I32</xm:sqref>
        </x14:conditionalFormatting>
        <x14:conditionalFormatting xmlns:xm="http://schemas.microsoft.com/office/excel/2006/main">
          <x14:cfRule type="expression" priority="45" stopIfTrue="1" id="{75CF3D37-E250-4797-8761-71F0D326FCAC}">
            <xm:f xml:space="preserve"> OR($X$33=+テーブル!A2,$X$33=+テーブル!A3,$X$33=+テーブル!A9,$X$33=+テーブル!A10,$X$33=+テーブル!A12,$X$33=+テーブル!A13,$X$33=+テーブル!A16)</xm:f>
            <x14:dxf>
              <font>
                <color rgb="FFFF0000"/>
              </font>
            </x14:dxf>
          </x14:cfRule>
          <xm:sqref>D33:E33</xm:sqref>
        </x14:conditionalFormatting>
        <x14:conditionalFormatting xmlns:xm="http://schemas.microsoft.com/office/excel/2006/main">
          <x14:cfRule type="expression" priority="44" stopIfTrue="1" id="{7273C17B-1351-4589-9855-60C5D7C7CDC3}">
            <xm:f xml:space="preserve"> OR($X$33=+テーブル!A2,$X$33=+テーブル!A4,$X$33=+テーブル!A9,$X$33=+テーブル!A11,$X$33=+テーブル!A12,$X$33=+テーブル!A14,$X$33=+テーブル!A16)</xm:f>
            <x14:dxf>
              <font>
                <color rgb="FFFF0000"/>
              </font>
            </x14:dxf>
          </x14:cfRule>
          <xm:sqref>F33:G33</xm:sqref>
        </x14:conditionalFormatting>
        <x14:conditionalFormatting xmlns:xm="http://schemas.microsoft.com/office/excel/2006/main">
          <x14:cfRule type="expression" priority="43" stopIfTrue="1" id="{BA1ABEED-EBD2-4085-A310-030CD71521BF}">
            <xm:f xml:space="preserve"> OR($X$33=+テーブル!A2,$X$33=+テーブル!A3,$X$33=+テーブル!A4,$X$33=+テーブル!A9,$X$33=+テーブル!A10,$X$33=+テーブル!A11,$X$33=+テーブル!A12,$X$33=+テーブル!A13,$X$33=+テーブル!A14,$X$33=+テーブル!A16)</xm:f>
            <x14:dxf>
              <font>
                <color rgb="FFFF0000"/>
              </font>
            </x14:dxf>
          </x14:cfRule>
          <xm:sqref>H33:I33</xm:sqref>
        </x14:conditionalFormatting>
        <x14:conditionalFormatting xmlns:xm="http://schemas.microsoft.com/office/excel/2006/main">
          <x14:cfRule type="expression" priority="42" stopIfTrue="1" id="{500255B5-5AB3-474B-B3F2-9C09E4F78F47}">
            <xm:f xml:space="preserve"> OR($X$34=+テーブル!A2,$X$34=+テーブル!A3,$X$34=+テーブル!A9,$X$34=+テーブル!A10,$X$34=+テーブル!A12,$X$34=+テーブル!A13,$X$34=+テーブル!A16)</xm:f>
            <x14:dxf>
              <font>
                <color rgb="FFFF0000"/>
              </font>
            </x14:dxf>
          </x14:cfRule>
          <xm:sqref>D34:E34</xm:sqref>
        </x14:conditionalFormatting>
        <x14:conditionalFormatting xmlns:xm="http://schemas.microsoft.com/office/excel/2006/main">
          <x14:cfRule type="expression" priority="41" stopIfTrue="1" id="{D7FF3B68-F4EC-4734-9B7A-E0CC21FC2260}">
            <xm:f xml:space="preserve"> OR($X$34=+テーブル!A2,$X$34=+テーブル!A4,$X$34=+テーブル!A9,$X$34=+テーブル!A11,$X$34=+テーブル!A12,$X$34=+テーブル!A14,$X$34=+テーブル!A16)</xm:f>
            <x14:dxf>
              <font>
                <color rgb="FFFF0000"/>
              </font>
            </x14:dxf>
          </x14:cfRule>
          <xm:sqref>F34:G34</xm:sqref>
        </x14:conditionalFormatting>
        <x14:conditionalFormatting xmlns:xm="http://schemas.microsoft.com/office/excel/2006/main">
          <x14:cfRule type="expression" priority="40" stopIfTrue="1" id="{BC6C3EA1-4ECB-468F-B14D-9B2955B4713F}">
            <xm:f xml:space="preserve"> OR($X$34=+テーブル!A2,$X$34=+テーブル!A3,$X$34=+テーブル!A4,$X$34=+テーブル!A9,$X$34=+テーブル!A10,$X$34=+テーブル!A11,$X$34=+テーブル!A12,$X$34=+テーブル!A13,$X$34=+テーブル!A14,$X$34=+テーブル!A16)</xm:f>
            <x14:dxf>
              <font>
                <color rgb="FFFF0000"/>
              </font>
            </x14:dxf>
          </x14:cfRule>
          <xm:sqref>H34:I34</xm:sqref>
        </x14:conditionalFormatting>
        <x14:conditionalFormatting xmlns:xm="http://schemas.microsoft.com/office/excel/2006/main">
          <x14:cfRule type="expression" priority="39" stopIfTrue="1" id="{79C40AC5-48A4-4D3A-936B-5E58F7FA73AC}">
            <xm:f xml:space="preserve"> OR($X$35=+テーブル!A2,$X$35=+テーブル!A3,$X$35=+テーブル!A9,$X$35=+テーブル!A10,$X$35=+テーブル!A12,$X$35=+テーブル!A13,$X$35=+テーブル!A16)</xm:f>
            <x14:dxf>
              <font>
                <color rgb="FFFF0000"/>
              </font>
            </x14:dxf>
          </x14:cfRule>
          <xm:sqref>D35:E35</xm:sqref>
        </x14:conditionalFormatting>
        <x14:conditionalFormatting xmlns:xm="http://schemas.microsoft.com/office/excel/2006/main">
          <x14:cfRule type="expression" priority="38" stopIfTrue="1" id="{144FB50F-7815-401D-838C-506FAB50A324}">
            <xm:f xml:space="preserve"> OR($X$35=+テーブル!A2,$X$35=+テーブル!A4,$X$35=+テーブル!A9,$X$35=+テーブル!A11,$X$35=+テーブル!A12,$X$35=+テーブル!A14,$X$35=+テーブル!A16)</xm:f>
            <x14:dxf>
              <font>
                <color rgb="FFFF0000"/>
              </font>
            </x14:dxf>
          </x14:cfRule>
          <xm:sqref>F35:G35</xm:sqref>
        </x14:conditionalFormatting>
        <x14:conditionalFormatting xmlns:xm="http://schemas.microsoft.com/office/excel/2006/main">
          <x14:cfRule type="expression" priority="37" stopIfTrue="1" id="{3B6FEB35-5529-4CF1-A089-503FB795A098}">
            <xm:f xml:space="preserve"> OR($X$35=+テーブル!A2,$X$35=+テーブル!A3,$X$35=+テーブル!A4,$X$35=+テーブル!A9,$X$35=+テーブル!A10,$X$35=+テーブル!A11,$X$35=+テーブル!A12,$X$35=+テーブル!A13,$X$35=+テーブル!A14,$X$35=+テーブル!A16)</xm:f>
            <x14:dxf>
              <font>
                <color rgb="FFFF0000"/>
              </font>
            </x14:dxf>
          </x14:cfRule>
          <xm:sqref>H35:I35</xm:sqref>
        </x14:conditionalFormatting>
        <x14:conditionalFormatting xmlns:xm="http://schemas.microsoft.com/office/excel/2006/main">
          <x14:cfRule type="expression" priority="36" stopIfTrue="1" id="{9E559963-C22E-4576-8F14-C090998D5B38}">
            <xm:f xml:space="preserve"> OR($X$36=+テーブル!A2,$X$36=+テーブル!A3,$X$36=+テーブル!A9,$X$36=+テーブル!A10,$X$36=+テーブル!A12,$X$36=+テーブル!A13,$X$36=+テーブル!A16)</xm:f>
            <x14:dxf>
              <font>
                <color rgb="FFFF0000"/>
              </font>
            </x14:dxf>
          </x14:cfRule>
          <xm:sqref>D36:E36</xm:sqref>
        </x14:conditionalFormatting>
        <x14:conditionalFormatting xmlns:xm="http://schemas.microsoft.com/office/excel/2006/main">
          <x14:cfRule type="expression" priority="35" stopIfTrue="1" id="{D741008B-8CD8-4CDB-B490-D93BAF53E0E7}">
            <xm:f xml:space="preserve"> OR($X$36=+テーブル!A2,$X$36=+テーブル!A4,$X$36=+テーブル!A9,$X$36=+テーブル!A11,$X$36=+テーブル!A12,$X$36=+テーブル!A14,$X$36=+テーブル!A16)</xm:f>
            <x14:dxf>
              <font>
                <color rgb="FFFF0000"/>
              </font>
            </x14:dxf>
          </x14:cfRule>
          <xm:sqref>F36:G36</xm:sqref>
        </x14:conditionalFormatting>
        <x14:conditionalFormatting xmlns:xm="http://schemas.microsoft.com/office/excel/2006/main">
          <x14:cfRule type="expression" priority="34" stopIfTrue="1" id="{533B5021-D0A1-4E28-B771-0A8DDA86511D}">
            <xm:f xml:space="preserve"> OR($X$36=+テーブル!A2,$X$36=+テーブル!A3,$X$36=+テーブル!A4,$X$36=+テーブル!A9,$X$36=+テーブル!A10,$X$36=+テーブル!A11,$X$36=+テーブル!A12,$X$36=+テーブル!A13,$X$36=+テーブル!A14,$X$36=+テーブル!A16)</xm:f>
            <x14:dxf>
              <font>
                <color rgb="FFFF0000"/>
              </font>
            </x14:dxf>
          </x14:cfRule>
          <xm:sqref>H36:I36</xm:sqref>
        </x14:conditionalFormatting>
        <x14:conditionalFormatting xmlns:xm="http://schemas.microsoft.com/office/excel/2006/main">
          <x14:cfRule type="expression" priority="33" stopIfTrue="1" id="{083FD287-3D57-48FF-8C24-4BFF61E2D16F}">
            <xm:f xml:space="preserve"> OR($X$37=+テーブル!A2,$X$37=+テーブル!A3,$X$37=+テーブル!A9,$X$37=+テーブル!A10,$X$37=+テーブル!A12,$X$37=+テーブル!A13,$X$37=+テーブル!A16)</xm:f>
            <x14:dxf>
              <font>
                <color rgb="FFFF0000"/>
              </font>
            </x14:dxf>
          </x14:cfRule>
          <xm:sqref>D37:E37</xm:sqref>
        </x14:conditionalFormatting>
        <x14:conditionalFormatting xmlns:xm="http://schemas.microsoft.com/office/excel/2006/main">
          <x14:cfRule type="expression" priority="32" stopIfTrue="1" id="{D2DD0C4B-C80C-42B1-A933-917D333FD6A6}">
            <xm:f xml:space="preserve"> OR($X$37=+テーブル!A2,$X$37=+テーブル!A4,$X$37=+テーブル!A9,$X$37=+テーブル!A11,$X$37=+テーブル!A12,$X$37=+テーブル!A14,$X$37=+テーブル!A16)</xm:f>
            <x14:dxf>
              <font>
                <color rgb="FFFF0000"/>
              </font>
            </x14:dxf>
          </x14:cfRule>
          <xm:sqref>F37:G37</xm:sqref>
        </x14:conditionalFormatting>
        <x14:conditionalFormatting xmlns:xm="http://schemas.microsoft.com/office/excel/2006/main">
          <x14:cfRule type="expression" priority="31" stopIfTrue="1" id="{A8548F7F-E5A8-49B3-9B52-093593577410}">
            <xm:f xml:space="preserve"> OR($X$37=+テーブル!A2,$X$37=+テーブル!A3,$X$37=+テーブル!A4,$X$37=+テーブル!A9,$X$37=+テーブル!A10,$X$37=+テーブル!A11,$X$37=+テーブル!A12,$X$37=+テーブル!A13,$X$37=+テーブル!A14,$X$37=+テーブル!A16)</xm:f>
            <x14:dxf>
              <font>
                <color rgb="FFFF0000"/>
              </font>
            </x14:dxf>
          </x14:cfRule>
          <xm:sqref>H37:I37</xm:sqref>
        </x14:conditionalFormatting>
        <x14:conditionalFormatting xmlns:xm="http://schemas.microsoft.com/office/excel/2006/main">
          <x14:cfRule type="expression" priority="30" stopIfTrue="1" id="{3A092BFF-6C0D-483C-9A99-B11B485AF5D8}">
            <xm:f xml:space="preserve"> OR($X$38=+テーブル!A2,$X$38=+テーブル!A3,$X$38=+テーブル!A9,$X$38=+テーブル!A10,$X$38=+テーブル!A12,$X$38=+テーブル!A13,$X$38=+テーブル!A16)</xm:f>
            <x14:dxf>
              <font>
                <color rgb="FFFF0000"/>
              </font>
            </x14:dxf>
          </x14:cfRule>
          <xm:sqref>D38:E38</xm:sqref>
        </x14:conditionalFormatting>
        <x14:conditionalFormatting xmlns:xm="http://schemas.microsoft.com/office/excel/2006/main">
          <x14:cfRule type="expression" priority="29" stopIfTrue="1" id="{5D6BEFF5-9F25-417C-83FB-C92B3A5F201A}">
            <xm:f xml:space="preserve"> OR($X$38=+テーブル!A2,$X$38=+テーブル!A4,$X$38=+テーブル!A9,$X$38=+テーブル!A11,$X$38=+テーブル!A12,$X$38=+テーブル!A14,$X$38=+テーブル!A16)</xm:f>
            <x14:dxf>
              <font>
                <color rgb="FFFF0000"/>
              </font>
            </x14:dxf>
          </x14:cfRule>
          <xm:sqref>F38:G38</xm:sqref>
        </x14:conditionalFormatting>
        <x14:conditionalFormatting xmlns:xm="http://schemas.microsoft.com/office/excel/2006/main">
          <x14:cfRule type="expression" priority="28" stopIfTrue="1" id="{96313E7C-BF73-40AD-8B54-7F548FFCB361}">
            <xm:f xml:space="preserve"> OR($X$38=+テーブル!A2,$X$38=+テーブル!A3,$X$38=+テーブル!A4,$X$38=+テーブル!A9,$X$38=+テーブル!A10,$X$38=+テーブル!A11,$X$38=+テーブル!A12,$X$38=+テーブル!A13,$X$38=+テーブル!A14,$X$38=+テーブル!A16)</xm:f>
            <x14:dxf>
              <font>
                <color rgb="FFFF0000"/>
              </font>
            </x14:dxf>
          </x14:cfRule>
          <xm:sqref>H38:I38</xm:sqref>
        </x14:conditionalFormatting>
        <x14:conditionalFormatting xmlns:xm="http://schemas.microsoft.com/office/excel/2006/main">
          <x14:cfRule type="expression" priority="27" stopIfTrue="1" id="{B2D01F06-23AD-4983-8340-3819E1AE8381}">
            <xm:f xml:space="preserve"> OR($X$39=+テーブル!A2,$X$39=+テーブル!A3,$X$39=+テーブル!A9,$X$39=+テーブル!A10,$X$39=+テーブル!A12,$X$39=+テーブル!A13,$X$39=+テーブル!A16)</xm:f>
            <x14:dxf>
              <font>
                <color rgb="FFFF0000"/>
              </font>
            </x14:dxf>
          </x14:cfRule>
          <xm:sqref>D39:E39</xm:sqref>
        </x14:conditionalFormatting>
        <x14:conditionalFormatting xmlns:xm="http://schemas.microsoft.com/office/excel/2006/main">
          <x14:cfRule type="expression" priority="26" stopIfTrue="1" id="{114BF6B9-4296-4707-AC11-34DC96585765}">
            <xm:f xml:space="preserve"> OR($X$39=+テーブル!A2,$X$39=+テーブル!A4,$X$39=+テーブル!A9,$X$39=+テーブル!A11,$X$39=+テーブル!A12,$X$39=+テーブル!A14,$X$39=+テーブル!A16)</xm:f>
            <x14:dxf>
              <font>
                <color rgb="FFFF0000"/>
              </font>
            </x14:dxf>
          </x14:cfRule>
          <xm:sqref>F39:G39</xm:sqref>
        </x14:conditionalFormatting>
        <x14:conditionalFormatting xmlns:xm="http://schemas.microsoft.com/office/excel/2006/main">
          <x14:cfRule type="expression" priority="25" stopIfTrue="1" id="{6B9505DF-4C7E-430C-A42B-0A164069EFE3}">
            <xm:f xml:space="preserve"> OR($X$39=+テーブル!A2,$X$39=+テーブル!A3,$X$39=+テーブル!A4,$X$39=+テーブル!A9,$X$39=+テーブル!A10,$X$39=+テーブル!A11,$X$39=+テーブル!A12,$X$39=+テーブル!A13,$X$39=+テーブル!A14,$X$39=+テーブル!A16)</xm:f>
            <x14:dxf>
              <font>
                <color rgb="FFFF0000"/>
              </font>
            </x14:dxf>
          </x14:cfRule>
          <xm:sqref>H39:I39</xm:sqref>
        </x14:conditionalFormatting>
        <x14:conditionalFormatting xmlns:xm="http://schemas.microsoft.com/office/excel/2006/main">
          <x14:cfRule type="expression" priority="24" stopIfTrue="1" id="{F1D0414A-043F-41BA-A3A8-CF1FEDEF3939}">
            <xm:f xml:space="preserve"> OR($X$40=+テーブル!A2,$X$40=+テーブル!A3,$X$40=+テーブル!A9,$X$40=+テーブル!A10,$X$40=+テーブル!A12,$X$40=+テーブル!A13,$X$40=+テーブル!A16)</xm:f>
            <x14:dxf>
              <font>
                <color rgb="FFFF0000"/>
              </font>
            </x14:dxf>
          </x14:cfRule>
          <xm:sqref>D40:E40</xm:sqref>
        </x14:conditionalFormatting>
        <x14:conditionalFormatting xmlns:xm="http://schemas.microsoft.com/office/excel/2006/main">
          <x14:cfRule type="expression" priority="23" stopIfTrue="1" id="{8ABB698B-7D93-49DD-A0A2-20DBA655F5EC}">
            <xm:f xml:space="preserve"> OR($X$40=+テーブル!A2,$X$40=+テーブル!A4,$X$40=+テーブル!A9,$X$40=+テーブル!A11,$X$40=+テーブル!A12,$X$40=+テーブル!A14,$X$40=+テーブル!A16)</xm:f>
            <x14:dxf>
              <font>
                <color rgb="FFFF0000"/>
              </font>
            </x14:dxf>
          </x14:cfRule>
          <xm:sqref>F40:G40</xm:sqref>
        </x14:conditionalFormatting>
        <x14:conditionalFormatting xmlns:xm="http://schemas.microsoft.com/office/excel/2006/main">
          <x14:cfRule type="expression" priority="22" stopIfTrue="1" id="{16A152F1-6FE5-4F0E-9969-1771F8CFD984}">
            <xm:f xml:space="preserve"> OR($X$40=+テーブル!A2,$X$40=+テーブル!A3,$X$40=+テーブル!A4,$X$40=+テーブル!A9,$X$40=+テーブル!A10,$X$40=+テーブル!A11,$X$40=+テーブル!A12,$X$40=+テーブル!A13,$X$40=+テーブル!A14,$X$40=+テーブル!A16)</xm:f>
            <x14:dxf>
              <font>
                <color rgb="FFFF0000"/>
              </font>
            </x14:dxf>
          </x14:cfRule>
          <xm:sqref>H40:I40</xm:sqref>
        </x14:conditionalFormatting>
        <x14:conditionalFormatting xmlns:xm="http://schemas.microsoft.com/office/excel/2006/main">
          <x14:cfRule type="expression" priority="21" stopIfTrue="1" id="{4C33C18C-DD09-4757-BB2E-9D4F5E79F742}">
            <xm:f xml:space="preserve"> OR($X$41=+テーブル!A2,$X$41=+テーブル!A3,$X$41=+テーブル!A9,$X$41=+テーブル!A10,$X$41=+テーブル!A12,$X$41=+テーブル!A13,$X$41=+テーブル!A16)</xm:f>
            <x14:dxf>
              <font>
                <color rgb="FFFF0000"/>
              </font>
            </x14:dxf>
          </x14:cfRule>
          <xm:sqref>D41:E41</xm:sqref>
        </x14:conditionalFormatting>
        <x14:conditionalFormatting xmlns:xm="http://schemas.microsoft.com/office/excel/2006/main">
          <x14:cfRule type="expression" priority="20" stopIfTrue="1" id="{B0E0F99E-4B9D-4E6A-A737-3CA6A7EC4461}">
            <xm:f xml:space="preserve"> OR($X$41=+テーブル!A2,$X$41=+テーブル!A4,$X$41=+テーブル!A9,$X$41=+テーブル!A11,$X$41=+テーブル!A12,$X$41=+テーブル!A14,$X$41=+テーブル!A16)</xm:f>
            <x14:dxf>
              <font>
                <color rgb="FFFF0000"/>
              </font>
            </x14:dxf>
          </x14:cfRule>
          <xm:sqref>F41:G41</xm:sqref>
        </x14:conditionalFormatting>
        <x14:conditionalFormatting xmlns:xm="http://schemas.microsoft.com/office/excel/2006/main">
          <x14:cfRule type="expression" priority="19" stopIfTrue="1" id="{11D4418A-FA1E-4F44-88C5-5F438187DE73}">
            <xm:f xml:space="preserve"> OR($X$41=+テーブル!A2,$X$41=+テーブル!A3,$X$41=+テーブル!A4,$X$41=+テーブル!A9,$X$41=+テーブル!A10,$X$41=+テーブル!A11,$X$41=+テーブル!A12,$X$41=+テーブル!A13,$X$41=+テーブル!A14,$X$41=+テーブル!A16)</xm:f>
            <x14:dxf>
              <font>
                <color rgb="FFFF0000"/>
              </font>
            </x14:dxf>
          </x14:cfRule>
          <xm:sqref>H41:I41</xm:sqref>
        </x14:conditionalFormatting>
        <x14:conditionalFormatting xmlns:xm="http://schemas.microsoft.com/office/excel/2006/main">
          <x14:cfRule type="expression" priority="18" stopIfTrue="1" id="{4F078909-B719-4417-8AE5-42501C36186C}">
            <xm:f xml:space="preserve"> OR($X$42=+テーブル!A2,$X$42=+テーブル!A3,$X$42=+テーブル!A9,$X$42=+テーブル!A10,$X$42=+テーブル!A12,$X$42=+テーブル!A13,$X$42=+テーブル!A16)</xm:f>
            <x14:dxf>
              <font>
                <color rgb="FFFF0000"/>
              </font>
            </x14:dxf>
          </x14:cfRule>
          <xm:sqref>D42:E42</xm:sqref>
        </x14:conditionalFormatting>
        <x14:conditionalFormatting xmlns:xm="http://schemas.microsoft.com/office/excel/2006/main">
          <x14:cfRule type="expression" priority="17" stopIfTrue="1" id="{BC483056-CEFE-496E-AF51-381A6CC38B16}">
            <xm:f xml:space="preserve"> OR($X$42=+テーブル!A2,$X$42=+テーブル!A4,$X$42=+テーブル!A9,$X$42=+テーブル!A11,$X$42=+テーブル!A12,$X$42=+テーブル!A14,$X$42=+テーブル!A16)</xm:f>
            <x14:dxf>
              <font>
                <color rgb="FFFF0000"/>
              </font>
            </x14:dxf>
          </x14:cfRule>
          <xm:sqref>F42:G42</xm:sqref>
        </x14:conditionalFormatting>
        <x14:conditionalFormatting xmlns:xm="http://schemas.microsoft.com/office/excel/2006/main">
          <x14:cfRule type="expression" priority="16" stopIfTrue="1" id="{E847A28E-52C4-436A-8CC5-65B14D94696F}">
            <xm:f xml:space="preserve"> OR($X$42=+テーブル!A2,$X$42=+テーブル!A3,$X$42=+テーブル!A4,$X$42=+テーブル!A9,$X$42=+テーブル!A10,$X$42=+テーブル!A11,$X$42=+テーブル!A12,$X$42=+テーブル!A13,$X$42=+テーブル!A14,$X$42=+テーブル!A16)</xm:f>
            <x14:dxf>
              <font>
                <color rgb="FFFF0000"/>
              </font>
            </x14:dxf>
          </x14:cfRule>
          <xm:sqref>H42:I42</xm:sqref>
        </x14:conditionalFormatting>
        <x14:conditionalFormatting xmlns:xm="http://schemas.microsoft.com/office/excel/2006/main">
          <x14:cfRule type="expression" priority="15" stopIfTrue="1" id="{2F11EA79-9151-467E-BC1C-243A1866FE07}">
            <xm:f xml:space="preserve"> OR($X$43=+テーブル!A2,$X$43=+テーブル!A3,$X$43=+テーブル!A9,$X$43=+テーブル!A10,$X$43=+テーブル!A12,$X$43=+テーブル!A13,$X$43=+テーブル!A16)</xm:f>
            <x14:dxf>
              <font>
                <color rgb="FFFF0000"/>
              </font>
            </x14:dxf>
          </x14:cfRule>
          <xm:sqref>D43:E43</xm:sqref>
        </x14:conditionalFormatting>
        <x14:conditionalFormatting xmlns:xm="http://schemas.microsoft.com/office/excel/2006/main">
          <x14:cfRule type="expression" priority="14" stopIfTrue="1" id="{B6565830-7331-4125-88CE-39D3A41158A3}">
            <xm:f xml:space="preserve"> OR($X$43=+テーブル!A2,$X$43=+テーブル!A4,$X$43=+テーブル!A9,$X$43=+テーブル!A11,$X$43=+テーブル!A12,$X$43=+テーブル!A14,$X$43=+テーブル!A16)</xm:f>
            <x14:dxf>
              <font>
                <color rgb="FFFF0000"/>
              </font>
            </x14:dxf>
          </x14:cfRule>
          <xm:sqref>F43:G43</xm:sqref>
        </x14:conditionalFormatting>
        <x14:conditionalFormatting xmlns:xm="http://schemas.microsoft.com/office/excel/2006/main">
          <x14:cfRule type="expression" priority="13" stopIfTrue="1" id="{424B1347-60A3-400E-842E-CBC7A2879948}">
            <xm:f xml:space="preserve"> OR($X$43=+テーブル!A2,$X$43=+テーブル!A3,$X$43=+テーブル!A4,$X$43=+テーブル!A9,$X$43=+テーブル!A10,$X$43=+テーブル!A11,$X$43=+テーブル!A12,$X$43=+テーブル!A13,$X$43=+テーブル!A14,$X$43=+テーブル!A16)</xm:f>
            <x14:dxf>
              <font>
                <color rgb="FFFF0000"/>
              </font>
            </x14:dxf>
          </x14:cfRule>
          <xm:sqref>H43:I43</xm:sqref>
        </x14:conditionalFormatting>
        <x14:conditionalFormatting xmlns:xm="http://schemas.microsoft.com/office/excel/2006/main">
          <x14:cfRule type="expression" priority="12" stopIfTrue="1" id="{3D271E12-9C68-416F-B622-AF552826EF79}">
            <xm:f xml:space="preserve"> OR($X$44=+テーブル!A2,$X$44=+テーブル!A3,$X$44=+テーブル!A9,$X$44=+テーブル!A10,$X$44=+テーブル!A12,$X$44=+テーブル!A13,$X$44=+テーブル!A16)</xm:f>
            <x14:dxf>
              <font>
                <color rgb="FFFF0000"/>
              </font>
            </x14:dxf>
          </x14:cfRule>
          <xm:sqref>D44:E44</xm:sqref>
        </x14:conditionalFormatting>
        <x14:conditionalFormatting xmlns:xm="http://schemas.microsoft.com/office/excel/2006/main">
          <x14:cfRule type="expression" priority="11" stopIfTrue="1" id="{41363B14-55BD-41F4-8916-34EF11104A4B}">
            <xm:f xml:space="preserve"> OR($X$44=+テーブル!A2,$X$44=+テーブル!A4,$X$44=+テーブル!A9,$X$44=+テーブル!A11,$X$44=+テーブル!A12,$X$44=+テーブル!A14,$X$44=+テーブル!A16)</xm:f>
            <x14:dxf>
              <font>
                <color rgb="FFFF0000"/>
              </font>
            </x14:dxf>
          </x14:cfRule>
          <xm:sqref>F44:G44</xm:sqref>
        </x14:conditionalFormatting>
        <x14:conditionalFormatting xmlns:xm="http://schemas.microsoft.com/office/excel/2006/main">
          <x14:cfRule type="expression" priority="10" stopIfTrue="1" id="{C48C997C-148B-415B-A860-A096DE337212}">
            <xm:f xml:space="preserve"> OR($X$44=+テーブル!A2,$X$44=+テーブル!A3,$X$44=+テーブル!A4,$X$44=+テーブル!A9,$X$44=+テーブル!A10,$X$44=+テーブル!A11,$X$44=+テーブル!A12,$X$44=+テーブル!A13,$X$44=+テーブル!A14,$X$44=+テーブル!A16)</xm:f>
            <x14:dxf>
              <font>
                <color rgb="FFFF0000"/>
              </font>
            </x14:dxf>
          </x14:cfRule>
          <xm:sqref>H44:I44</xm:sqref>
        </x14:conditionalFormatting>
        <x14:conditionalFormatting xmlns:xm="http://schemas.microsoft.com/office/excel/2006/main">
          <x14:cfRule type="expression" priority="9" stopIfTrue="1" id="{198DC791-729C-4AA3-909E-AE036FC9AA1C}">
            <xm:f xml:space="preserve"> OR($X$45=+テーブル!A2,$X$45=+テーブル!A3,$X$45=+テーブル!A9,$X$45=+テーブル!A10,$X$45=+テーブル!A12,$X$45=+テーブル!A13,$X$45=+テーブル!A16)</xm:f>
            <x14:dxf>
              <font>
                <color rgb="FFFF0000"/>
              </font>
            </x14:dxf>
          </x14:cfRule>
          <xm:sqref>D45:E45</xm:sqref>
        </x14:conditionalFormatting>
        <x14:conditionalFormatting xmlns:xm="http://schemas.microsoft.com/office/excel/2006/main">
          <x14:cfRule type="expression" priority="8" stopIfTrue="1" id="{B247F3CC-3430-4261-8AE3-0C00FC6CBC0A}">
            <xm:f xml:space="preserve"> OR($X$45=+テーブル!A2,$X$45=+テーブル!A4,$X$45=+テーブル!A9,$X$45=+テーブル!A11,$X$45=+テーブル!A12,$X$45=+テーブル!A14,$X$45=+テーブル!A16)</xm:f>
            <x14:dxf>
              <font>
                <color rgb="FFFF0000"/>
              </font>
            </x14:dxf>
          </x14:cfRule>
          <xm:sqref>F45:G45</xm:sqref>
        </x14:conditionalFormatting>
        <x14:conditionalFormatting xmlns:xm="http://schemas.microsoft.com/office/excel/2006/main">
          <x14:cfRule type="expression" priority="7" stopIfTrue="1" id="{E0538E1A-00AA-4E86-9411-BDF9B35166E9}">
            <xm:f xml:space="preserve"> OR($X$45=+テーブル!A2,$X$45=+テーブル!A3,$X$45=+テーブル!A4,$X$45=+テーブル!A9,$X$45=+テーブル!A10,$X$45=+テーブル!A11,$X$45=+テーブル!A12,$X$45=+テーブル!A13,$X$45=+テーブル!A14,$X$45=+テーブル!A16)</xm:f>
            <x14:dxf>
              <font>
                <color rgb="FFFF0000"/>
              </font>
            </x14:dxf>
          </x14:cfRule>
          <xm:sqref>H45:I45</xm:sqref>
        </x14:conditionalFormatting>
        <x14:conditionalFormatting xmlns:xm="http://schemas.microsoft.com/office/excel/2006/main">
          <x14:cfRule type="expression" priority="6" stopIfTrue="1" id="{75B76D3E-625D-4D1B-9AFB-4FC811FA442D}">
            <xm:f xml:space="preserve"> OR($X$46=+テーブル!A2,$X$46=+テーブル!A3,$X$46=+テーブル!A9,$X$46=+テーブル!A10,$X$46=+テーブル!A12,$X$46=+テーブル!A13,$X$46=+テーブル!A16)</xm:f>
            <x14:dxf>
              <font>
                <color rgb="FFFF0000"/>
              </font>
            </x14:dxf>
          </x14:cfRule>
          <xm:sqref>D46:E46</xm:sqref>
        </x14:conditionalFormatting>
        <x14:conditionalFormatting xmlns:xm="http://schemas.microsoft.com/office/excel/2006/main">
          <x14:cfRule type="expression" priority="5" stopIfTrue="1" id="{6D0173CA-A206-48C0-82F9-F2C918916CA4}">
            <xm:f xml:space="preserve"> OR($X$46=+テーブル!A2,$X$46=+テーブル!A4,$X$46=+テーブル!A9,$X$46=+テーブル!A11,$X$46=+テーブル!A12,$X$46=+テーブル!A14,$X$46=+テーブル!A16)</xm:f>
            <x14:dxf>
              <font>
                <color rgb="FFFF0000"/>
              </font>
            </x14:dxf>
          </x14:cfRule>
          <xm:sqref>F46:G46</xm:sqref>
        </x14:conditionalFormatting>
        <x14:conditionalFormatting xmlns:xm="http://schemas.microsoft.com/office/excel/2006/main">
          <x14:cfRule type="expression" priority="4" stopIfTrue="1" id="{BC28587F-956B-4B8E-A5E5-7A4D85DFDC85}">
            <xm:f xml:space="preserve"> OR($X$46=+テーブル!A2,$X$46=+テーブル!A3,$X$46=+テーブル!A4,$X$46=+テーブル!A9,$X$46=+テーブル!A10,$X$46=+テーブル!A11,$X$46=+テーブル!A12,$X$46=+テーブル!A13,$X$46=+テーブル!A14,$X$46=+テーブル!A16)</xm:f>
            <x14:dxf>
              <font>
                <color rgb="FFFF0000"/>
              </font>
            </x14:dxf>
          </x14:cfRule>
          <xm:sqref>H46:I46</xm:sqref>
        </x14:conditionalFormatting>
        <x14:conditionalFormatting xmlns:xm="http://schemas.microsoft.com/office/excel/2006/main">
          <x14:cfRule type="expression" priority="3" stopIfTrue="1" id="{49266782-5F1F-4209-A0A5-158FBA24AF7E}">
            <xm:f xml:space="preserve"> OR($X$47=+テーブル!A2,$X$47=+テーブル!A3,$X$47=+テーブル!A9,$X$47=+テーブル!A10,$X$47=+テーブル!A12,$X$47=+テーブル!A13,$X$47=+テーブル!A16)</xm:f>
            <x14:dxf>
              <font>
                <color rgb="FFFF0000"/>
              </font>
            </x14:dxf>
          </x14:cfRule>
          <xm:sqref>D47:E47</xm:sqref>
        </x14:conditionalFormatting>
        <x14:conditionalFormatting xmlns:xm="http://schemas.microsoft.com/office/excel/2006/main">
          <x14:cfRule type="expression" priority="2" stopIfTrue="1" id="{EB6D39C9-B6C3-4BDE-89CA-637E8BAE893D}">
            <xm:f xml:space="preserve"> OR($X$47=+テーブル!A2,$X$47=+テーブル!A4,$X$47=+テーブル!A9,$X$47=+テーブル!A11,$X$47=+テーブル!A12,$X$47=+テーブル!A14,$X$47=+テーブル!A16)</xm:f>
            <x14:dxf>
              <font>
                <color rgb="FFFF0000"/>
              </font>
            </x14:dxf>
          </x14:cfRule>
          <xm:sqref>F47:G47</xm:sqref>
        </x14:conditionalFormatting>
        <x14:conditionalFormatting xmlns:xm="http://schemas.microsoft.com/office/excel/2006/main">
          <x14:cfRule type="expression" priority="1" stopIfTrue="1" id="{8BD20A34-ABC9-48E8-8453-F4D1F9D5B3A8}">
            <xm:f xml:space="preserve"> OR($X$47=+テーブル!A2,$X$47=+テーブル!A3,$X$47=+テーブル!A4,$X$47=+テーブル!A9,$X$47=+テーブル!A10,$X$47=+テーブル!A11,$X$47=+テーブル!A12,$X$47=+テーブル!A13,$X$47=+テーブル!A14,$X$47=+テーブル!A16)</xm:f>
            <x14:dxf>
              <font>
                <color rgb="FFFF0000"/>
              </font>
            </x14:dxf>
          </x14:cfRule>
          <xm:sqref>H47:I47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CD182C-913E-4F90-A781-181392F191E2}">
          <x14:formula1>
            <xm:f>テーブル!$Q:$Q</xm:f>
          </x14:formula1>
          <xm:sqref>D62:I64</xm:sqref>
        </x14:dataValidation>
        <x14:dataValidation type="list" allowBlank="1" showInputMessage="1" showErrorMessage="1" xr:uid="{D57336DE-9EE2-4331-9178-465A03621553}">
          <x14:formula1>
            <xm:f>テーブル!$P:$P</xm:f>
          </x14:formula1>
          <xm:sqref>D61:I61</xm:sqref>
        </x14:dataValidation>
        <x14:dataValidation type="list" allowBlank="1" showInputMessage="1" showErrorMessage="1" xr:uid="{970139BA-276C-4392-828C-BA7880434C1E}">
          <x14:formula1>
            <xm:f>テーブル!$B:$B</xm:f>
          </x14:formula1>
          <xm:sqref>P57:W57</xm:sqref>
        </x14:dataValidation>
        <x14:dataValidation type="list" allowBlank="1" showInputMessage="1" showErrorMessage="1" xr:uid="{1FA853AE-EBE8-4E9D-B4AE-65D335B23038}">
          <x14:formula1>
            <xm:f>テーブル!$A:$A</xm:f>
          </x14:formula1>
          <xm:sqref>X17:Z47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25"/>
  <sheetViews>
    <sheetView workbookViewId="0">
      <selection activeCell="I36" sqref="I36"/>
    </sheetView>
  </sheetViews>
  <sheetFormatPr defaultColWidth="9" defaultRowHeight="13" x14ac:dyDescent="0.2"/>
  <cols>
    <col min="1" max="1" width="15.36328125" customWidth="1"/>
    <col min="2" max="2" width="11.6328125" bestFit="1" customWidth="1"/>
  </cols>
  <sheetData>
    <row r="1" spans="1:9" x14ac:dyDescent="0.2">
      <c r="A1" t="s">
        <v>268</v>
      </c>
      <c r="G1" t="s">
        <v>104</v>
      </c>
    </row>
    <row r="2" spans="1:9" x14ac:dyDescent="0.2">
      <c r="A2" t="s">
        <v>68</v>
      </c>
      <c r="B2" s="48">
        <v>46023</v>
      </c>
      <c r="G2" s="56" t="s">
        <v>105</v>
      </c>
      <c r="H2" s="56">
        <v>0.375</v>
      </c>
      <c r="I2" s="56"/>
    </row>
    <row r="3" spans="1:9" x14ac:dyDescent="0.2">
      <c r="A3" t="s">
        <v>186</v>
      </c>
      <c r="B3" s="48">
        <v>46024</v>
      </c>
      <c r="G3" s="56"/>
      <c r="H3" s="56"/>
      <c r="I3" s="56"/>
    </row>
    <row r="4" spans="1:9" x14ac:dyDescent="0.2">
      <c r="A4" t="s">
        <v>186</v>
      </c>
      <c r="B4" s="48">
        <v>46025</v>
      </c>
      <c r="G4" s="56" t="s">
        <v>105</v>
      </c>
      <c r="H4" s="56">
        <v>0.72916666666666663</v>
      </c>
    </row>
    <row r="5" spans="1:9" ht="12.65" customHeight="1" x14ac:dyDescent="0.2">
      <c r="A5" t="s">
        <v>69</v>
      </c>
      <c r="B5" s="48">
        <v>46034</v>
      </c>
      <c r="G5" s="56" t="s">
        <v>105</v>
      </c>
      <c r="H5" s="56">
        <v>4.1666666666666664E-2</v>
      </c>
    </row>
    <row r="6" spans="1:9" x14ac:dyDescent="0.2">
      <c r="A6" t="s">
        <v>70</v>
      </c>
      <c r="B6" s="48">
        <v>46064</v>
      </c>
    </row>
    <row r="7" spans="1:9" x14ac:dyDescent="0.2">
      <c r="A7" t="s">
        <v>212</v>
      </c>
      <c r="B7" s="48">
        <v>46065</v>
      </c>
    </row>
    <row r="8" spans="1:9" x14ac:dyDescent="0.2">
      <c r="A8" t="s">
        <v>82</v>
      </c>
      <c r="B8" s="48">
        <v>46076</v>
      </c>
    </row>
    <row r="9" spans="1:9" x14ac:dyDescent="0.2">
      <c r="B9" s="48"/>
    </row>
    <row r="10" spans="1:9" ht="13.5" thickBot="1" x14ac:dyDescent="0.25">
      <c r="A10" s="49" t="s">
        <v>71</v>
      </c>
      <c r="B10" s="50">
        <v>46101</v>
      </c>
    </row>
    <row r="11" spans="1:9" ht="13.5" thickTop="1" x14ac:dyDescent="0.2">
      <c r="A11" t="s">
        <v>72</v>
      </c>
      <c r="B11" s="48">
        <v>45776</v>
      </c>
    </row>
    <row r="12" spans="1:9" x14ac:dyDescent="0.2">
      <c r="A12" t="s">
        <v>73</v>
      </c>
      <c r="B12" s="48">
        <v>45780</v>
      </c>
    </row>
    <row r="13" spans="1:9" x14ac:dyDescent="0.2">
      <c r="A13" t="s">
        <v>74</v>
      </c>
      <c r="B13" s="48">
        <v>45781</v>
      </c>
    </row>
    <row r="14" spans="1:9" x14ac:dyDescent="0.2">
      <c r="A14" t="s">
        <v>75</v>
      </c>
      <c r="B14" s="48">
        <v>45782</v>
      </c>
    </row>
    <row r="15" spans="1:9" x14ac:dyDescent="0.2">
      <c r="A15" t="s">
        <v>212</v>
      </c>
      <c r="B15" s="48">
        <v>45783</v>
      </c>
    </row>
    <row r="16" spans="1:9" x14ac:dyDescent="0.2">
      <c r="A16" t="s">
        <v>76</v>
      </c>
      <c r="B16" s="48">
        <v>45859</v>
      </c>
    </row>
    <row r="17" spans="1:2" x14ac:dyDescent="0.2">
      <c r="A17" t="s">
        <v>77</v>
      </c>
      <c r="B17" s="48">
        <v>45880</v>
      </c>
    </row>
    <row r="18" spans="1:2" x14ac:dyDescent="0.2">
      <c r="A18" t="s">
        <v>78</v>
      </c>
      <c r="B18" s="48">
        <v>45915</v>
      </c>
    </row>
    <row r="19" spans="1:2" x14ac:dyDescent="0.2">
      <c r="A19" t="s">
        <v>79</v>
      </c>
      <c r="B19" s="48">
        <v>45923</v>
      </c>
    </row>
    <row r="20" spans="1:2" x14ac:dyDescent="0.2">
      <c r="A20" t="s">
        <v>168</v>
      </c>
      <c r="B20" s="48">
        <v>45943</v>
      </c>
    </row>
    <row r="21" spans="1:2" x14ac:dyDescent="0.2">
      <c r="A21" t="s">
        <v>80</v>
      </c>
      <c r="B21" s="48">
        <v>45964</v>
      </c>
    </row>
    <row r="22" spans="1:2" x14ac:dyDescent="0.2">
      <c r="A22" t="s">
        <v>212</v>
      </c>
      <c r="B22" s="48">
        <v>45965</v>
      </c>
    </row>
    <row r="23" spans="1:2" x14ac:dyDescent="0.2">
      <c r="A23" t="s">
        <v>81</v>
      </c>
      <c r="B23" s="48">
        <v>45985</v>
      </c>
    </row>
    <row r="24" spans="1:2" x14ac:dyDescent="0.2">
      <c r="A24" t="s">
        <v>83</v>
      </c>
      <c r="B24" s="51">
        <v>46021</v>
      </c>
    </row>
    <row r="25" spans="1:2" x14ac:dyDescent="0.2">
      <c r="A25" t="s">
        <v>83</v>
      </c>
      <c r="B25" s="51">
        <v>46022</v>
      </c>
    </row>
  </sheetData>
  <phoneticPr fontId="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F8F09-93C4-494C-B7E0-9623A1A74D24}">
  <sheetPr codeName="Sheet1"/>
  <dimension ref="A1:X20"/>
  <sheetViews>
    <sheetView workbookViewId="0">
      <selection activeCell="I16" sqref="I16"/>
    </sheetView>
  </sheetViews>
  <sheetFormatPr defaultRowHeight="16.5" x14ac:dyDescent="0.55000000000000004"/>
  <cols>
    <col min="1" max="1" width="15" style="58" customWidth="1"/>
    <col min="2" max="2" width="20.08984375" style="58" bestFit="1" customWidth="1"/>
    <col min="3" max="10" width="9.6328125" style="58" customWidth="1"/>
    <col min="13" max="13" width="11.6328125" bestFit="1" customWidth="1"/>
    <col min="14" max="14" width="16.08984375" bestFit="1" customWidth="1"/>
    <col min="15" max="15" width="15.90625" bestFit="1" customWidth="1"/>
    <col min="24" max="24" width="14.7265625" bestFit="1" customWidth="1"/>
  </cols>
  <sheetData>
    <row r="1" spans="1:24" x14ac:dyDescent="0.55000000000000004">
      <c r="N1" t="s">
        <v>159</v>
      </c>
      <c r="T1" t="s">
        <v>226</v>
      </c>
      <c r="V1" s="106" t="s">
        <v>262</v>
      </c>
      <c r="W1" s="106" t="s">
        <v>242</v>
      </c>
      <c r="X1" s="106" t="s">
        <v>162</v>
      </c>
    </row>
    <row r="2" spans="1:24" x14ac:dyDescent="0.55000000000000004">
      <c r="A2" s="58" t="s">
        <v>111</v>
      </c>
      <c r="B2" s="58" t="s">
        <v>128</v>
      </c>
      <c r="C2" s="58">
        <v>1</v>
      </c>
      <c r="D2" s="58">
        <v>0</v>
      </c>
      <c r="E2" s="58">
        <v>1.25</v>
      </c>
      <c r="J2" s="58">
        <v>150</v>
      </c>
      <c r="K2" s="58">
        <v>150</v>
      </c>
      <c r="L2" t="s">
        <v>84</v>
      </c>
      <c r="M2" s="51">
        <v>46113</v>
      </c>
      <c r="N2" s="89" t="s">
        <v>202</v>
      </c>
      <c r="O2" s="90">
        <v>2000002</v>
      </c>
      <c r="P2" t="s">
        <v>261</v>
      </c>
      <c r="Q2" t="s">
        <v>152</v>
      </c>
      <c r="U2" t="s">
        <v>263</v>
      </c>
      <c r="V2" s="107">
        <v>0</v>
      </c>
      <c r="W2" s="107">
        <v>0</v>
      </c>
      <c r="X2" s="91"/>
    </row>
    <row r="3" spans="1:24" x14ac:dyDescent="0.55000000000000004">
      <c r="A3" s="58" t="s">
        <v>113</v>
      </c>
      <c r="B3" s="58" t="s">
        <v>129</v>
      </c>
      <c r="C3" s="58">
        <f>185</f>
        <v>185</v>
      </c>
      <c r="D3" s="58">
        <v>20</v>
      </c>
      <c r="E3" s="58">
        <v>1.25</v>
      </c>
      <c r="F3" s="58" t="s">
        <v>143</v>
      </c>
      <c r="G3" s="58" t="s">
        <v>145</v>
      </c>
      <c r="H3" s="58">
        <v>140</v>
      </c>
      <c r="I3" s="58">
        <v>185</v>
      </c>
      <c r="J3" s="58">
        <v>160</v>
      </c>
      <c r="K3" s="58">
        <v>160</v>
      </c>
      <c r="L3" t="s">
        <v>85</v>
      </c>
      <c r="M3" s="51">
        <v>46143</v>
      </c>
      <c r="N3" s="89" t="s">
        <v>164</v>
      </c>
      <c r="O3" s="90" t="s">
        <v>264</v>
      </c>
      <c r="P3" t="s">
        <v>184</v>
      </c>
      <c r="Q3" t="s">
        <v>275</v>
      </c>
      <c r="U3" t="s">
        <v>85</v>
      </c>
      <c r="V3" s="107">
        <v>0</v>
      </c>
      <c r="W3" s="107">
        <v>0</v>
      </c>
      <c r="X3" s="91"/>
    </row>
    <row r="4" spans="1:24" x14ac:dyDescent="0.55000000000000004">
      <c r="A4" s="58" t="s">
        <v>112</v>
      </c>
      <c r="B4" s="58" t="s">
        <v>130</v>
      </c>
      <c r="C4" s="58">
        <v>210</v>
      </c>
      <c r="D4" s="58">
        <v>40</v>
      </c>
      <c r="E4" s="58">
        <v>1.25</v>
      </c>
      <c r="F4" s="58" t="s">
        <v>144</v>
      </c>
      <c r="G4" s="58" t="s">
        <v>146</v>
      </c>
      <c r="H4" s="58">
        <v>120</v>
      </c>
      <c r="I4" s="58">
        <v>210</v>
      </c>
      <c r="J4" s="58">
        <v>160</v>
      </c>
      <c r="K4" s="58">
        <v>160</v>
      </c>
      <c r="L4" t="s">
        <v>86</v>
      </c>
      <c r="M4" s="51">
        <v>46174</v>
      </c>
      <c r="N4" s="89" t="s">
        <v>1</v>
      </c>
      <c r="O4" s="90" t="s">
        <v>265</v>
      </c>
      <c r="P4" t="s">
        <v>217</v>
      </c>
      <c r="Q4" s="96" t="s">
        <v>180</v>
      </c>
      <c r="U4" t="s">
        <v>86</v>
      </c>
      <c r="V4" s="107">
        <v>0</v>
      </c>
      <c r="W4" s="107">
        <v>0</v>
      </c>
      <c r="X4" s="91"/>
    </row>
    <row r="5" spans="1:24" x14ac:dyDescent="0.55000000000000004">
      <c r="A5" s="58" t="s">
        <v>110</v>
      </c>
      <c r="B5" s="58" t="s">
        <v>131</v>
      </c>
      <c r="C5" s="58">
        <v>180</v>
      </c>
      <c r="D5" s="58">
        <v>80</v>
      </c>
      <c r="E5" s="58">
        <v>0.25</v>
      </c>
      <c r="F5" s="58" t="s">
        <v>143</v>
      </c>
      <c r="G5" s="58" t="s">
        <v>147</v>
      </c>
      <c r="H5" s="58">
        <v>140</v>
      </c>
      <c r="I5" s="58">
        <v>160</v>
      </c>
      <c r="J5" s="58">
        <v>180</v>
      </c>
      <c r="K5" s="58">
        <v>160</v>
      </c>
      <c r="L5" t="s">
        <v>87</v>
      </c>
      <c r="M5" s="51">
        <v>46204</v>
      </c>
      <c r="N5" s="89" t="s">
        <v>3</v>
      </c>
      <c r="O5" s="90" t="s">
        <v>266</v>
      </c>
      <c r="P5" t="s">
        <v>149</v>
      </c>
      <c r="Q5" t="s">
        <v>181</v>
      </c>
      <c r="U5" t="s">
        <v>87</v>
      </c>
      <c r="V5" s="107">
        <v>0</v>
      </c>
      <c r="W5" s="107">
        <v>0</v>
      </c>
      <c r="X5" s="91"/>
    </row>
    <row r="6" spans="1:24" x14ac:dyDescent="0.55000000000000004">
      <c r="A6" s="58" t="s">
        <v>109</v>
      </c>
      <c r="B6" s="58" t="s">
        <v>132</v>
      </c>
      <c r="C6" s="58">
        <v>96</v>
      </c>
      <c r="D6" s="58">
        <v>6</v>
      </c>
      <c r="E6" s="58">
        <v>1</v>
      </c>
      <c r="F6" s="58" t="s">
        <v>154</v>
      </c>
      <c r="G6" s="58" t="s">
        <v>155</v>
      </c>
      <c r="H6" s="58">
        <v>90</v>
      </c>
      <c r="I6" s="58">
        <v>96</v>
      </c>
      <c r="J6" s="58">
        <v>90</v>
      </c>
      <c r="K6" s="58">
        <v>90</v>
      </c>
      <c r="L6" t="s">
        <v>88</v>
      </c>
      <c r="M6" s="51">
        <v>46235</v>
      </c>
      <c r="N6" s="89" t="s">
        <v>162</v>
      </c>
      <c r="O6" s="91" t="s">
        <v>267</v>
      </c>
      <c r="Q6" s="65" t="s">
        <v>151</v>
      </c>
      <c r="U6" t="s">
        <v>88</v>
      </c>
      <c r="V6" s="107">
        <v>0</v>
      </c>
      <c r="W6" s="107">
        <v>0</v>
      </c>
      <c r="X6" s="91"/>
    </row>
    <row r="7" spans="1:24" x14ac:dyDescent="0.55000000000000004">
      <c r="A7" s="58" t="s">
        <v>114</v>
      </c>
      <c r="B7" s="58" t="s">
        <v>133</v>
      </c>
      <c r="C7" s="58">
        <v>90</v>
      </c>
      <c r="D7" s="58">
        <v>0</v>
      </c>
      <c r="F7" s="58" t="s">
        <v>154</v>
      </c>
      <c r="G7" s="58" t="s">
        <v>156</v>
      </c>
      <c r="H7" s="58">
        <v>90</v>
      </c>
      <c r="I7" s="58">
        <v>96</v>
      </c>
      <c r="J7" s="58">
        <v>90</v>
      </c>
      <c r="K7" s="58">
        <v>90</v>
      </c>
      <c r="L7" t="s">
        <v>89</v>
      </c>
      <c r="M7" s="51">
        <v>46266</v>
      </c>
      <c r="N7" s="89" t="s">
        <v>163</v>
      </c>
      <c r="O7" s="90">
        <v>250000</v>
      </c>
      <c r="Q7" s="65" t="s">
        <v>150</v>
      </c>
      <c r="U7" t="s">
        <v>89</v>
      </c>
      <c r="V7" s="107">
        <v>0</v>
      </c>
      <c r="W7" s="107">
        <v>0</v>
      </c>
      <c r="X7" s="91"/>
    </row>
    <row r="8" spans="1:24" x14ac:dyDescent="0.55000000000000004">
      <c r="A8" s="58" t="s">
        <v>115</v>
      </c>
      <c r="B8" s="58" t="s">
        <v>205</v>
      </c>
      <c r="C8" s="58">
        <v>150</v>
      </c>
      <c r="D8" s="58">
        <v>0</v>
      </c>
      <c r="E8" s="58">
        <v>1</v>
      </c>
      <c r="F8" s="58" t="s">
        <v>206</v>
      </c>
      <c r="G8" s="58" t="s">
        <v>206</v>
      </c>
      <c r="H8" s="58">
        <v>150</v>
      </c>
      <c r="I8" s="58">
        <v>150</v>
      </c>
      <c r="J8" s="58">
        <v>150</v>
      </c>
      <c r="K8" s="58">
        <v>150</v>
      </c>
      <c r="L8" t="s">
        <v>90</v>
      </c>
      <c r="M8" s="51">
        <v>46296</v>
      </c>
      <c r="N8" s="89" t="s">
        <v>161</v>
      </c>
      <c r="O8" s="90"/>
      <c r="Q8" s="97" t="s">
        <v>219</v>
      </c>
      <c r="U8" t="s">
        <v>90</v>
      </c>
      <c r="V8" s="107">
        <v>0</v>
      </c>
      <c r="W8" s="107">
        <v>0</v>
      </c>
      <c r="X8" s="91"/>
    </row>
    <row r="9" spans="1:24" x14ac:dyDescent="0.55000000000000004">
      <c r="A9" s="58" t="s">
        <v>116</v>
      </c>
      <c r="B9" s="58" t="s">
        <v>216</v>
      </c>
      <c r="C9" s="58">
        <v>150</v>
      </c>
      <c r="D9" s="58">
        <v>0</v>
      </c>
      <c r="J9" s="58">
        <v>1</v>
      </c>
      <c r="K9">
        <v>1</v>
      </c>
      <c r="L9" t="s">
        <v>91</v>
      </c>
      <c r="M9" s="51">
        <v>46327</v>
      </c>
      <c r="N9" s="89" t="s">
        <v>165</v>
      </c>
      <c r="O9" s="103">
        <v>45748</v>
      </c>
      <c r="U9" t="s">
        <v>91</v>
      </c>
      <c r="V9" s="107">
        <v>0</v>
      </c>
      <c r="W9" s="107">
        <v>0</v>
      </c>
      <c r="X9" s="91"/>
    </row>
    <row r="10" spans="1:24" x14ac:dyDescent="0.55000000000000004">
      <c r="A10" s="58" t="s">
        <v>117</v>
      </c>
      <c r="L10" t="s">
        <v>92</v>
      </c>
      <c r="M10" s="51">
        <v>46357</v>
      </c>
      <c r="N10" s="89" t="s">
        <v>160</v>
      </c>
      <c r="O10" s="90">
        <v>35</v>
      </c>
      <c r="U10" t="s">
        <v>92</v>
      </c>
      <c r="V10" s="107">
        <v>0</v>
      </c>
      <c r="W10" s="107">
        <v>0</v>
      </c>
      <c r="X10" s="91"/>
    </row>
    <row r="11" spans="1:24" x14ac:dyDescent="0.55000000000000004">
      <c r="A11" s="58" t="s">
        <v>118</v>
      </c>
      <c r="L11" t="s">
        <v>93</v>
      </c>
      <c r="M11" s="51">
        <v>46388</v>
      </c>
      <c r="N11" s="105" t="s">
        <v>257</v>
      </c>
      <c r="O11" s="104"/>
      <c r="U11" t="s">
        <v>93</v>
      </c>
      <c r="V11" s="107">
        <v>0</v>
      </c>
      <c r="W11" s="107">
        <v>0</v>
      </c>
      <c r="X11" s="91"/>
    </row>
    <row r="12" spans="1:24" x14ac:dyDescent="0.55000000000000004">
      <c r="A12" s="58" t="s">
        <v>119</v>
      </c>
      <c r="L12" t="s">
        <v>94</v>
      </c>
      <c r="M12" s="51">
        <v>46419</v>
      </c>
      <c r="N12" s="105" t="s">
        <v>258</v>
      </c>
      <c r="O12" s="104">
        <v>0</v>
      </c>
      <c r="U12" t="s">
        <v>94</v>
      </c>
      <c r="V12" s="107">
        <v>0</v>
      </c>
      <c r="W12" s="107">
        <v>0</v>
      </c>
      <c r="X12" s="91"/>
    </row>
    <row r="13" spans="1:24" x14ac:dyDescent="0.55000000000000004">
      <c r="A13" s="58" t="s">
        <v>120</v>
      </c>
      <c r="L13" t="s">
        <v>95</v>
      </c>
      <c r="M13" s="51">
        <v>46447</v>
      </c>
      <c r="N13" s="105" t="s">
        <v>259</v>
      </c>
      <c r="O13" s="104">
        <v>0</v>
      </c>
      <c r="U13" t="s">
        <v>95</v>
      </c>
      <c r="V13" s="107">
        <v>0</v>
      </c>
      <c r="W13" s="107">
        <v>0</v>
      </c>
      <c r="X13" s="91"/>
    </row>
    <row r="14" spans="1:24" x14ac:dyDescent="0.55000000000000004">
      <c r="A14" s="58" t="s">
        <v>121</v>
      </c>
      <c r="N14" s="105" t="s">
        <v>260</v>
      </c>
      <c r="O14" s="104">
        <v>0</v>
      </c>
    </row>
    <row r="15" spans="1:24" x14ac:dyDescent="0.55000000000000004">
      <c r="A15" s="58" t="s">
        <v>32</v>
      </c>
      <c r="N15" s="106" t="s">
        <v>262</v>
      </c>
      <c r="O15" s="107">
        <v>0</v>
      </c>
    </row>
    <row r="16" spans="1:24" x14ac:dyDescent="0.55000000000000004">
      <c r="A16" s="58" t="s">
        <v>171</v>
      </c>
      <c r="N16" s="106" t="s">
        <v>242</v>
      </c>
      <c r="O16" s="107">
        <v>0</v>
      </c>
    </row>
    <row r="17" spans="1:1" x14ac:dyDescent="0.55000000000000004">
      <c r="A17" s="58" t="s">
        <v>172</v>
      </c>
    </row>
    <row r="18" spans="1:1" x14ac:dyDescent="0.55000000000000004">
      <c r="A18" s="58" t="s">
        <v>179</v>
      </c>
    </row>
    <row r="19" spans="1:1" x14ac:dyDescent="0.55000000000000004">
      <c r="A19" s="58" t="s">
        <v>273</v>
      </c>
    </row>
    <row r="20" spans="1:1" x14ac:dyDescent="0.55000000000000004">
      <c r="A20" s="58" t="s">
        <v>274</v>
      </c>
    </row>
  </sheetData>
  <phoneticPr fontId="3"/>
  <dataValidations count="1">
    <dataValidation type="list" allowBlank="1" showInputMessage="1" showErrorMessage="1" sqref="O6 X2:X13" xr:uid="{FD1A4623-1F1C-4CA8-9373-DEC328AAD93C}">
      <formula1>$B$2:$B$9</formula1>
    </dataValidation>
  </dataValidations>
  <pageMargins left="0.7" right="0.7" top="0.75" bottom="0.75" header="0.3" footer="0.3"/>
  <pageSetup paperSize="9" orientation="portrait" horizontalDpi="4294967292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2:Z66"/>
  <sheetViews>
    <sheetView showGridLines="0" zoomScaleNormal="100" zoomScaleSheetLayoutView="100" workbookViewId="0">
      <selection activeCell="AB36" sqref="AB36"/>
    </sheetView>
  </sheetViews>
  <sheetFormatPr defaultRowHeight="13" x14ac:dyDescent="0.2"/>
  <cols>
    <col min="1" max="4" width="3.6328125" customWidth="1"/>
    <col min="5" max="5" width="6.08984375" customWidth="1"/>
    <col min="6" max="26" width="3.6328125" customWidth="1"/>
    <col min="257" max="282" width="3.6328125" customWidth="1"/>
    <col min="513" max="538" width="3.6328125" customWidth="1"/>
    <col min="769" max="794" width="3.6328125" customWidth="1"/>
    <col min="1025" max="1050" width="3.6328125" customWidth="1"/>
    <col min="1281" max="1306" width="3.6328125" customWidth="1"/>
    <col min="1537" max="1562" width="3.6328125" customWidth="1"/>
    <col min="1793" max="1818" width="3.6328125" customWidth="1"/>
    <col min="2049" max="2074" width="3.6328125" customWidth="1"/>
    <col min="2305" max="2330" width="3.6328125" customWidth="1"/>
    <col min="2561" max="2586" width="3.6328125" customWidth="1"/>
    <col min="2817" max="2842" width="3.6328125" customWidth="1"/>
    <col min="3073" max="3098" width="3.6328125" customWidth="1"/>
    <col min="3329" max="3354" width="3.6328125" customWidth="1"/>
    <col min="3585" max="3610" width="3.6328125" customWidth="1"/>
    <col min="3841" max="3866" width="3.6328125" customWidth="1"/>
    <col min="4097" max="4122" width="3.6328125" customWidth="1"/>
    <col min="4353" max="4378" width="3.6328125" customWidth="1"/>
    <col min="4609" max="4634" width="3.6328125" customWidth="1"/>
    <col min="4865" max="4890" width="3.6328125" customWidth="1"/>
    <col min="5121" max="5146" width="3.6328125" customWidth="1"/>
    <col min="5377" max="5402" width="3.6328125" customWidth="1"/>
    <col min="5633" max="5658" width="3.6328125" customWidth="1"/>
    <col min="5889" max="5914" width="3.6328125" customWidth="1"/>
    <col min="6145" max="6170" width="3.6328125" customWidth="1"/>
    <col min="6401" max="6426" width="3.6328125" customWidth="1"/>
    <col min="6657" max="6682" width="3.6328125" customWidth="1"/>
    <col min="6913" max="6938" width="3.6328125" customWidth="1"/>
    <col min="7169" max="7194" width="3.6328125" customWidth="1"/>
    <col min="7425" max="7450" width="3.6328125" customWidth="1"/>
    <col min="7681" max="7706" width="3.6328125" customWidth="1"/>
    <col min="7937" max="7962" width="3.6328125" customWidth="1"/>
    <col min="8193" max="8218" width="3.6328125" customWidth="1"/>
    <col min="8449" max="8474" width="3.6328125" customWidth="1"/>
    <col min="8705" max="8730" width="3.6328125" customWidth="1"/>
    <col min="8961" max="8986" width="3.6328125" customWidth="1"/>
    <col min="9217" max="9242" width="3.6328125" customWidth="1"/>
    <col min="9473" max="9498" width="3.6328125" customWidth="1"/>
    <col min="9729" max="9754" width="3.6328125" customWidth="1"/>
    <col min="9985" max="10010" width="3.6328125" customWidth="1"/>
    <col min="10241" max="10266" width="3.6328125" customWidth="1"/>
    <col min="10497" max="10522" width="3.6328125" customWidth="1"/>
    <col min="10753" max="10778" width="3.6328125" customWidth="1"/>
    <col min="11009" max="11034" width="3.6328125" customWidth="1"/>
    <col min="11265" max="11290" width="3.6328125" customWidth="1"/>
    <col min="11521" max="11546" width="3.6328125" customWidth="1"/>
    <col min="11777" max="11802" width="3.6328125" customWidth="1"/>
    <col min="12033" max="12058" width="3.6328125" customWidth="1"/>
    <col min="12289" max="12314" width="3.6328125" customWidth="1"/>
    <col min="12545" max="12570" width="3.6328125" customWidth="1"/>
    <col min="12801" max="12826" width="3.6328125" customWidth="1"/>
    <col min="13057" max="13082" width="3.6328125" customWidth="1"/>
    <col min="13313" max="13338" width="3.6328125" customWidth="1"/>
    <col min="13569" max="13594" width="3.6328125" customWidth="1"/>
    <col min="13825" max="13850" width="3.6328125" customWidth="1"/>
    <col min="14081" max="14106" width="3.6328125" customWidth="1"/>
    <col min="14337" max="14362" width="3.6328125" customWidth="1"/>
    <col min="14593" max="14618" width="3.6328125" customWidth="1"/>
    <col min="14849" max="14874" width="3.6328125" customWidth="1"/>
    <col min="15105" max="15130" width="3.6328125" customWidth="1"/>
    <col min="15361" max="15386" width="3.6328125" customWidth="1"/>
    <col min="15617" max="15642" width="3.6328125" customWidth="1"/>
    <col min="15873" max="15898" width="3.6328125" customWidth="1"/>
    <col min="16129" max="16154" width="3.6328125" customWidth="1"/>
  </cols>
  <sheetData>
    <row r="2" spans="1:26" ht="14.15" customHeight="1" x14ac:dyDescent="0.2">
      <c r="A2" s="3"/>
      <c r="B2" s="3"/>
      <c r="C2" s="3"/>
      <c r="D2" s="3"/>
      <c r="E2" s="3"/>
      <c r="F2" s="3"/>
      <c r="G2" s="3"/>
      <c r="H2" s="3"/>
      <c r="I2" s="3"/>
      <c r="J2" s="4"/>
      <c r="K2" s="4"/>
      <c r="L2" s="5"/>
      <c r="M2" s="6"/>
      <c r="N2" s="6"/>
      <c r="O2" s="6"/>
      <c r="P2" s="4"/>
    </row>
    <row r="3" spans="1:26" ht="14.15" customHeight="1" x14ac:dyDescent="0.2">
      <c r="A3" s="387">
        <v>41365</v>
      </c>
      <c r="B3" s="387"/>
      <c r="C3" s="387"/>
      <c r="D3" s="387"/>
      <c r="E3" s="387"/>
      <c r="F3" s="387"/>
      <c r="G3" s="387"/>
      <c r="H3" s="387"/>
      <c r="I3" s="387"/>
      <c r="J3" s="387"/>
      <c r="K3" s="387"/>
      <c r="L3" s="387"/>
      <c r="M3" s="387"/>
      <c r="N3" s="387"/>
      <c r="O3" s="387"/>
      <c r="P3" s="387"/>
      <c r="Q3" s="387"/>
      <c r="R3" s="387"/>
      <c r="S3" s="387"/>
      <c r="T3" s="387"/>
      <c r="U3" s="387"/>
      <c r="V3" s="387"/>
      <c r="W3" s="387"/>
      <c r="X3" s="387"/>
      <c r="Y3" s="387"/>
      <c r="Z3" s="387"/>
    </row>
    <row r="4" spans="1:26" ht="14.15" customHeight="1" x14ac:dyDescent="0.2">
      <c r="A4" s="387"/>
      <c r="B4" s="387"/>
      <c r="C4" s="387"/>
      <c r="D4" s="387"/>
      <c r="E4" s="387"/>
      <c r="F4" s="387"/>
      <c r="G4" s="387"/>
      <c r="H4" s="387"/>
      <c r="I4" s="387"/>
      <c r="J4" s="387"/>
      <c r="K4" s="387"/>
      <c r="L4" s="387"/>
      <c r="M4" s="387"/>
      <c r="N4" s="387"/>
      <c r="O4" s="387"/>
      <c r="P4" s="387"/>
      <c r="Q4" s="387"/>
      <c r="R4" s="387"/>
      <c r="S4" s="387"/>
      <c r="T4" s="387"/>
      <c r="U4" s="387"/>
      <c r="V4" s="387"/>
      <c r="W4" s="387"/>
      <c r="X4" s="387"/>
      <c r="Y4" s="387"/>
      <c r="Z4" s="387"/>
    </row>
    <row r="5" spans="1:26" ht="14.15" customHeight="1" x14ac:dyDescent="0.2">
      <c r="A5" s="388" t="s">
        <v>44</v>
      </c>
      <c r="B5" s="388"/>
      <c r="C5" s="388"/>
      <c r="D5" s="388"/>
      <c r="E5" s="388"/>
      <c r="F5" s="388"/>
      <c r="G5" s="388"/>
      <c r="H5" s="388"/>
      <c r="I5" s="388"/>
      <c r="J5" s="7"/>
      <c r="K5" s="7"/>
      <c r="L5" s="7"/>
      <c r="M5" s="7"/>
      <c r="N5" s="7"/>
      <c r="O5" s="7"/>
      <c r="P5" s="7"/>
      <c r="Q5" s="7"/>
      <c r="R5" s="8"/>
      <c r="S5" s="8"/>
      <c r="T5" s="8"/>
      <c r="U5" s="8"/>
    </row>
    <row r="6" spans="1:26" ht="14.15" customHeight="1" x14ac:dyDescent="0.2">
      <c r="A6" s="389"/>
      <c r="B6" s="389"/>
      <c r="C6" s="389"/>
      <c r="D6" s="389"/>
      <c r="E6" s="389"/>
      <c r="F6" s="389"/>
      <c r="G6" s="389"/>
      <c r="H6" s="389"/>
      <c r="I6" s="389"/>
      <c r="J6" s="9" t="s">
        <v>0</v>
      </c>
      <c r="K6" s="10"/>
      <c r="L6" s="5"/>
      <c r="M6" s="6"/>
      <c r="N6" s="6"/>
      <c r="O6" s="6"/>
      <c r="P6" s="4"/>
    </row>
    <row r="7" spans="1:26" ht="14.15" customHeight="1" x14ac:dyDescent="0.2">
      <c r="I7" s="3"/>
      <c r="K7" s="11"/>
      <c r="P7" s="390" t="s">
        <v>33</v>
      </c>
      <c r="Q7" s="378"/>
      <c r="R7" s="378"/>
      <c r="S7" s="378"/>
      <c r="T7" s="378"/>
      <c r="U7" s="378"/>
      <c r="V7" s="378"/>
      <c r="W7" s="378"/>
      <c r="X7" s="378"/>
      <c r="Y7" s="378"/>
      <c r="Z7" s="378"/>
    </row>
    <row r="8" spans="1:26" ht="14.15" customHeight="1" x14ac:dyDescent="0.2">
      <c r="A8" s="163" t="s">
        <v>1</v>
      </c>
      <c r="B8" s="120"/>
      <c r="C8" s="379" t="s">
        <v>45</v>
      </c>
      <c r="D8" s="380"/>
      <c r="E8" s="380"/>
      <c r="F8" s="380"/>
      <c r="G8" s="380"/>
      <c r="H8" s="380"/>
      <c r="I8" s="381"/>
      <c r="J8" s="382"/>
      <c r="K8" s="11"/>
      <c r="L8" s="12"/>
      <c r="P8" s="391" t="s">
        <v>2</v>
      </c>
      <c r="Q8" s="378"/>
      <c r="R8" s="378"/>
      <c r="S8" s="378"/>
      <c r="T8" s="378"/>
      <c r="U8" s="378"/>
      <c r="V8" s="378"/>
      <c r="W8" s="378"/>
      <c r="X8" s="378"/>
      <c r="Y8" s="378"/>
      <c r="Z8" s="378"/>
    </row>
    <row r="9" spans="1:26" ht="14.15" customHeight="1" x14ac:dyDescent="0.2">
      <c r="A9" s="166"/>
      <c r="B9" s="123"/>
      <c r="C9" s="383"/>
      <c r="D9" s="384"/>
      <c r="E9" s="384"/>
      <c r="F9" s="384"/>
      <c r="G9" s="384"/>
      <c r="H9" s="384"/>
      <c r="I9" s="385"/>
      <c r="J9" s="386"/>
      <c r="K9" s="13"/>
      <c r="P9" s="378"/>
      <c r="Q9" s="378"/>
      <c r="R9" s="378"/>
      <c r="S9" s="378"/>
      <c r="T9" s="378"/>
      <c r="U9" s="378"/>
      <c r="V9" s="378"/>
      <c r="W9" s="378"/>
      <c r="X9" s="378"/>
      <c r="Y9" s="378"/>
      <c r="Z9" s="378"/>
    </row>
    <row r="10" spans="1:26" ht="14.15" customHeight="1" x14ac:dyDescent="0.2">
      <c r="A10" s="163" t="s">
        <v>3</v>
      </c>
      <c r="B10" s="120"/>
      <c r="C10" s="369" t="s">
        <v>46</v>
      </c>
      <c r="D10" s="370"/>
      <c r="E10" s="370"/>
      <c r="F10" s="370"/>
      <c r="G10" s="370"/>
      <c r="H10" s="370"/>
      <c r="I10" s="371"/>
      <c r="J10" s="372"/>
      <c r="K10" s="13"/>
      <c r="P10" s="4"/>
      <c r="Q10" s="4"/>
    </row>
    <row r="11" spans="1:26" ht="14.15" customHeight="1" x14ac:dyDescent="0.2">
      <c r="A11" s="166"/>
      <c r="B11" s="123"/>
      <c r="C11" s="373"/>
      <c r="D11" s="374"/>
      <c r="E11" s="374"/>
      <c r="F11" s="374"/>
      <c r="G11" s="374"/>
      <c r="H11" s="374"/>
      <c r="I11" s="375"/>
      <c r="J11" s="376"/>
      <c r="K11" s="4"/>
      <c r="L11" s="4"/>
      <c r="P11" s="14"/>
      <c r="Q11" s="14"/>
      <c r="R11" s="377" t="s">
        <v>34</v>
      </c>
      <c r="S11" s="378"/>
      <c r="T11" s="378"/>
      <c r="U11" s="378"/>
      <c r="V11" s="378"/>
      <c r="W11" s="377" t="s">
        <v>35</v>
      </c>
      <c r="X11" s="378"/>
      <c r="Y11" s="378"/>
      <c r="Z11" s="378"/>
    </row>
    <row r="12" spans="1:26" ht="14.15" customHeight="1" x14ac:dyDescent="0.2">
      <c r="A12" s="163" t="s">
        <v>4</v>
      </c>
      <c r="B12" s="120"/>
      <c r="C12" s="379" t="s">
        <v>47</v>
      </c>
      <c r="D12" s="380"/>
      <c r="E12" s="380"/>
      <c r="F12" s="380"/>
      <c r="G12" s="380"/>
      <c r="H12" s="380"/>
      <c r="I12" s="381"/>
      <c r="J12" s="382"/>
      <c r="K12" s="13"/>
      <c r="M12" s="15"/>
      <c r="N12" s="15"/>
      <c r="O12" s="14"/>
      <c r="P12" s="14"/>
      <c r="Q12" s="14"/>
      <c r="R12" s="14"/>
      <c r="S12" s="14"/>
      <c r="T12" s="14"/>
      <c r="U12" s="14"/>
      <c r="V12" s="8"/>
      <c r="W12" s="8"/>
    </row>
    <row r="13" spans="1:26" ht="14.15" customHeight="1" x14ac:dyDescent="0.2">
      <c r="A13" s="166"/>
      <c r="B13" s="123"/>
      <c r="C13" s="383"/>
      <c r="D13" s="384"/>
      <c r="E13" s="384"/>
      <c r="F13" s="384"/>
      <c r="G13" s="384"/>
      <c r="H13" s="384"/>
      <c r="I13" s="385"/>
      <c r="J13" s="386"/>
      <c r="K13" s="13"/>
      <c r="M13" s="16"/>
      <c r="N13" s="15"/>
      <c r="O13" s="14"/>
      <c r="P13" s="14"/>
      <c r="Q13" s="14"/>
      <c r="R13" s="14"/>
      <c r="S13" s="14"/>
      <c r="T13" s="14"/>
      <c r="U13" s="14"/>
      <c r="V13" s="8"/>
      <c r="W13" s="8"/>
    </row>
    <row r="14" spans="1:26" ht="14.1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4"/>
      <c r="K14" s="4"/>
      <c r="L14" s="4"/>
      <c r="M14" s="4"/>
      <c r="N14" s="17"/>
      <c r="O14" s="4"/>
      <c r="P14" s="4"/>
      <c r="U14" s="18"/>
    </row>
    <row r="15" spans="1:26" ht="14.15" customHeight="1" x14ac:dyDescent="0.2">
      <c r="A15" s="339" t="s">
        <v>5</v>
      </c>
      <c r="B15" s="340"/>
      <c r="C15" s="339" t="s">
        <v>6</v>
      </c>
      <c r="D15" s="312" t="s">
        <v>36</v>
      </c>
      <c r="E15" s="343"/>
      <c r="F15" s="343"/>
      <c r="G15" s="313"/>
      <c r="H15" s="344" t="s">
        <v>37</v>
      </c>
      <c r="I15" s="345"/>
      <c r="J15" s="345" t="s">
        <v>7</v>
      </c>
      <c r="K15" s="348"/>
      <c r="L15" s="314" t="s">
        <v>8</v>
      </c>
      <c r="M15" s="325"/>
      <c r="N15" s="328" t="s">
        <v>9</v>
      </c>
      <c r="O15" s="315"/>
      <c r="P15" s="314" t="s">
        <v>10</v>
      </c>
      <c r="Q15" s="315"/>
      <c r="R15" s="314" t="s">
        <v>11</v>
      </c>
      <c r="S15" s="315"/>
      <c r="T15" s="314" t="s">
        <v>12</v>
      </c>
      <c r="U15" s="315"/>
      <c r="V15" s="314" t="s">
        <v>43</v>
      </c>
      <c r="W15" s="315"/>
      <c r="X15" s="304" t="s">
        <v>13</v>
      </c>
      <c r="Y15" s="305"/>
      <c r="Z15" s="306"/>
    </row>
    <row r="16" spans="1:26" ht="14.15" customHeight="1" x14ac:dyDescent="0.2">
      <c r="A16" s="341"/>
      <c r="B16" s="342"/>
      <c r="C16" s="341"/>
      <c r="D16" s="312" t="s">
        <v>14</v>
      </c>
      <c r="E16" s="313"/>
      <c r="F16" s="312" t="s">
        <v>15</v>
      </c>
      <c r="G16" s="313"/>
      <c r="H16" s="346"/>
      <c r="I16" s="347"/>
      <c r="J16" s="347"/>
      <c r="K16" s="349"/>
      <c r="L16" s="326"/>
      <c r="M16" s="327"/>
      <c r="N16" s="329"/>
      <c r="O16" s="317"/>
      <c r="P16" s="316"/>
      <c r="Q16" s="317"/>
      <c r="R16" s="316"/>
      <c r="S16" s="317"/>
      <c r="T16" s="316"/>
      <c r="U16" s="317"/>
      <c r="V16" s="316"/>
      <c r="W16" s="317"/>
      <c r="X16" s="307"/>
      <c r="Y16" s="308"/>
      <c r="Z16" s="309"/>
    </row>
    <row r="17" spans="1:26" ht="14.15" customHeight="1" x14ac:dyDescent="0.2">
      <c r="A17" s="403">
        <f>A3</f>
        <v>41365</v>
      </c>
      <c r="B17" s="404"/>
      <c r="C17" s="1">
        <f t="shared" ref="C17:C46" si="0">IF(A17="","",WEEKDAY(A17,1))</f>
        <v>2</v>
      </c>
      <c r="D17" s="405"/>
      <c r="E17" s="406"/>
      <c r="F17" s="405"/>
      <c r="G17" s="406"/>
      <c r="H17" s="407"/>
      <c r="I17" s="408"/>
      <c r="J17" s="409" t="str">
        <f>IF(F17-D17-H17=0,"",F17-D17-H17)</f>
        <v/>
      </c>
      <c r="K17" s="410"/>
      <c r="L17" s="411" t="str">
        <f>IF(J17="","",(DAY(J17)*24+HOUR(J17))+(ROUNDDOWN(MINUTE(J17)/15,0)*0.25))</f>
        <v/>
      </c>
      <c r="M17" s="412"/>
      <c r="N17" s="392" t="str">
        <f>IF(OR(C17=1,C17=7),"",IF(L17="","",IF(L17&lt;8,IF(R17="",L17,L17-R17),8)))</f>
        <v/>
      </c>
      <c r="O17" s="393"/>
      <c r="P17" s="394" t="str">
        <f t="shared" ref="P17:P28" si="1">IF(OR(C17=1,C17=7),IF(C17=1,"",IF(D17="","",L17-IF(R17="",0,R17))),IF(D17="","",IF(L17-N17-IF(R17="",0,R17)&lt;0,0,L17-N17-IF(R17="",0,R17))))</f>
        <v/>
      </c>
      <c r="Q17" s="395"/>
      <c r="R17" s="396" t="str">
        <f>IF(F17&gt;TIMEVALUE("22:00"),IF((HOUR(F17)-HOUR("22:00"))+(MINUTE(F17)-MINUTE("22:00"))/60&lt;0,(HOUR(F17)-HOUR("22:00"))+(MINUTE(F17)-MINUTE("22:00"))/60+24,(HOUR(F17)-HOUR("22:00"))+(MINUTE(F17)-MINUTE("22:00"))/60),"")</f>
        <v/>
      </c>
      <c r="S17" s="397"/>
      <c r="T17" s="269" t="str">
        <f>IF(C17=1,L17,"")</f>
        <v/>
      </c>
      <c r="U17" s="270"/>
      <c r="V17" s="398"/>
      <c r="W17" s="399"/>
      <c r="X17" s="400"/>
      <c r="Y17" s="401"/>
      <c r="Z17" s="402"/>
    </row>
    <row r="18" spans="1:26" ht="14.15" customHeight="1" x14ac:dyDescent="0.2">
      <c r="A18" s="413">
        <f t="shared" ref="A18:A44" si="2">A17+1</f>
        <v>41366</v>
      </c>
      <c r="B18" s="414"/>
      <c r="C18" s="1">
        <f t="shared" si="0"/>
        <v>3</v>
      </c>
      <c r="D18" s="415"/>
      <c r="E18" s="416"/>
      <c r="F18" s="415"/>
      <c r="G18" s="416"/>
      <c r="H18" s="407"/>
      <c r="I18" s="408"/>
      <c r="J18" s="417" t="str">
        <f t="shared" ref="J18:J46" si="3">IF(F18-D18-H18=0,"",F18-D18-H18)</f>
        <v/>
      </c>
      <c r="K18" s="418"/>
      <c r="L18" s="419" t="str">
        <f t="shared" ref="L18:L46" si="4">IF(J18="","",(DAY(J18)*24+HOUR(J18))+(ROUNDDOWN(MINUTE(J18)/15,0)*0.25))</f>
        <v/>
      </c>
      <c r="M18" s="420"/>
      <c r="N18" s="392" t="str">
        <f t="shared" ref="N18:N47" si="5">IF(OR(C18=1,C18=7),"",IF(L18="","",IF(L18&lt;8,IF(R18="",L18,L18-R18),8)))</f>
        <v/>
      </c>
      <c r="O18" s="393"/>
      <c r="P18" s="394" t="str">
        <f t="shared" si="1"/>
        <v/>
      </c>
      <c r="Q18" s="395"/>
      <c r="R18" s="396" t="str">
        <f>IF(F18&gt;TIMEVALUE("22:00"),IF((HOUR(F18)-HOUR("22:00"))+(MINUTE(F18)-MINUTE("22:00"))/60&lt;0,(HOUR(F18)-HOUR("22:00"))+(MINUTE(F18)-MINUTE("22:00"))/60+24,(HOUR(F18)-HOUR("22:00"))+(MINUTE(F18)-MINUTE("22:00"))/60),"")</f>
        <v/>
      </c>
      <c r="S18" s="397"/>
      <c r="T18" s="269" t="str">
        <f t="shared" ref="T18:T47" si="6">IF(C18=1,L18,"")</f>
        <v/>
      </c>
      <c r="U18" s="270"/>
      <c r="V18" s="398"/>
      <c r="W18" s="399"/>
      <c r="X18" s="400"/>
      <c r="Y18" s="401"/>
      <c r="Z18" s="402"/>
    </row>
    <row r="19" spans="1:26" ht="14.15" customHeight="1" x14ac:dyDescent="0.2">
      <c r="A19" s="413">
        <f t="shared" si="2"/>
        <v>41367</v>
      </c>
      <c r="B19" s="414"/>
      <c r="C19" s="1">
        <f t="shared" si="0"/>
        <v>4</v>
      </c>
      <c r="D19" s="421"/>
      <c r="E19" s="422"/>
      <c r="F19" s="421"/>
      <c r="G19" s="422"/>
      <c r="H19" s="407"/>
      <c r="I19" s="408"/>
      <c r="J19" s="417" t="str">
        <f t="shared" si="3"/>
        <v/>
      </c>
      <c r="K19" s="418"/>
      <c r="L19" s="419" t="str">
        <f t="shared" si="4"/>
        <v/>
      </c>
      <c r="M19" s="420"/>
      <c r="N19" s="392" t="str">
        <f t="shared" si="5"/>
        <v/>
      </c>
      <c r="O19" s="393"/>
      <c r="P19" s="394" t="str">
        <f t="shared" si="1"/>
        <v/>
      </c>
      <c r="Q19" s="395"/>
      <c r="R19" s="396" t="str">
        <f>IF(F19&gt;TIMEVALUE("22:00"),IF((HOUR(F19)-HOUR("22:00"))+(MINUTE(F19)-MINUTE("22:00"))/60&lt;0,(HOUR(F19)-HOUR("22:00"))+(MINUTE(F19)-MINUTE("22:00"))/60+24,(HOUR(F19)-HOUR("22:00"))+(MINUTE(F19)-MINUTE("22:00"))/60),"")</f>
        <v/>
      </c>
      <c r="S19" s="397"/>
      <c r="T19" s="269" t="str">
        <f t="shared" si="6"/>
        <v/>
      </c>
      <c r="U19" s="270"/>
      <c r="V19" s="398"/>
      <c r="W19" s="399"/>
      <c r="X19" s="400"/>
      <c r="Y19" s="401"/>
      <c r="Z19" s="402"/>
    </row>
    <row r="20" spans="1:26" ht="14.15" customHeight="1" x14ac:dyDescent="0.2">
      <c r="A20" s="413">
        <f t="shared" si="2"/>
        <v>41368</v>
      </c>
      <c r="B20" s="414"/>
      <c r="C20" s="1">
        <f t="shared" si="0"/>
        <v>5</v>
      </c>
      <c r="D20" s="421"/>
      <c r="E20" s="422"/>
      <c r="F20" s="421"/>
      <c r="G20" s="422"/>
      <c r="H20" s="407"/>
      <c r="I20" s="408"/>
      <c r="J20" s="417" t="str">
        <f t="shared" si="3"/>
        <v/>
      </c>
      <c r="K20" s="418"/>
      <c r="L20" s="419" t="str">
        <f t="shared" si="4"/>
        <v/>
      </c>
      <c r="M20" s="420"/>
      <c r="N20" s="392" t="str">
        <f t="shared" si="5"/>
        <v/>
      </c>
      <c r="O20" s="393"/>
      <c r="P20" s="394" t="str">
        <f t="shared" si="1"/>
        <v/>
      </c>
      <c r="Q20" s="395"/>
      <c r="R20" s="396" t="str">
        <f t="shared" ref="R20:R47" si="7">IF(F20&gt;TIMEVALUE("22:00"),IF((HOUR(F20)-HOUR("22:00"))+(MINUTE(F20)-MINUTE("22:00"))/60&lt;0,(HOUR(F20)-HOUR("22:00"))+(MINUTE(F20)-MINUTE("22:00"))/60+24,(HOUR(F20)-HOUR("22:00"))+(MINUTE(F20)-MINUTE("22:00"))/60),"")</f>
        <v/>
      </c>
      <c r="S20" s="397"/>
      <c r="T20" s="269" t="str">
        <f t="shared" si="6"/>
        <v/>
      </c>
      <c r="U20" s="270"/>
      <c r="V20" s="398"/>
      <c r="W20" s="399"/>
      <c r="X20" s="400"/>
      <c r="Y20" s="401"/>
      <c r="Z20" s="402"/>
    </row>
    <row r="21" spans="1:26" ht="14.15" customHeight="1" x14ac:dyDescent="0.2">
      <c r="A21" s="413">
        <f t="shared" si="2"/>
        <v>41369</v>
      </c>
      <c r="B21" s="414"/>
      <c r="C21" s="1">
        <f t="shared" si="0"/>
        <v>6</v>
      </c>
      <c r="D21" s="421"/>
      <c r="E21" s="422"/>
      <c r="F21" s="421"/>
      <c r="G21" s="422"/>
      <c r="H21" s="407"/>
      <c r="I21" s="408"/>
      <c r="J21" s="417" t="str">
        <f t="shared" si="3"/>
        <v/>
      </c>
      <c r="K21" s="418"/>
      <c r="L21" s="419" t="str">
        <f t="shared" si="4"/>
        <v/>
      </c>
      <c r="M21" s="420"/>
      <c r="N21" s="392" t="str">
        <f t="shared" si="5"/>
        <v/>
      </c>
      <c r="O21" s="393"/>
      <c r="P21" s="394" t="str">
        <f t="shared" si="1"/>
        <v/>
      </c>
      <c r="Q21" s="395"/>
      <c r="R21" s="396" t="str">
        <f t="shared" si="7"/>
        <v/>
      </c>
      <c r="S21" s="397"/>
      <c r="T21" s="269" t="str">
        <f t="shared" si="6"/>
        <v/>
      </c>
      <c r="U21" s="270"/>
      <c r="V21" s="398"/>
      <c r="W21" s="399"/>
      <c r="X21" s="400"/>
      <c r="Y21" s="401"/>
      <c r="Z21" s="402"/>
    </row>
    <row r="22" spans="1:26" ht="14.15" customHeight="1" x14ac:dyDescent="0.2">
      <c r="A22" s="413">
        <f t="shared" si="2"/>
        <v>41370</v>
      </c>
      <c r="B22" s="414"/>
      <c r="C22" s="1">
        <f t="shared" si="0"/>
        <v>7</v>
      </c>
      <c r="D22" s="421"/>
      <c r="E22" s="422"/>
      <c r="F22" s="421"/>
      <c r="G22" s="422"/>
      <c r="H22" s="407"/>
      <c r="I22" s="408"/>
      <c r="J22" s="417" t="str">
        <f t="shared" si="3"/>
        <v/>
      </c>
      <c r="K22" s="418"/>
      <c r="L22" s="419" t="str">
        <f t="shared" si="4"/>
        <v/>
      </c>
      <c r="M22" s="420"/>
      <c r="N22" s="392" t="str">
        <f t="shared" si="5"/>
        <v/>
      </c>
      <c r="O22" s="393"/>
      <c r="P22" s="394" t="str">
        <f t="shared" si="1"/>
        <v/>
      </c>
      <c r="Q22" s="395"/>
      <c r="R22" s="396" t="str">
        <f t="shared" si="7"/>
        <v/>
      </c>
      <c r="S22" s="397"/>
      <c r="T22" s="269" t="str">
        <f t="shared" si="6"/>
        <v/>
      </c>
      <c r="U22" s="270"/>
      <c r="V22" s="398"/>
      <c r="W22" s="399"/>
      <c r="X22" s="400"/>
      <c r="Y22" s="401"/>
      <c r="Z22" s="402"/>
    </row>
    <row r="23" spans="1:26" ht="14.15" customHeight="1" x14ac:dyDescent="0.2">
      <c r="A23" s="413">
        <f t="shared" si="2"/>
        <v>41371</v>
      </c>
      <c r="B23" s="414"/>
      <c r="C23" s="1">
        <f t="shared" si="0"/>
        <v>1</v>
      </c>
      <c r="D23" s="421"/>
      <c r="E23" s="422"/>
      <c r="F23" s="421"/>
      <c r="G23" s="422"/>
      <c r="H23" s="407"/>
      <c r="I23" s="408"/>
      <c r="J23" s="417" t="str">
        <f t="shared" si="3"/>
        <v/>
      </c>
      <c r="K23" s="418"/>
      <c r="L23" s="419" t="str">
        <f t="shared" si="4"/>
        <v/>
      </c>
      <c r="M23" s="420"/>
      <c r="N23" s="392" t="str">
        <f t="shared" si="5"/>
        <v/>
      </c>
      <c r="O23" s="393"/>
      <c r="P23" s="394" t="str">
        <f t="shared" si="1"/>
        <v/>
      </c>
      <c r="Q23" s="395"/>
      <c r="R23" s="396" t="str">
        <f t="shared" si="7"/>
        <v/>
      </c>
      <c r="S23" s="397"/>
      <c r="T23" s="269" t="str">
        <f t="shared" si="6"/>
        <v/>
      </c>
      <c r="U23" s="270"/>
      <c r="V23" s="398"/>
      <c r="W23" s="399"/>
      <c r="X23" s="400"/>
      <c r="Y23" s="401"/>
      <c r="Z23" s="402"/>
    </row>
    <row r="24" spans="1:26" ht="14.15" customHeight="1" x14ac:dyDescent="0.2">
      <c r="A24" s="413">
        <f t="shared" si="2"/>
        <v>41372</v>
      </c>
      <c r="B24" s="414"/>
      <c r="C24" s="1">
        <f t="shared" si="0"/>
        <v>2</v>
      </c>
      <c r="D24" s="415"/>
      <c r="E24" s="416"/>
      <c r="F24" s="421"/>
      <c r="G24" s="422"/>
      <c r="H24" s="407"/>
      <c r="I24" s="408"/>
      <c r="J24" s="417" t="str">
        <f t="shared" si="3"/>
        <v/>
      </c>
      <c r="K24" s="418"/>
      <c r="L24" s="419" t="str">
        <f t="shared" si="4"/>
        <v/>
      </c>
      <c r="M24" s="420"/>
      <c r="N24" s="392" t="str">
        <f t="shared" si="5"/>
        <v/>
      </c>
      <c r="O24" s="393"/>
      <c r="P24" s="394" t="str">
        <f t="shared" si="1"/>
        <v/>
      </c>
      <c r="Q24" s="395"/>
      <c r="R24" s="396" t="str">
        <f t="shared" si="7"/>
        <v/>
      </c>
      <c r="S24" s="397"/>
      <c r="T24" s="269" t="str">
        <f t="shared" si="6"/>
        <v/>
      </c>
      <c r="U24" s="270"/>
      <c r="V24" s="398"/>
      <c r="W24" s="399"/>
      <c r="X24" s="400"/>
      <c r="Y24" s="401"/>
      <c r="Z24" s="402"/>
    </row>
    <row r="25" spans="1:26" ht="14.15" customHeight="1" x14ac:dyDescent="0.2">
      <c r="A25" s="413">
        <f t="shared" si="2"/>
        <v>41373</v>
      </c>
      <c r="B25" s="414"/>
      <c r="C25" s="1">
        <f t="shared" si="0"/>
        <v>3</v>
      </c>
      <c r="D25" s="415"/>
      <c r="E25" s="416"/>
      <c r="F25" s="421"/>
      <c r="G25" s="422"/>
      <c r="H25" s="407"/>
      <c r="I25" s="408"/>
      <c r="J25" s="417" t="str">
        <f t="shared" si="3"/>
        <v/>
      </c>
      <c r="K25" s="418"/>
      <c r="L25" s="419" t="str">
        <f t="shared" si="4"/>
        <v/>
      </c>
      <c r="M25" s="420"/>
      <c r="N25" s="392" t="str">
        <f t="shared" si="5"/>
        <v/>
      </c>
      <c r="O25" s="393"/>
      <c r="P25" s="394" t="str">
        <f t="shared" si="1"/>
        <v/>
      </c>
      <c r="Q25" s="395"/>
      <c r="R25" s="396" t="str">
        <f t="shared" si="7"/>
        <v/>
      </c>
      <c r="S25" s="397"/>
      <c r="T25" s="269" t="str">
        <f t="shared" si="6"/>
        <v/>
      </c>
      <c r="U25" s="270"/>
      <c r="V25" s="398"/>
      <c r="W25" s="399"/>
      <c r="X25" s="400"/>
      <c r="Y25" s="401"/>
      <c r="Z25" s="402"/>
    </row>
    <row r="26" spans="1:26" ht="14.15" customHeight="1" x14ac:dyDescent="0.2">
      <c r="A26" s="413">
        <f t="shared" si="2"/>
        <v>41374</v>
      </c>
      <c r="B26" s="414"/>
      <c r="C26" s="1">
        <f t="shared" si="0"/>
        <v>4</v>
      </c>
      <c r="D26" s="421"/>
      <c r="E26" s="422"/>
      <c r="F26" s="421"/>
      <c r="G26" s="422"/>
      <c r="H26" s="407"/>
      <c r="I26" s="408"/>
      <c r="J26" s="417" t="str">
        <f t="shared" si="3"/>
        <v/>
      </c>
      <c r="K26" s="418"/>
      <c r="L26" s="419" t="str">
        <f t="shared" si="4"/>
        <v/>
      </c>
      <c r="M26" s="420"/>
      <c r="N26" s="392" t="str">
        <f t="shared" si="5"/>
        <v/>
      </c>
      <c r="O26" s="393"/>
      <c r="P26" s="394" t="str">
        <f t="shared" si="1"/>
        <v/>
      </c>
      <c r="Q26" s="395"/>
      <c r="R26" s="396" t="str">
        <f t="shared" si="7"/>
        <v/>
      </c>
      <c r="S26" s="397"/>
      <c r="T26" s="269" t="str">
        <f t="shared" si="6"/>
        <v/>
      </c>
      <c r="U26" s="270"/>
      <c r="V26" s="398"/>
      <c r="W26" s="399"/>
      <c r="X26" s="400"/>
      <c r="Y26" s="401"/>
      <c r="Z26" s="402"/>
    </row>
    <row r="27" spans="1:26" ht="14.15" customHeight="1" x14ac:dyDescent="0.2">
      <c r="A27" s="413">
        <f t="shared" si="2"/>
        <v>41375</v>
      </c>
      <c r="B27" s="414"/>
      <c r="C27" s="1">
        <f t="shared" si="0"/>
        <v>5</v>
      </c>
      <c r="D27" s="421"/>
      <c r="E27" s="422"/>
      <c r="F27" s="421"/>
      <c r="G27" s="422"/>
      <c r="H27" s="407"/>
      <c r="I27" s="408"/>
      <c r="J27" s="417" t="str">
        <f t="shared" si="3"/>
        <v/>
      </c>
      <c r="K27" s="418"/>
      <c r="L27" s="419" t="str">
        <f t="shared" si="4"/>
        <v/>
      </c>
      <c r="M27" s="420"/>
      <c r="N27" s="392" t="str">
        <f t="shared" si="5"/>
        <v/>
      </c>
      <c r="O27" s="393"/>
      <c r="P27" s="394" t="str">
        <f t="shared" si="1"/>
        <v/>
      </c>
      <c r="Q27" s="395"/>
      <c r="R27" s="396" t="str">
        <f t="shared" si="7"/>
        <v/>
      </c>
      <c r="S27" s="397"/>
      <c r="T27" s="269" t="str">
        <f t="shared" si="6"/>
        <v/>
      </c>
      <c r="U27" s="270"/>
      <c r="V27" s="398"/>
      <c r="W27" s="399"/>
      <c r="X27" s="400"/>
      <c r="Y27" s="401"/>
      <c r="Z27" s="402"/>
    </row>
    <row r="28" spans="1:26" ht="14.15" customHeight="1" x14ac:dyDescent="0.2">
      <c r="A28" s="413">
        <f t="shared" si="2"/>
        <v>41376</v>
      </c>
      <c r="B28" s="414"/>
      <c r="C28" s="1">
        <f t="shared" si="0"/>
        <v>6</v>
      </c>
      <c r="D28" s="421"/>
      <c r="E28" s="422"/>
      <c r="F28" s="421"/>
      <c r="G28" s="422"/>
      <c r="H28" s="407"/>
      <c r="I28" s="408"/>
      <c r="J28" s="417" t="str">
        <f t="shared" si="3"/>
        <v/>
      </c>
      <c r="K28" s="418"/>
      <c r="L28" s="419" t="str">
        <f t="shared" si="4"/>
        <v/>
      </c>
      <c r="M28" s="420"/>
      <c r="N28" s="392" t="str">
        <f t="shared" si="5"/>
        <v/>
      </c>
      <c r="O28" s="393"/>
      <c r="P28" s="394" t="str">
        <f t="shared" si="1"/>
        <v/>
      </c>
      <c r="Q28" s="395"/>
      <c r="R28" s="396" t="str">
        <f t="shared" si="7"/>
        <v/>
      </c>
      <c r="S28" s="397"/>
      <c r="T28" s="269" t="str">
        <f t="shared" si="6"/>
        <v/>
      </c>
      <c r="U28" s="270"/>
      <c r="V28" s="398"/>
      <c r="W28" s="399"/>
      <c r="X28" s="400"/>
      <c r="Y28" s="401"/>
      <c r="Z28" s="402"/>
    </row>
    <row r="29" spans="1:26" ht="14.15" customHeight="1" x14ac:dyDescent="0.2">
      <c r="A29" s="413">
        <f t="shared" si="2"/>
        <v>41377</v>
      </c>
      <c r="B29" s="414"/>
      <c r="C29" s="1">
        <f t="shared" si="0"/>
        <v>7</v>
      </c>
      <c r="D29" s="421"/>
      <c r="E29" s="422"/>
      <c r="F29" s="421"/>
      <c r="G29" s="422"/>
      <c r="H29" s="407"/>
      <c r="I29" s="408"/>
      <c r="J29" s="417" t="str">
        <f t="shared" si="3"/>
        <v/>
      </c>
      <c r="K29" s="418"/>
      <c r="L29" s="419" t="str">
        <f t="shared" si="4"/>
        <v/>
      </c>
      <c r="M29" s="420"/>
      <c r="N29" s="392" t="str">
        <f t="shared" si="5"/>
        <v/>
      </c>
      <c r="O29" s="393"/>
      <c r="P29" s="394" t="str">
        <f>IF(OR(C29=1,C29=7),IF(C29=1,"",IF(D29="","",L29-IF(R29="",0,R29))),IF(D29="","",IF(L29-N29-IF(R29="",0,R29)&lt;0,0,L29-N29-IF(R29="",0,R29))))</f>
        <v/>
      </c>
      <c r="Q29" s="395"/>
      <c r="R29" s="396" t="str">
        <f t="shared" si="7"/>
        <v/>
      </c>
      <c r="S29" s="397"/>
      <c r="T29" s="269" t="str">
        <f t="shared" si="6"/>
        <v/>
      </c>
      <c r="U29" s="270"/>
      <c r="V29" s="398"/>
      <c r="W29" s="399"/>
      <c r="X29" s="400"/>
      <c r="Y29" s="401"/>
      <c r="Z29" s="402"/>
    </row>
    <row r="30" spans="1:26" ht="14.15" customHeight="1" x14ac:dyDescent="0.2">
      <c r="A30" s="413">
        <f t="shared" si="2"/>
        <v>41378</v>
      </c>
      <c r="B30" s="414"/>
      <c r="C30" s="1">
        <f t="shared" si="0"/>
        <v>1</v>
      </c>
      <c r="D30" s="421"/>
      <c r="E30" s="422"/>
      <c r="F30" s="421"/>
      <c r="G30" s="422"/>
      <c r="H30" s="407"/>
      <c r="I30" s="408"/>
      <c r="J30" s="417" t="str">
        <f t="shared" si="3"/>
        <v/>
      </c>
      <c r="K30" s="418"/>
      <c r="L30" s="419" t="str">
        <f t="shared" si="4"/>
        <v/>
      </c>
      <c r="M30" s="420"/>
      <c r="N30" s="392" t="str">
        <f t="shared" si="5"/>
        <v/>
      </c>
      <c r="O30" s="393"/>
      <c r="P30" s="394" t="str">
        <f t="shared" ref="P30:P47" si="8">IF(OR(C30=1,C30=7),IF(C30=1,"",IF(D30="","",L30-IF(R30="",0,R30))),IF(D30="","",IF(L30-N30-IF(R30="",0,R30)&lt;0,0,L30-N30-IF(R30="",0,R30))))</f>
        <v/>
      </c>
      <c r="Q30" s="395"/>
      <c r="R30" s="396" t="str">
        <f t="shared" si="7"/>
        <v/>
      </c>
      <c r="S30" s="397"/>
      <c r="T30" s="269" t="str">
        <f t="shared" si="6"/>
        <v/>
      </c>
      <c r="U30" s="270"/>
      <c r="V30" s="398"/>
      <c r="W30" s="399"/>
      <c r="X30" s="400"/>
      <c r="Y30" s="401"/>
      <c r="Z30" s="402"/>
    </row>
    <row r="31" spans="1:26" ht="14.15" customHeight="1" x14ac:dyDescent="0.2">
      <c r="A31" s="413">
        <f t="shared" si="2"/>
        <v>41379</v>
      </c>
      <c r="B31" s="414"/>
      <c r="C31" s="1">
        <f t="shared" si="0"/>
        <v>2</v>
      </c>
      <c r="D31" s="421"/>
      <c r="E31" s="422"/>
      <c r="F31" s="421"/>
      <c r="G31" s="422"/>
      <c r="H31" s="407"/>
      <c r="I31" s="408"/>
      <c r="J31" s="417" t="str">
        <f t="shared" si="3"/>
        <v/>
      </c>
      <c r="K31" s="418"/>
      <c r="L31" s="419" t="str">
        <f t="shared" si="4"/>
        <v/>
      </c>
      <c r="M31" s="420"/>
      <c r="N31" s="392" t="str">
        <f t="shared" si="5"/>
        <v/>
      </c>
      <c r="O31" s="393"/>
      <c r="P31" s="394" t="str">
        <f t="shared" si="8"/>
        <v/>
      </c>
      <c r="Q31" s="395"/>
      <c r="R31" s="396" t="str">
        <f t="shared" si="7"/>
        <v/>
      </c>
      <c r="S31" s="397"/>
      <c r="T31" s="269" t="str">
        <f t="shared" si="6"/>
        <v/>
      </c>
      <c r="U31" s="270"/>
      <c r="V31" s="398"/>
      <c r="W31" s="399"/>
      <c r="X31" s="400"/>
      <c r="Y31" s="401"/>
      <c r="Z31" s="402"/>
    </row>
    <row r="32" spans="1:26" ht="14.15" customHeight="1" x14ac:dyDescent="0.2">
      <c r="A32" s="413">
        <f t="shared" si="2"/>
        <v>41380</v>
      </c>
      <c r="B32" s="414"/>
      <c r="C32" s="1">
        <f t="shared" si="0"/>
        <v>3</v>
      </c>
      <c r="D32" s="421"/>
      <c r="E32" s="422"/>
      <c r="F32" s="421"/>
      <c r="G32" s="422"/>
      <c r="H32" s="407"/>
      <c r="I32" s="408"/>
      <c r="J32" s="417" t="str">
        <f t="shared" si="3"/>
        <v/>
      </c>
      <c r="K32" s="418"/>
      <c r="L32" s="419" t="str">
        <f t="shared" si="4"/>
        <v/>
      </c>
      <c r="M32" s="420"/>
      <c r="N32" s="392" t="str">
        <f t="shared" si="5"/>
        <v/>
      </c>
      <c r="O32" s="393"/>
      <c r="P32" s="394" t="str">
        <f t="shared" si="8"/>
        <v/>
      </c>
      <c r="Q32" s="395"/>
      <c r="R32" s="396" t="str">
        <f t="shared" si="7"/>
        <v/>
      </c>
      <c r="S32" s="397"/>
      <c r="T32" s="269" t="str">
        <f t="shared" si="6"/>
        <v/>
      </c>
      <c r="U32" s="270"/>
      <c r="V32" s="398"/>
      <c r="W32" s="399"/>
      <c r="X32" s="400"/>
      <c r="Y32" s="401"/>
      <c r="Z32" s="402"/>
    </row>
    <row r="33" spans="1:26" ht="14.15" customHeight="1" x14ac:dyDescent="0.2">
      <c r="A33" s="413">
        <f t="shared" si="2"/>
        <v>41381</v>
      </c>
      <c r="B33" s="414"/>
      <c r="C33" s="1">
        <f t="shared" si="0"/>
        <v>4</v>
      </c>
      <c r="D33" s="421"/>
      <c r="E33" s="422"/>
      <c r="F33" s="421"/>
      <c r="G33" s="422"/>
      <c r="H33" s="407"/>
      <c r="I33" s="408"/>
      <c r="J33" s="417" t="str">
        <f t="shared" si="3"/>
        <v/>
      </c>
      <c r="K33" s="418"/>
      <c r="L33" s="419" t="str">
        <f t="shared" si="4"/>
        <v/>
      </c>
      <c r="M33" s="420"/>
      <c r="N33" s="392" t="str">
        <f t="shared" si="5"/>
        <v/>
      </c>
      <c r="O33" s="393"/>
      <c r="P33" s="394" t="str">
        <f t="shared" si="8"/>
        <v/>
      </c>
      <c r="Q33" s="395"/>
      <c r="R33" s="396" t="str">
        <f t="shared" si="7"/>
        <v/>
      </c>
      <c r="S33" s="397"/>
      <c r="T33" s="269" t="str">
        <f t="shared" si="6"/>
        <v/>
      </c>
      <c r="U33" s="270"/>
      <c r="V33" s="398"/>
      <c r="W33" s="399"/>
      <c r="X33" s="400"/>
      <c r="Y33" s="401"/>
      <c r="Z33" s="402"/>
    </row>
    <row r="34" spans="1:26" ht="14.15" customHeight="1" x14ac:dyDescent="0.2">
      <c r="A34" s="413">
        <f t="shared" si="2"/>
        <v>41382</v>
      </c>
      <c r="B34" s="414"/>
      <c r="C34" s="1">
        <f t="shared" si="0"/>
        <v>5</v>
      </c>
      <c r="D34" s="421"/>
      <c r="E34" s="422"/>
      <c r="F34" s="421"/>
      <c r="G34" s="422"/>
      <c r="H34" s="407"/>
      <c r="I34" s="408"/>
      <c r="J34" s="417" t="str">
        <f t="shared" si="3"/>
        <v/>
      </c>
      <c r="K34" s="418"/>
      <c r="L34" s="419" t="str">
        <f t="shared" si="4"/>
        <v/>
      </c>
      <c r="M34" s="420"/>
      <c r="N34" s="392" t="str">
        <f t="shared" si="5"/>
        <v/>
      </c>
      <c r="O34" s="393"/>
      <c r="P34" s="394" t="str">
        <f t="shared" si="8"/>
        <v/>
      </c>
      <c r="Q34" s="395"/>
      <c r="R34" s="396" t="str">
        <f t="shared" si="7"/>
        <v/>
      </c>
      <c r="S34" s="397"/>
      <c r="T34" s="269" t="str">
        <f t="shared" si="6"/>
        <v/>
      </c>
      <c r="U34" s="270"/>
      <c r="V34" s="398"/>
      <c r="W34" s="399"/>
      <c r="X34" s="400"/>
      <c r="Y34" s="401"/>
      <c r="Z34" s="402"/>
    </row>
    <row r="35" spans="1:26" ht="14.15" customHeight="1" x14ac:dyDescent="0.2">
      <c r="A35" s="413">
        <f t="shared" si="2"/>
        <v>41383</v>
      </c>
      <c r="B35" s="414"/>
      <c r="C35" s="1">
        <f t="shared" si="0"/>
        <v>6</v>
      </c>
      <c r="D35" s="421"/>
      <c r="E35" s="422"/>
      <c r="F35" s="421"/>
      <c r="G35" s="422"/>
      <c r="H35" s="407"/>
      <c r="I35" s="408"/>
      <c r="J35" s="417" t="str">
        <f t="shared" si="3"/>
        <v/>
      </c>
      <c r="K35" s="418"/>
      <c r="L35" s="419" t="str">
        <f t="shared" si="4"/>
        <v/>
      </c>
      <c r="M35" s="420"/>
      <c r="N35" s="392" t="str">
        <f t="shared" si="5"/>
        <v/>
      </c>
      <c r="O35" s="393"/>
      <c r="P35" s="394" t="str">
        <f t="shared" si="8"/>
        <v/>
      </c>
      <c r="Q35" s="395"/>
      <c r="R35" s="396" t="str">
        <f t="shared" si="7"/>
        <v/>
      </c>
      <c r="S35" s="397"/>
      <c r="T35" s="269" t="str">
        <f t="shared" si="6"/>
        <v/>
      </c>
      <c r="U35" s="270"/>
      <c r="V35" s="398"/>
      <c r="W35" s="399"/>
      <c r="X35" s="400"/>
      <c r="Y35" s="401"/>
      <c r="Z35" s="402"/>
    </row>
    <row r="36" spans="1:26" ht="14.15" customHeight="1" x14ac:dyDescent="0.2">
      <c r="A36" s="413">
        <f t="shared" si="2"/>
        <v>41384</v>
      </c>
      <c r="B36" s="414"/>
      <c r="C36" s="1">
        <f t="shared" si="0"/>
        <v>7</v>
      </c>
      <c r="D36" s="421"/>
      <c r="E36" s="422"/>
      <c r="F36" s="421"/>
      <c r="G36" s="422"/>
      <c r="H36" s="407"/>
      <c r="I36" s="408"/>
      <c r="J36" s="417" t="str">
        <f t="shared" si="3"/>
        <v/>
      </c>
      <c r="K36" s="418"/>
      <c r="L36" s="419" t="str">
        <f t="shared" si="4"/>
        <v/>
      </c>
      <c r="M36" s="420"/>
      <c r="N36" s="392" t="str">
        <f t="shared" si="5"/>
        <v/>
      </c>
      <c r="O36" s="393"/>
      <c r="P36" s="394" t="str">
        <f t="shared" si="8"/>
        <v/>
      </c>
      <c r="Q36" s="395"/>
      <c r="R36" s="396" t="str">
        <f t="shared" si="7"/>
        <v/>
      </c>
      <c r="S36" s="397"/>
      <c r="T36" s="269" t="str">
        <f t="shared" si="6"/>
        <v/>
      </c>
      <c r="U36" s="270"/>
      <c r="V36" s="398"/>
      <c r="W36" s="399"/>
      <c r="X36" s="400"/>
      <c r="Y36" s="401"/>
      <c r="Z36" s="402"/>
    </row>
    <row r="37" spans="1:26" ht="14.15" customHeight="1" x14ac:dyDescent="0.2">
      <c r="A37" s="413">
        <f t="shared" si="2"/>
        <v>41385</v>
      </c>
      <c r="B37" s="414"/>
      <c r="C37" s="1">
        <f t="shared" si="0"/>
        <v>1</v>
      </c>
      <c r="D37" s="421"/>
      <c r="E37" s="422"/>
      <c r="F37" s="421"/>
      <c r="G37" s="422"/>
      <c r="H37" s="407"/>
      <c r="I37" s="408"/>
      <c r="J37" s="417" t="str">
        <f t="shared" si="3"/>
        <v/>
      </c>
      <c r="K37" s="418"/>
      <c r="L37" s="419" t="str">
        <f t="shared" si="4"/>
        <v/>
      </c>
      <c r="M37" s="420"/>
      <c r="N37" s="392" t="str">
        <f t="shared" si="5"/>
        <v/>
      </c>
      <c r="O37" s="393"/>
      <c r="P37" s="394" t="str">
        <f t="shared" si="8"/>
        <v/>
      </c>
      <c r="Q37" s="395"/>
      <c r="R37" s="396" t="str">
        <f t="shared" si="7"/>
        <v/>
      </c>
      <c r="S37" s="397"/>
      <c r="T37" s="269" t="str">
        <f t="shared" si="6"/>
        <v/>
      </c>
      <c r="U37" s="270"/>
      <c r="V37" s="398"/>
      <c r="W37" s="399"/>
      <c r="X37" s="400"/>
      <c r="Y37" s="401"/>
      <c r="Z37" s="402"/>
    </row>
    <row r="38" spans="1:26" ht="14.15" customHeight="1" x14ac:dyDescent="0.2">
      <c r="A38" s="413">
        <f t="shared" si="2"/>
        <v>41386</v>
      </c>
      <c r="B38" s="414"/>
      <c r="C38" s="1">
        <f t="shared" si="0"/>
        <v>2</v>
      </c>
      <c r="D38" s="421"/>
      <c r="E38" s="422"/>
      <c r="F38" s="421"/>
      <c r="G38" s="422"/>
      <c r="H38" s="407"/>
      <c r="I38" s="408"/>
      <c r="J38" s="417" t="str">
        <f t="shared" si="3"/>
        <v/>
      </c>
      <c r="K38" s="418"/>
      <c r="L38" s="419" t="str">
        <f t="shared" si="4"/>
        <v/>
      </c>
      <c r="M38" s="420"/>
      <c r="N38" s="392" t="str">
        <f t="shared" si="5"/>
        <v/>
      </c>
      <c r="O38" s="393"/>
      <c r="P38" s="394" t="str">
        <f t="shared" si="8"/>
        <v/>
      </c>
      <c r="Q38" s="395"/>
      <c r="R38" s="396" t="str">
        <f t="shared" si="7"/>
        <v/>
      </c>
      <c r="S38" s="397"/>
      <c r="T38" s="269" t="str">
        <f t="shared" si="6"/>
        <v/>
      </c>
      <c r="U38" s="270"/>
      <c r="V38" s="398"/>
      <c r="W38" s="399"/>
      <c r="X38" s="400"/>
      <c r="Y38" s="401"/>
      <c r="Z38" s="402"/>
    </row>
    <row r="39" spans="1:26" ht="14.15" customHeight="1" x14ac:dyDescent="0.2">
      <c r="A39" s="413">
        <f t="shared" si="2"/>
        <v>41387</v>
      </c>
      <c r="B39" s="414"/>
      <c r="C39" s="1">
        <f t="shared" si="0"/>
        <v>3</v>
      </c>
      <c r="D39" s="421"/>
      <c r="E39" s="422"/>
      <c r="F39" s="421"/>
      <c r="G39" s="422"/>
      <c r="H39" s="407"/>
      <c r="I39" s="408"/>
      <c r="J39" s="417" t="str">
        <f t="shared" si="3"/>
        <v/>
      </c>
      <c r="K39" s="418"/>
      <c r="L39" s="419" t="str">
        <f t="shared" si="4"/>
        <v/>
      </c>
      <c r="M39" s="420"/>
      <c r="N39" s="392" t="str">
        <f t="shared" si="5"/>
        <v/>
      </c>
      <c r="O39" s="393"/>
      <c r="P39" s="394" t="str">
        <f t="shared" si="8"/>
        <v/>
      </c>
      <c r="Q39" s="395"/>
      <c r="R39" s="396" t="str">
        <f t="shared" si="7"/>
        <v/>
      </c>
      <c r="S39" s="397"/>
      <c r="T39" s="269" t="str">
        <f t="shared" si="6"/>
        <v/>
      </c>
      <c r="U39" s="270"/>
      <c r="V39" s="398"/>
      <c r="W39" s="399"/>
      <c r="X39" s="400"/>
      <c r="Y39" s="401"/>
      <c r="Z39" s="402"/>
    </row>
    <row r="40" spans="1:26" ht="14.15" customHeight="1" x14ac:dyDescent="0.2">
      <c r="A40" s="413">
        <f t="shared" si="2"/>
        <v>41388</v>
      </c>
      <c r="B40" s="414"/>
      <c r="C40" s="1">
        <f t="shared" si="0"/>
        <v>4</v>
      </c>
      <c r="D40" s="421"/>
      <c r="E40" s="422"/>
      <c r="F40" s="421"/>
      <c r="G40" s="422"/>
      <c r="H40" s="407"/>
      <c r="I40" s="408"/>
      <c r="J40" s="417" t="str">
        <f t="shared" si="3"/>
        <v/>
      </c>
      <c r="K40" s="418"/>
      <c r="L40" s="419" t="str">
        <f t="shared" si="4"/>
        <v/>
      </c>
      <c r="M40" s="420"/>
      <c r="N40" s="392" t="str">
        <f t="shared" si="5"/>
        <v/>
      </c>
      <c r="O40" s="393"/>
      <c r="P40" s="394" t="str">
        <f t="shared" si="8"/>
        <v/>
      </c>
      <c r="Q40" s="395"/>
      <c r="R40" s="396" t="str">
        <f t="shared" si="7"/>
        <v/>
      </c>
      <c r="S40" s="397"/>
      <c r="T40" s="269" t="str">
        <f t="shared" si="6"/>
        <v/>
      </c>
      <c r="U40" s="270"/>
      <c r="V40" s="423"/>
      <c r="W40" s="424"/>
      <c r="X40" s="400"/>
      <c r="Y40" s="401"/>
      <c r="Z40" s="402"/>
    </row>
    <row r="41" spans="1:26" ht="14.15" customHeight="1" x14ac:dyDescent="0.2">
      <c r="A41" s="413">
        <f t="shared" si="2"/>
        <v>41389</v>
      </c>
      <c r="B41" s="414"/>
      <c r="C41" s="1">
        <f t="shared" si="0"/>
        <v>5</v>
      </c>
      <c r="D41" s="421"/>
      <c r="E41" s="422"/>
      <c r="F41" s="421"/>
      <c r="G41" s="422"/>
      <c r="H41" s="407"/>
      <c r="I41" s="408"/>
      <c r="J41" s="417" t="str">
        <f t="shared" si="3"/>
        <v/>
      </c>
      <c r="K41" s="418"/>
      <c r="L41" s="419" t="str">
        <f t="shared" si="4"/>
        <v/>
      </c>
      <c r="M41" s="420"/>
      <c r="N41" s="392" t="str">
        <f t="shared" si="5"/>
        <v/>
      </c>
      <c r="O41" s="393"/>
      <c r="P41" s="394" t="str">
        <f t="shared" si="8"/>
        <v/>
      </c>
      <c r="Q41" s="395"/>
      <c r="R41" s="396" t="str">
        <f t="shared" si="7"/>
        <v/>
      </c>
      <c r="S41" s="397"/>
      <c r="T41" s="269" t="str">
        <f t="shared" si="6"/>
        <v/>
      </c>
      <c r="U41" s="270"/>
      <c r="V41" s="423"/>
      <c r="W41" s="424"/>
      <c r="X41" s="400"/>
      <c r="Y41" s="401"/>
      <c r="Z41" s="402"/>
    </row>
    <row r="42" spans="1:26" ht="14.15" customHeight="1" x14ac:dyDescent="0.2">
      <c r="A42" s="413">
        <f t="shared" si="2"/>
        <v>41390</v>
      </c>
      <c r="B42" s="414"/>
      <c r="C42" s="1">
        <f t="shared" si="0"/>
        <v>6</v>
      </c>
      <c r="D42" s="421"/>
      <c r="E42" s="422"/>
      <c r="F42" s="421"/>
      <c r="G42" s="422"/>
      <c r="H42" s="407"/>
      <c r="I42" s="408"/>
      <c r="J42" s="417" t="str">
        <f t="shared" si="3"/>
        <v/>
      </c>
      <c r="K42" s="418"/>
      <c r="L42" s="419" t="str">
        <f t="shared" si="4"/>
        <v/>
      </c>
      <c r="M42" s="420"/>
      <c r="N42" s="392" t="str">
        <f t="shared" si="5"/>
        <v/>
      </c>
      <c r="O42" s="393"/>
      <c r="P42" s="394" t="str">
        <f t="shared" si="8"/>
        <v/>
      </c>
      <c r="Q42" s="395"/>
      <c r="R42" s="396" t="str">
        <f t="shared" si="7"/>
        <v/>
      </c>
      <c r="S42" s="397"/>
      <c r="T42" s="269" t="str">
        <f t="shared" si="6"/>
        <v/>
      </c>
      <c r="U42" s="270"/>
      <c r="V42" s="423"/>
      <c r="W42" s="424"/>
      <c r="X42" s="400"/>
      <c r="Y42" s="401"/>
      <c r="Z42" s="402"/>
    </row>
    <row r="43" spans="1:26" ht="14.15" customHeight="1" x14ac:dyDescent="0.2">
      <c r="A43" s="413">
        <f t="shared" si="2"/>
        <v>41391</v>
      </c>
      <c r="B43" s="414"/>
      <c r="C43" s="1">
        <f t="shared" si="0"/>
        <v>7</v>
      </c>
      <c r="D43" s="421"/>
      <c r="E43" s="422"/>
      <c r="F43" s="421"/>
      <c r="G43" s="422"/>
      <c r="H43" s="407"/>
      <c r="I43" s="408"/>
      <c r="J43" s="417" t="str">
        <f t="shared" si="3"/>
        <v/>
      </c>
      <c r="K43" s="418"/>
      <c r="L43" s="419" t="str">
        <f t="shared" si="4"/>
        <v/>
      </c>
      <c r="M43" s="420"/>
      <c r="N43" s="392" t="str">
        <f t="shared" si="5"/>
        <v/>
      </c>
      <c r="O43" s="393"/>
      <c r="P43" s="394" t="str">
        <f t="shared" si="8"/>
        <v/>
      </c>
      <c r="Q43" s="395"/>
      <c r="R43" s="396" t="str">
        <f t="shared" si="7"/>
        <v/>
      </c>
      <c r="S43" s="397"/>
      <c r="T43" s="269" t="str">
        <f t="shared" si="6"/>
        <v/>
      </c>
      <c r="U43" s="270"/>
      <c r="V43" s="423"/>
      <c r="W43" s="424"/>
      <c r="X43" s="400"/>
      <c r="Y43" s="401"/>
      <c r="Z43" s="402"/>
    </row>
    <row r="44" spans="1:26" ht="14.15" customHeight="1" x14ac:dyDescent="0.2">
      <c r="A44" s="413">
        <f t="shared" si="2"/>
        <v>41392</v>
      </c>
      <c r="B44" s="414"/>
      <c r="C44" s="1">
        <f t="shared" si="0"/>
        <v>1</v>
      </c>
      <c r="D44" s="421"/>
      <c r="E44" s="422"/>
      <c r="F44" s="421"/>
      <c r="G44" s="422"/>
      <c r="H44" s="407"/>
      <c r="I44" s="408"/>
      <c r="J44" s="417" t="str">
        <f t="shared" si="3"/>
        <v/>
      </c>
      <c r="K44" s="418"/>
      <c r="L44" s="419" t="str">
        <f t="shared" si="4"/>
        <v/>
      </c>
      <c r="M44" s="420"/>
      <c r="N44" s="392" t="str">
        <f t="shared" si="5"/>
        <v/>
      </c>
      <c r="O44" s="393"/>
      <c r="P44" s="394" t="str">
        <f t="shared" si="8"/>
        <v/>
      </c>
      <c r="Q44" s="395"/>
      <c r="R44" s="396" t="str">
        <f t="shared" si="7"/>
        <v/>
      </c>
      <c r="S44" s="397"/>
      <c r="T44" s="269" t="str">
        <f t="shared" si="6"/>
        <v/>
      </c>
      <c r="U44" s="270"/>
      <c r="V44" s="423"/>
      <c r="W44" s="424"/>
      <c r="X44" s="400"/>
      <c r="Y44" s="401"/>
      <c r="Z44" s="402"/>
    </row>
    <row r="45" spans="1:26" ht="14.15" customHeight="1" x14ac:dyDescent="0.2">
      <c r="A45" s="413">
        <f>IF(DAY(A44+1)=29,A44+1,"")</f>
        <v>41393</v>
      </c>
      <c r="B45" s="414"/>
      <c r="C45" s="1">
        <f t="shared" si="0"/>
        <v>2</v>
      </c>
      <c r="D45" s="421"/>
      <c r="E45" s="422"/>
      <c r="F45" s="421"/>
      <c r="G45" s="422"/>
      <c r="H45" s="407"/>
      <c r="I45" s="408"/>
      <c r="J45" s="417" t="str">
        <f t="shared" si="3"/>
        <v/>
      </c>
      <c r="K45" s="418"/>
      <c r="L45" s="419" t="str">
        <f t="shared" si="4"/>
        <v/>
      </c>
      <c r="M45" s="420"/>
      <c r="N45" s="392" t="str">
        <f t="shared" si="5"/>
        <v/>
      </c>
      <c r="O45" s="393"/>
      <c r="P45" s="394" t="str">
        <f t="shared" si="8"/>
        <v/>
      </c>
      <c r="Q45" s="395"/>
      <c r="R45" s="396" t="str">
        <f t="shared" si="7"/>
        <v/>
      </c>
      <c r="S45" s="397"/>
      <c r="T45" s="269" t="str">
        <f t="shared" si="6"/>
        <v/>
      </c>
      <c r="U45" s="270"/>
      <c r="V45" s="423"/>
      <c r="W45" s="424"/>
      <c r="X45" s="400"/>
      <c r="Y45" s="401"/>
      <c r="Z45" s="402"/>
    </row>
    <row r="46" spans="1:26" ht="14.15" customHeight="1" x14ac:dyDescent="0.2">
      <c r="A46" s="413">
        <f>IF(A45="","",IF(DAY(A45+1)=30,A45+1,""))</f>
        <v>41394</v>
      </c>
      <c r="B46" s="414"/>
      <c r="C46" s="1">
        <f t="shared" si="0"/>
        <v>3</v>
      </c>
      <c r="D46" s="421"/>
      <c r="E46" s="422"/>
      <c r="F46" s="421"/>
      <c r="G46" s="422"/>
      <c r="H46" s="407"/>
      <c r="I46" s="408"/>
      <c r="J46" s="417" t="str">
        <f t="shared" si="3"/>
        <v/>
      </c>
      <c r="K46" s="418"/>
      <c r="L46" s="419" t="str">
        <f t="shared" si="4"/>
        <v/>
      </c>
      <c r="M46" s="420"/>
      <c r="N46" s="392" t="str">
        <f t="shared" si="5"/>
        <v/>
      </c>
      <c r="O46" s="393"/>
      <c r="P46" s="394" t="str">
        <f t="shared" si="8"/>
        <v/>
      </c>
      <c r="Q46" s="395"/>
      <c r="R46" s="396" t="str">
        <f t="shared" si="7"/>
        <v/>
      </c>
      <c r="S46" s="397"/>
      <c r="T46" s="269" t="str">
        <f t="shared" si="6"/>
        <v/>
      </c>
      <c r="U46" s="270"/>
      <c r="V46" s="423"/>
      <c r="W46" s="424"/>
      <c r="X46" s="400"/>
      <c r="Y46" s="401"/>
      <c r="Z46" s="402"/>
    </row>
    <row r="47" spans="1:26" ht="14.15" customHeight="1" x14ac:dyDescent="0.2">
      <c r="A47" s="413" t="str">
        <f>IF(A46="","",IF(DAY(A46+1)=31,A46+1,""))</f>
        <v/>
      </c>
      <c r="B47" s="414"/>
      <c r="C47" s="1" t="str">
        <f>IF(A47="","",WEEKDAY(A47,1))</f>
        <v/>
      </c>
      <c r="D47" s="421"/>
      <c r="E47" s="422"/>
      <c r="F47" s="421"/>
      <c r="G47" s="422"/>
      <c r="H47" s="407"/>
      <c r="I47" s="408"/>
      <c r="J47" s="417" t="str">
        <f>IF(F47-D47-H47=0,"",F47-D47-H47)</f>
        <v/>
      </c>
      <c r="K47" s="418"/>
      <c r="L47" s="419" t="str">
        <f>IF(J47="","",(DAY(J47)*24+HOUR(J47))+(ROUNDDOWN(MINUTE(J47)/15,0)*0.25))</f>
        <v/>
      </c>
      <c r="M47" s="420"/>
      <c r="N47" s="392" t="str">
        <f t="shared" si="5"/>
        <v/>
      </c>
      <c r="O47" s="393"/>
      <c r="P47" s="394" t="str">
        <f t="shared" si="8"/>
        <v/>
      </c>
      <c r="Q47" s="395"/>
      <c r="R47" s="396" t="str">
        <f t="shared" si="7"/>
        <v/>
      </c>
      <c r="S47" s="397"/>
      <c r="T47" s="269" t="str">
        <f t="shared" si="6"/>
        <v/>
      </c>
      <c r="U47" s="270"/>
      <c r="V47" s="423"/>
      <c r="W47" s="424"/>
      <c r="X47" s="400"/>
      <c r="Y47" s="401"/>
      <c r="Z47" s="402"/>
    </row>
    <row r="48" spans="1:26" ht="14.15" customHeight="1" x14ac:dyDescent="0.2">
      <c r="A48" s="274"/>
      <c r="B48" s="275"/>
      <c r="C48" s="35"/>
      <c r="D48" s="421"/>
      <c r="E48" s="422"/>
      <c r="F48" s="421"/>
      <c r="G48" s="422"/>
      <c r="H48" s="433"/>
      <c r="I48" s="434"/>
      <c r="J48" s="435"/>
      <c r="K48" s="436"/>
      <c r="L48" s="419"/>
      <c r="M48" s="420"/>
      <c r="N48" s="425"/>
      <c r="O48" s="426"/>
      <c r="P48" s="427"/>
      <c r="Q48" s="428"/>
      <c r="R48" s="427"/>
      <c r="S48" s="428"/>
      <c r="T48" s="427"/>
      <c r="U48" s="426"/>
      <c r="V48" s="429"/>
      <c r="W48" s="426"/>
      <c r="X48" s="430"/>
      <c r="Y48" s="431"/>
      <c r="Z48" s="432"/>
    </row>
    <row r="49" spans="1:26" ht="14.15" customHeight="1" x14ac:dyDescent="0.2">
      <c r="A49" s="255" t="s">
        <v>16</v>
      </c>
      <c r="B49" s="256"/>
      <c r="C49" s="256"/>
      <c r="D49" s="256"/>
      <c r="E49" s="256"/>
      <c r="F49" s="256"/>
      <c r="G49" s="256"/>
      <c r="H49" s="256"/>
      <c r="I49" s="256"/>
      <c r="J49" s="256"/>
      <c r="K49" s="257"/>
      <c r="L49" s="258">
        <f>SUM(L17:M48)</f>
        <v>0</v>
      </c>
      <c r="M49" s="259"/>
      <c r="N49" s="439">
        <f>SUM(N17:O48)</f>
        <v>0</v>
      </c>
      <c r="O49" s="440"/>
      <c r="P49" s="262">
        <f>SUM(P17:Q48)</f>
        <v>0</v>
      </c>
      <c r="Q49" s="263"/>
      <c r="R49" s="242">
        <f>SUM(R17:S48)</f>
        <v>0</v>
      </c>
      <c r="S49" s="264"/>
      <c r="T49" s="242">
        <f>SUM(T17:U48)</f>
        <v>0</v>
      </c>
      <c r="U49" s="243"/>
      <c r="V49" s="242">
        <f>SUM(V17:W48)</f>
        <v>0</v>
      </c>
      <c r="W49" s="243"/>
      <c r="X49" s="244">
        <f>SUM(N49:V49)</f>
        <v>0</v>
      </c>
      <c r="Y49" s="245"/>
      <c r="Z49" s="437"/>
    </row>
    <row r="50" spans="1:26" ht="14.15" customHeight="1" thickBot="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19"/>
      <c r="N50" s="19"/>
      <c r="O50" s="19"/>
      <c r="P50" s="19"/>
      <c r="Q50" s="19"/>
      <c r="R50" s="4"/>
      <c r="S50" s="4"/>
      <c r="T50" s="4"/>
      <c r="U50" s="4"/>
      <c r="V50" s="4"/>
    </row>
    <row r="51" spans="1:26" ht="14.15" customHeight="1" thickTop="1" thickBot="1" x14ac:dyDescent="0.25">
      <c r="A51" s="232" t="s">
        <v>38</v>
      </c>
      <c r="B51" s="233"/>
      <c r="C51" s="20">
        <f>COUNTA(D17:D47)-K51</f>
        <v>0</v>
      </c>
      <c r="D51" s="21" t="s">
        <v>17</v>
      </c>
      <c r="E51" s="236" t="s">
        <v>32</v>
      </c>
      <c r="F51" s="233"/>
      <c r="G51" s="22">
        <v>0</v>
      </c>
      <c r="H51" s="21" t="s">
        <v>19</v>
      </c>
      <c r="I51" s="236" t="s">
        <v>18</v>
      </c>
      <c r="J51" s="438"/>
      <c r="K51" s="20"/>
      <c r="L51" s="23" t="s">
        <v>19</v>
      </c>
      <c r="M51" s="208" t="s">
        <v>20</v>
      </c>
      <c r="N51" s="209"/>
      <c r="O51" s="24">
        <f ca="1">IF(MONTH(A3)=1,INDIRECT(MONTH(A3)+11&amp;"月!O51")-INDIRECT(MONTH(A3)&amp;"月!K51"),INDIRECT(MONTH(A3)-1&amp;"月!O51")-INDIRECT(MONTH(A3)&amp;"月!K51"))</f>
        <v>0</v>
      </c>
      <c r="P51" s="25" t="s">
        <v>19</v>
      </c>
      <c r="Q51" t="s">
        <v>48</v>
      </c>
      <c r="R51" s="4"/>
      <c r="S51" s="4"/>
      <c r="T51" s="4"/>
      <c r="U51" s="4"/>
      <c r="V51" s="4"/>
    </row>
    <row r="52" spans="1:26" ht="14.15" customHeight="1" thickTop="1" thickBot="1" x14ac:dyDescent="0.3">
      <c r="A52" s="4"/>
      <c r="B52" s="6"/>
      <c r="C52" s="6"/>
      <c r="D52" s="6"/>
      <c r="E52" s="6"/>
      <c r="F52" s="4"/>
      <c r="G52" s="4"/>
      <c r="H52" s="26"/>
      <c r="I52" s="26"/>
      <c r="J52" s="26"/>
      <c r="K52" s="4"/>
      <c r="L52" s="4"/>
      <c r="M52" s="6"/>
      <c r="N52" s="6"/>
      <c r="O52" s="6"/>
      <c r="P52" s="6"/>
      <c r="Q52" s="36" t="s">
        <v>49</v>
      </c>
      <c r="R52" s="6"/>
      <c r="S52" s="6"/>
      <c r="T52" s="6"/>
      <c r="U52" s="6"/>
    </row>
    <row r="53" spans="1:26" ht="14.15" customHeight="1" thickTop="1" x14ac:dyDescent="0.2">
      <c r="A53" s="224"/>
      <c r="B53" s="225"/>
      <c r="C53" s="226"/>
      <c r="D53" s="228" t="s">
        <v>21</v>
      </c>
      <c r="E53" s="228"/>
      <c r="F53" s="33"/>
      <c r="G53" s="228" t="s">
        <v>22</v>
      </c>
      <c r="H53" s="228"/>
      <c r="I53" s="34"/>
      <c r="J53" s="229"/>
      <c r="K53" s="225"/>
      <c r="L53" s="230"/>
      <c r="M53" s="27"/>
      <c r="N53" s="28"/>
      <c r="O53" s="32"/>
      <c r="P53" s="4"/>
      <c r="S53" s="4"/>
    </row>
    <row r="54" spans="1:26" ht="14.15" customHeight="1" x14ac:dyDescent="0.2">
      <c r="A54" s="441" t="s">
        <v>23</v>
      </c>
      <c r="B54" s="442"/>
      <c r="C54" s="443"/>
      <c r="D54" s="444">
        <v>1000</v>
      </c>
      <c r="E54" s="445"/>
      <c r="F54" s="29" t="s">
        <v>39</v>
      </c>
      <c r="G54" s="446">
        <f>N49</f>
        <v>0</v>
      </c>
      <c r="H54" s="446"/>
      <c r="I54" s="30" t="s">
        <v>40</v>
      </c>
      <c r="J54" s="221">
        <f>D54*G54</f>
        <v>0</v>
      </c>
      <c r="K54" s="222"/>
      <c r="L54" s="223"/>
      <c r="M54" s="4"/>
      <c r="N54" s="6"/>
      <c r="O54" s="6"/>
      <c r="P54" s="4"/>
      <c r="S54" s="4"/>
    </row>
    <row r="55" spans="1:26" ht="14.15" customHeight="1" x14ac:dyDescent="0.2">
      <c r="A55" s="447" t="s">
        <v>41</v>
      </c>
      <c r="B55" s="448"/>
      <c r="C55" s="449"/>
      <c r="D55" s="450">
        <f>ROUNDUP($D$54*1.25,0)</f>
        <v>1250</v>
      </c>
      <c r="E55" s="451"/>
      <c r="F55" s="29" t="s">
        <v>39</v>
      </c>
      <c r="G55" s="452">
        <f>P49</f>
        <v>0</v>
      </c>
      <c r="H55" s="452"/>
      <c r="I55" s="30" t="s">
        <v>40</v>
      </c>
      <c r="J55" s="212">
        <f>D55*G55</f>
        <v>0</v>
      </c>
      <c r="K55" s="213"/>
      <c r="L55" s="214"/>
      <c r="M55" s="4"/>
      <c r="N55" s="6"/>
      <c r="O55" s="6"/>
      <c r="P55" s="4"/>
      <c r="S55" s="4"/>
    </row>
    <row r="56" spans="1:26" ht="14.15" customHeight="1" x14ac:dyDescent="0.2">
      <c r="A56" s="447" t="s">
        <v>24</v>
      </c>
      <c r="B56" s="448"/>
      <c r="C56" s="449"/>
      <c r="D56" s="450">
        <f>ROUNDUP($D$54*1.5,0)</f>
        <v>1500</v>
      </c>
      <c r="E56" s="451"/>
      <c r="F56" s="29" t="s">
        <v>39</v>
      </c>
      <c r="G56" s="452">
        <f>R49</f>
        <v>0</v>
      </c>
      <c r="H56" s="452"/>
      <c r="I56" s="30" t="s">
        <v>40</v>
      </c>
      <c r="J56" s="212">
        <f>D56*G56</f>
        <v>0</v>
      </c>
      <c r="K56" s="213"/>
      <c r="L56" s="214"/>
      <c r="M56" s="4"/>
      <c r="N56" s="6"/>
      <c r="O56" s="6"/>
      <c r="P56" s="4"/>
      <c r="S56" s="4"/>
    </row>
    <row r="57" spans="1:26" ht="14.15" customHeight="1" x14ac:dyDescent="0.2">
      <c r="A57" s="447" t="s">
        <v>25</v>
      </c>
      <c r="B57" s="448"/>
      <c r="C57" s="449"/>
      <c r="D57" s="450">
        <f>ROUNDUP($D$54*1.35,0)</f>
        <v>1350</v>
      </c>
      <c r="E57" s="451"/>
      <c r="F57" s="29" t="s">
        <v>39</v>
      </c>
      <c r="G57" s="452">
        <f>T49</f>
        <v>0</v>
      </c>
      <c r="H57" s="452"/>
      <c r="I57" s="30" t="s">
        <v>40</v>
      </c>
      <c r="J57" s="212">
        <f>D57*G57</f>
        <v>0</v>
      </c>
      <c r="K57" s="213"/>
      <c r="L57" s="214"/>
      <c r="M57" s="4"/>
      <c r="N57" s="4"/>
      <c r="O57" s="4"/>
      <c r="P57" s="4"/>
      <c r="S57" s="4"/>
    </row>
    <row r="58" spans="1:26" ht="14.15" customHeight="1" x14ac:dyDescent="0.2">
      <c r="A58" s="453" t="s">
        <v>42</v>
      </c>
      <c r="B58" s="454"/>
      <c r="C58" s="455"/>
      <c r="D58" s="450">
        <f>ROUNDUP($D$54*1.6,0)</f>
        <v>1600</v>
      </c>
      <c r="E58" s="451"/>
      <c r="F58" s="29" t="s">
        <v>39</v>
      </c>
      <c r="G58" s="456">
        <f>V49</f>
        <v>0</v>
      </c>
      <c r="H58" s="456"/>
      <c r="I58" s="30" t="s">
        <v>40</v>
      </c>
      <c r="J58" s="457">
        <f>D58*G58</f>
        <v>0</v>
      </c>
      <c r="K58" s="458"/>
      <c r="L58" s="459"/>
      <c r="M58" s="4"/>
      <c r="N58" s="4"/>
      <c r="O58" s="4"/>
      <c r="P58" s="6"/>
      <c r="U58" s="467" t="s">
        <v>26</v>
      </c>
      <c r="V58" s="468"/>
      <c r="W58" s="469"/>
      <c r="X58" s="467" t="s">
        <v>27</v>
      </c>
      <c r="Y58" s="468"/>
      <c r="Z58" s="469"/>
    </row>
    <row r="59" spans="1:26" ht="14.15" customHeight="1" x14ac:dyDescent="0.2">
      <c r="A59" s="132" t="s">
        <v>28</v>
      </c>
      <c r="B59" s="124"/>
      <c r="C59" s="124"/>
      <c r="D59" s="124"/>
      <c r="E59" s="124"/>
      <c r="F59" s="124"/>
      <c r="G59" s="124"/>
      <c r="H59" s="124"/>
      <c r="I59" s="125"/>
      <c r="J59" s="126">
        <f>SUM(J54:L58)</f>
        <v>0</v>
      </c>
      <c r="K59" s="127"/>
      <c r="L59" s="128"/>
      <c r="M59" s="4"/>
      <c r="N59" s="4"/>
      <c r="O59" s="4"/>
      <c r="P59" s="6"/>
      <c r="U59" s="470" t="s">
        <v>30</v>
      </c>
      <c r="V59" s="471"/>
      <c r="W59" s="472"/>
      <c r="X59" s="470" t="s">
        <v>30</v>
      </c>
      <c r="Y59" s="471"/>
      <c r="Z59" s="472"/>
    </row>
    <row r="60" spans="1:26" ht="14.15" customHeight="1" x14ac:dyDescent="0.2">
      <c r="A60" s="132" t="s">
        <v>29</v>
      </c>
      <c r="B60" s="124"/>
      <c r="C60" s="124"/>
      <c r="D60" s="124"/>
      <c r="E60" s="124"/>
      <c r="F60" s="124"/>
      <c r="G60" s="124"/>
      <c r="H60" s="124"/>
      <c r="I60" s="125"/>
      <c r="J60" s="479">
        <v>100</v>
      </c>
      <c r="K60" s="480"/>
      <c r="L60" s="481"/>
      <c r="M60" s="4"/>
      <c r="N60" s="6"/>
      <c r="O60" s="31"/>
      <c r="P60" s="6"/>
      <c r="Q60" s="6"/>
      <c r="U60" s="473"/>
      <c r="V60" s="474"/>
      <c r="W60" s="475"/>
      <c r="X60" s="473"/>
      <c r="Y60" s="474"/>
      <c r="Z60" s="475"/>
    </row>
    <row r="61" spans="1:26" ht="13.5" customHeight="1" x14ac:dyDescent="0.2">
      <c r="A61" s="132" t="s">
        <v>50</v>
      </c>
      <c r="B61" s="124"/>
      <c r="C61" s="124"/>
      <c r="D61" s="124"/>
      <c r="E61" s="124"/>
      <c r="F61" s="124"/>
      <c r="G61" s="124"/>
      <c r="H61" s="124"/>
      <c r="I61" s="125"/>
      <c r="J61" s="129">
        <v>0</v>
      </c>
      <c r="K61" s="130"/>
      <c r="L61" s="131"/>
      <c r="U61" s="473"/>
      <c r="V61" s="474"/>
      <c r="W61" s="475"/>
      <c r="X61" s="473"/>
      <c r="Y61" s="474"/>
      <c r="Z61" s="475"/>
    </row>
    <row r="62" spans="1:26" ht="13.5" customHeight="1" x14ac:dyDescent="0.2">
      <c r="A62" s="132" t="s">
        <v>51</v>
      </c>
      <c r="B62" s="124"/>
      <c r="C62" s="124"/>
      <c r="D62" s="124"/>
      <c r="E62" s="124"/>
      <c r="F62" s="124"/>
      <c r="G62" s="124"/>
      <c r="H62" s="124"/>
      <c r="I62" s="125"/>
      <c r="J62" s="129">
        <v>0</v>
      </c>
      <c r="K62" s="130"/>
      <c r="L62" s="131"/>
      <c r="U62" s="473"/>
      <c r="V62" s="474"/>
      <c r="W62" s="475"/>
      <c r="X62" s="473"/>
      <c r="Y62" s="474"/>
      <c r="Z62" s="475"/>
    </row>
    <row r="63" spans="1:26" ht="13.5" customHeight="1" x14ac:dyDescent="0.2">
      <c r="A63" s="132"/>
      <c r="B63" s="124"/>
      <c r="C63" s="124"/>
      <c r="D63" s="124"/>
      <c r="E63" s="124"/>
      <c r="F63" s="124"/>
      <c r="G63" s="124"/>
      <c r="H63" s="124"/>
      <c r="I63" s="125"/>
      <c r="J63" s="129"/>
      <c r="K63" s="130"/>
      <c r="L63" s="131"/>
      <c r="U63" s="473"/>
      <c r="V63" s="474"/>
      <c r="W63" s="475"/>
      <c r="X63" s="473"/>
      <c r="Y63" s="474"/>
      <c r="Z63" s="475"/>
    </row>
    <row r="64" spans="1:26" ht="13.5" customHeight="1" x14ac:dyDescent="0.2">
      <c r="A64" s="132"/>
      <c r="B64" s="124"/>
      <c r="C64" s="124"/>
      <c r="D64" s="124"/>
      <c r="E64" s="124"/>
      <c r="F64" s="124"/>
      <c r="G64" s="124"/>
      <c r="H64" s="124"/>
      <c r="I64" s="125"/>
      <c r="J64" s="129"/>
      <c r="K64" s="130"/>
      <c r="L64" s="131"/>
      <c r="U64" s="473"/>
      <c r="V64" s="474"/>
      <c r="W64" s="475"/>
      <c r="X64" s="473"/>
      <c r="Y64" s="474"/>
      <c r="Z64" s="475"/>
    </row>
    <row r="65" spans="1:26" ht="14.15" customHeight="1" thickBot="1" x14ac:dyDescent="0.25">
      <c r="A65" s="460" t="s">
        <v>31</v>
      </c>
      <c r="B65" s="461"/>
      <c r="C65" s="461"/>
      <c r="D65" s="461"/>
      <c r="E65" s="461"/>
      <c r="F65" s="461"/>
      <c r="G65" s="461"/>
      <c r="H65" s="461"/>
      <c r="I65" s="462"/>
      <c r="J65" s="463">
        <f>SUM(J59:L64)</f>
        <v>100</v>
      </c>
      <c r="K65" s="464"/>
      <c r="L65" s="465"/>
      <c r="U65" s="476"/>
      <c r="V65" s="477"/>
      <c r="W65" s="478"/>
      <c r="X65" s="476"/>
      <c r="Y65" s="477"/>
      <c r="Z65" s="478"/>
    </row>
    <row r="66" spans="1:26" ht="14.15" customHeight="1" thickTop="1" x14ac:dyDescent="0.2">
      <c r="G66" s="2"/>
      <c r="H66" s="2"/>
      <c r="I66" s="466"/>
      <c r="J66" s="466"/>
    </row>
  </sheetData>
  <mergeCells count="465">
    <mergeCell ref="A65:I65"/>
    <mergeCell ref="J65:L65"/>
    <mergeCell ref="I66:J66"/>
    <mergeCell ref="U58:W58"/>
    <mergeCell ref="X58:Z58"/>
    <mergeCell ref="A59:I59"/>
    <mergeCell ref="J59:L59"/>
    <mergeCell ref="U59:W65"/>
    <mergeCell ref="X59:Z65"/>
    <mergeCell ref="A60:I60"/>
    <mergeCell ref="J60:L60"/>
    <mergeCell ref="A61:I61"/>
    <mergeCell ref="J61:L61"/>
    <mergeCell ref="A62:I62"/>
    <mergeCell ref="A64:I64"/>
    <mergeCell ref="J62:L62"/>
    <mergeCell ref="J64:L64"/>
    <mergeCell ref="J63:L63"/>
    <mergeCell ref="A63:I63"/>
    <mergeCell ref="A57:C57"/>
    <mergeCell ref="D57:E57"/>
    <mergeCell ref="G57:H57"/>
    <mergeCell ref="J57:L57"/>
    <mergeCell ref="A58:C58"/>
    <mergeCell ref="D58:E58"/>
    <mergeCell ref="G58:H58"/>
    <mergeCell ref="J58:L58"/>
    <mergeCell ref="A55:C55"/>
    <mergeCell ref="D55:E55"/>
    <mergeCell ref="G55:H55"/>
    <mergeCell ref="J55:L55"/>
    <mergeCell ref="A56:C56"/>
    <mergeCell ref="D56:E56"/>
    <mergeCell ref="G56:H56"/>
    <mergeCell ref="J56:L56"/>
    <mergeCell ref="A53:C53"/>
    <mergeCell ref="D53:E53"/>
    <mergeCell ref="G53:H53"/>
    <mergeCell ref="J53:L53"/>
    <mergeCell ref="A54:C54"/>
    <mergeCell ref="D54:E54"/>
    <mergeCell ref="G54:H54"/>
    <mergeCell ref="J54:L54"/>
    <mergeCell ref="V49:W49"/>
    <mergeCell ref="X49:Z49"/>
    <mergeCell ref="A51:B51"/>
    <mergeCell ref="E51:F51"/>
    <mergeCell ref="I51:J51"/>
    <mergeCell ref="M51:N51"/>
    <mergeCell ref="A49:K49"/>
    <mergeCell ref="L49:M49"/>
    <mergeCell ref="N49:O49"/>
    <mergeCell ref="P49:Q49"/>
    <mergeCell ref="R49:S49"/>
    <mergeCell ref="T49:U49"/>
    <mergeCell ref="N48:O48"/>
    <mergeCell ref="P48:Q48"/>
    <mergeCell ref="R48:S48"/>
    <mergeCell ref="T48:U48"/>
    <mergeCell ref="V48:W48"/>
    <mergeCell ref="X48:Z48"/>
    <mergeCell ref="A48:B48"/>
    <mergeCell ref="D48:E48"/>
    <mergeCell ref="F48:G48"/>
    <mergeCell ref="H48:I48"/>
    <mergeCell ref="J48:K48"/>
    <mergeCell ref="L48:M48"/>
    <mergeCell ref="N47:O47"/>
    <mergeCell ref="P47:Q47"/>
    <mergeCell ref="R47:S47"/>
    <mergeCell ref="T47:U47"/>
    <mergeCell ref="V47:W47"/>
    <mergeCell ref="X47:Z47"/>
    <mergeCell ref="A47:B47"/>
    <mergeCell ref="D47:E47"/>
    <mergeCell ref="F47:G47"/>
    <mergeCell ref="H47:I47"/>
    <mergeCell ref="J47:K47"/>
    <mergeCell ref="L47:M47"/>
    <mergeCell ref="N46:O46"/>
    <mergeCell ref="P46:Q46"/>
    <mergeCell ref="R46:S46"/>
    <mergeCell ref="T46:U46"/>
    <mergeCell ref="V46:W46"/>
    <mergeCell ref="X46:Z46"/>
    <mergeCell ref="A46:B46"/>
    <mergeCell ref="D46:E46"/>
    <mergeCell ref="F46:G46"/>
    <mergeCell ref="H46:I46"/>
    <mergeCell ref="J46:K46"/>
    <mergeCell ref="L46:M46"/>
    <mergeCell ref="N45:O45"/>
    <mergeCell ref="P45:Q45"/>
    <mergeCell ref="R45:S45"/>
    <mergeCell ref="T45:U45"/>
    <mergeCell ref="V45:W45"/>
    <mergeCell ref="X45:Z45"/>
    <mergeCell ref="A45:B45"/>
    <mergeCell ref="D45:E45"/>
    <mergeCell ref="F45:G45"/>
    <mergeCell ref="H45:I45"/>
    <mergeCell ref="J45:K45"/>
    <mergeCell ref="L45:M45"/>
    <mergeCell ref="N44:O44"/>
    <mergeCell ref="P44:Q44"/>
    <mergeCell ref="R44:S44"/>
    <mergeCell ref="T44:U44"/>
    <mergeCell ref="V44:W44"/>
    <mergeCell ref="X44:Z44"/>
    <mergeCell ref="A44:B44"/>
    <mergeCell ref="D44:E44"/>
    <mergeCell ref="F44:G44"/>
    <mergeCell ref="H44:I44"/>
    <mergeCell ref="J44:K44"/>
    <mergeCell ref="L44:M44"/>
    <mergeCell ref="N43:O43"/>
    <mergeCell ref="P43:Q43"/>
    <mergeCell ref="R43:S43"/>
    <mergeCell ref="T43:U43"/>
    <mergeCell ref="V43:W43"/>
    <mergeCell ref="X43:Z43"/>
    <mergeCell ref="A43:B43"/>
    <mergeCell ref="D43:E43"/>
    <mergeCell ref="F43:G43"/>
    <mergeCell ref="H43:I43"/>
    <mergeCell ref="J43:K43"/>
    <mergeCell ref="L43:M43"/>
    <mergeCell ref="N42:O42"/>
    <mergeCell ref="P42:Q42"/>
    <mergeCell ref="R42:S42"/>
    <mergeCell ref="T42:U42"/>
    <mergeCell ref="V42:W42"/>
    <mergeCell ref="X42:Z42"/>
    <mergeCell ref="A42:B42"/>
    <mergeCell ref="D42:E42"/>
    <mergeCell ref="F42:G42"/>
    <mergeCell ref="H42:I42"/>
    <mergeCell ref="J42:K42"/>
    <mergeCell ref="L42:M42"/>
    <mergeCell ref="N41:O41"/>
    <mergeCell ref="P41:Q41"/>
    <mergeCell ref="R41:S41"/>
    <mergeCell ref="T41:U41"/>
    <mergeCell ref="V41:W41"/>
    <mergeCell ref="X41:Z41"/>
    <mergeCell ref="A41:B41"/>
    <mergeCell ref="D41:E41"/>
    <mergeCell ref="F41:G41"/>
    <mergeCell ref="H41:I41"/>
    <mergeCell ref="J41:K41"/>
    <mergeCell ref="L41:M41"/>
    <mergeCell ref="N40:O40"/>
    <mergeCell ref="P40:Q40"/>
    <mergeCell ref="R40:S40"/>
    <mergeCell ref="T40:U40"/>
    <mergeCell ref="V40:W40"/>
    <mergeCell ref="X40:Z40"/>
    <mergeCell ref="A40:B40"/>
    <mergeCell ref="D40:E40"/>
    <mergeCell ref="F40:G40"/>
    <mergeCell ref="H40:I40"/>
    <mergeCell ref="J40:K40"/>
    <mergeCell ref="L40:M40"/>
    <mergeCell ref="N39:O39"/>
    <mergeCell ref="P39:Q39"/>
    <mergeCell ref="R39:S39"/>
    <mergeCell ref="T39:U39"/>
    <mergeCell ref="V39:W39"/>
    <mergeCell ref="X39:Z39"/>
    <mergeCell ref="A39:B39"/>
    <mergeCell ref="D39:E39"/>
    <mergeCell ref="F39:G39"/>
    <mergeCell ref="H39:I39"/>
    <mergeCell ref="J39:K39"/>
    <mergeCell ref="L39:M39"/>
    <mergeCell ref="N38:O38"/>
    <mergeCell ref="P38:Q38"/>
    <mergeCell ref="R38:S38"/>
    <mergeCell ref="T38:U38"/>
    <mergeCell ref="V38:W38"/>
    <mergeCell ref="X38:Z38"/>
    <mergeCell ref="A38:B38"/>
    <mergeCell ref="D38:E38"/>
    <mergeCell ref="F38:G38"/>
    <mergeCell ref="H38:I38"/>
    <mergeCell ref="J38:K38"/>
    <mergeCell ref="L38:M38"/>
    <mergeCell ref="N37:O37"/>
    <mergeCell ref="P37:Q37"/>
    <mergeCell ref="R37:S37"/>
    <mergeCell ref="T37:U37"/>
    <mergeCell ref="V37:W37"/>
    <mergeCell ref="X37:Z37"/>
    <mergeCell ref="A37:B37"/>
    <mergeCell ref="D37:E37"/>
    <mergeCell ref="F37:G37"/>
    <mergeCell ref="H37:I37"/>
    <mergeCell ref="J37:K37"/>
    <mergeCell ref="L37:M37"/>
    <mergeCell ref="N36:O36"/>
    <mergeCell ref="P36:Q36"/>
    <mergeCell ref="R36:S36"/>
    <mergeCell ref="T36:U36"/>
    <mergeCell ref="V36:W36"/>
    <mergeCell ref="X36:Z36"/>
    <mergeCell ref="A36:B36"/>
    <mergeCell ref="D36:E36"/>
    <mergeCell ref="F36:G36"/>
    <mergeCell ref="H36:I36"/>
    <mergeCell ref="J36:K36"/>
    <mergeCell ref="L36:M36"/>
    <mergeCell ref="N35:O35"/>
    <mergeCell ref="P35:Q35"/>
    <mergeCell ref="R35:S35"/>
    <mergeCell ref="T35:U35"/>
    <mergeCell ref="V35:W35"/>
    <mergeCell ref="X35:Z35"/>
    <mergeCell ref="A35:B35"/>
    <mergeCell ref="D35:E35"/>
    <mergeCell ref="F35:G35"/>
    <mergeCell ref="H35:I35"/>
    <mergeCell ref="J35:K35"/>
    <mergeCell ref="L35:M35"/>
    <mergeCell ref="N34:O34"/>
    <mergeCell ref="P34:Q34"/>
    <mergeCell ref="R34:S34"/>
    <mergeCell ref="T34:U34"/>
    <mergeCell ref="V34:W34"/>
    <mergeCell ref="X34:Z34"/>
    <mergeCell ref="A34:B34"/>
    <mergeCell ref="D34:E34"/>
    <mergeCell ref="F34:G34"/>
    <mergeCell ref="H34:I34"/>
    <mergeCell ref="J34:K34"/>
    <mergeCell ref="L34:M34"/>
    <mergeCell ref="N33:O33"/>
    <mergeCell ref="P33:Q33"/>
    <mergeCell ref="R33:S33"/>
    <mergeCell ref="T33:U33"/>
    <mergeCell ref="V33:W33"/>
    <mergeCell ref="X33:Z33"/>
    <mergeCell ref="A33:B33"/>
    <mergeCell ref="D33:E33"/>
    <mergeCell ref="F33:G33"/>
    <mergeCell ref="H33:I33"/>
    <mergeCell ref="J33:K33"/>
    <mergeCell ref="L33:M33"/>
    <mergeCell ref="N32:O32"/>
    <mergeCell ref="P32:Q32"/>
    <mergeCell ref="R32:S32"/>
    <mergeCell ref="T32:U32"/>
    <mergeCell ref="V32:W32"/>
    <mergeCell ref="X32:Z32"/>
    <mergeCell ref="A32:B32"/>
    <mergeCell ref="D32:E32"/>
    <mergeCell ref="F32:G32"/>
    <mergeCell ref="H32:I32"/>
    <mergeCell ref="J32:K32"/>
    <mergeCell ref="L32:M32"/>
    <mergeCell ref="N31:O31"/>
    <mergeCell ref="P31:Q31"/>
    <mergeCell ref="R31:S31"/>
    <mergeCell ref="T31:U31"/>
    <mergeCell ref="V31:W31"/>
    <mergeCell ref="X31:Z31"/>
    <mergeCell ref="A31:B31"/>
    <mergeCell ref="D31:E31"/>
    <mergeCell ref="F31:G31"/>
    <mergeCell ref="H31:I31"/>
    <mergeCell ref="J31:K31"/>
    <mergeCell ref="L31:M31"/>
    <mergeCell ref="N30:O30"/>
    <mergeCell ref="P30:Q30"/>
    <mergeCell ref="R30:S30"/>
    <mergeCell ref="T30:U30"/>
    <mergeCell ref="V30:W30"/>
    <mergeCell ref="X30:Z30"/>
    <mergeCell ref="A30:B30"/>
    <mergeCell ref="D30:E30"/>
    <mergeCell ref="F30:G30"/>
    <mergeCell ref="H30:I30"/>
    <mergeCell ref="J30:K30"/>
    <mergeCell ref="L30:M30"/>
    <mergeCell ref="N29:O29"/>
    <mergeCell ref="P29:Q29"/>
    <mergeCell ref="R29:S29"/>
    <mergeCell ref="T29:U29"/>
    <mergeCell ref="V29:W29"/>
    <mergeCell ref="X29:Z29"/>
    <mergeCell ref="A29:B29"/>
    <mergeCell ref="D29:E29"/>
    <mergeCell ref="F29:G29"/>
    <mergeCell ref="H29:I29"/>
    <mergeCell ref="J29:K29"/>
    <mergeCell ref="L29:M29"/>
    <mergeCell ref="N28:O28"/>
    <mergeCell ref="P28:Q28"/>
    <mergeCell ref="R28:S28"/>
    <mergeCell ref="T28:U28"/>
    <mergeCell ref="V28:W28"/>
    <mergeCell ref="X28:Z28"/>
    <mergeCell ref="A28:B28"/>
    <mergeCell ref="D28:E28"/>
    <mergeCell ref="F28:G28"/>
    <mergeCell ref="H28:I28"/>
    <mergeCell ref="J28:K28"/>
    <mergeCell ref="L28:M28"/>
    <mergeCell ref="N27:O27"/>
    <mergeCell ref="P27:Q27"/>
    <mergeCell ref="R27:S27"/>
    <mergeCell ref="T27:U27"/>
    <mergeCell ref="V27:W27"/>
    <mergeCell ref="X27:Z27"/>
    <mergeCell ref="A27:B27"/>
    <mergeCell ref="D27:E27"/>
    <mergeCell ref="F27:G27"/>
    <mergeCell ref="H27:I27"/>
    <mergeCell ref="J27:K27"/>
    <mergeCell ref="L27:M27"/>
    <mergeCell ref="N26:O26"/>
    <mergeCell ref="P26:Q26"/>
    <mergeCell ref="R26:S26"/>
    <mergeCell ref="T26:U26"/>
    <mergeCell ref="V26:W26"/>
    <mergeCell ref="X26:Z26"/>
    <mergeCell ref="A26:B26"/>
    <mergeCell ref="D26:E26"/>
    <mergeCell ref="F26:G26"/>
    <mergeCell ref="H26:I26"/>
    <mergeCell ref="J26:K26"/>
    <mergeCell ref="L26:M26"/>
    <mergeCell ref="N25:O25"/>
    <mergeCell ref="P25:Q25"/>
    <mergeCell ref="R25:S25"/>
    <mergeCell ref="T25:U25"/>
    <mergeCell ref="V25:W25"/>
    <mergeCell ref="X25:Z25"/>
    <mergeCell ref="A25:B25"/>
    <mergeCell ref="D25:E25"/>
    <mergeCell ref="F25:G25"/>
    <mergeCell ref="H25:I25"/>
    <mergeCell ref="J25:K25"/>
    <mergeCell ref="L25:M25"/>
    <mergeCell ref="N24:O24"/>
    <mergeCell ref="P24:Q24"/>
    <mergeCell ref="R24:S24"/>
    <mergeCell ref="T24:U24"/>
    <mergeCell ref="V24:W24"/>
    <mergeCell ref="X24:Z24"/>
    <mergeCell ref="A24:B24"/>
    <mergeCell ref="D24:E24"/>
    <mergeCell ref="F24:G24"/>
    <mergeCell ref="H24:I24"/>
    <mergeCell ref="J24:K24"/>
    <mergeCell ref="L24:M24"/>
    <mergeCell ref="N23:O23"/>
    <mergeCell ref="P23:Q23"/>
    <mergeCell ref="R23:S23"/>
    <mergeCell ref="T23:U23"/>
    <mergeCell ref="V23:W23"/>
    <mergeCell ref="X23:Z23"/>
    <mergeCell ref="A23:B23"/>
    <mergeCell ref="D23:E23"/>
    <mergeCell ref="F23:G23"/>
    <mergeCell ref="H23:I23"/>
    <mergeCell ref="J23:K23"/>
    <mergeCell ref="L23:M23"/>
    <mergeCell ref="N22:O22"/>
    <mergeCell ref="P22:Q22"/>
    <mergeCell ref="R22:S22"/>
    <mergeCell ref="T22:U22"/>
    <mergeCell ref="V22:W22"/>
    <mergeCell ref="X22:Z22"/>
    <mergeCell ref="A22:B22"/>
    <mergeCell ref="D22:E22"/>
    <mergeCell ref="F22:G22"/>
    <mergeCell ref="H22:I22"/>
    <mergeCell ref="J22:K22"/>
    <mergeCell ref="L22:M22"/>
    <mergeCell ref="N21:O21"/>
    <mergeCell ref="P21:Q21"/>
    <mergeCell ref="R21:S21"/>
    <mergeCell ref="T21:U21"/>
    <mergeCell ref="V21:W21"/>
    <mergeCell ref="X21:Z21"/>
    <mergeCell ref="A21:B21"/>
    <mergeCell ref="D21:E21"/>
    <mergeCell ref="F21:G21"/>
    <mergeCell ref="H21:I21"/>
    <mergeCell ref="J21:K21"/>
    <mergeCell ref="L21:M21"/>
    <mergeCell ref="N20:O20"/>
    <mergeCell ref="P20:Q20"/>
    <mergeCell ref="R20:S20"/>
    <mergeCell ref="T20:U20"/>
    <mergeCell ref="V20:W20"/>
    <mergeCell ref="X20:Z20"/>
    <mergeCell ref="A20:B20"/>
    <mergeCell ref="D20:E20"/>
    <mergeCell ref="F20:G20"/>
    <mergeCell ref="H20:I20"/>
    <mergeCell ref="J20:K20"/>
    <mergeCell ref="L20:M20"/>
    <mergeCell ref="N19:O19"/>
    <mergeCell ref="P19:Q19"/>
    <mergeCell ref="R19:S19"/>
    <mergeCell ref="T19:U19"/>
    <mergeCell ref="V19:W19"/>
    <mergeCell ref="X19:Z19"/>
    <mergeCell ref="A19:B19"/>
    <mergeCell ref="D19:E19"/>
    <mergeCell ref="F19:G19"/>
    <mergeCell ref="H19:I19"/>
    <mergeCell ref="J19:K19"/>
    <mergeCell ref="L19:M19"/>
    <mergeCell ref="N18:O18"/>
    <mergeCell ref="P18:Q18"/>
    <mergeCell ref="R18:S18"/>
    <mergeCell ref="T18:U18"/>
    <mergeCell ref="V18:W18"/>
    <mergeCell ref="X18:Z18"/>
    <mergeCell ref="A18:B18"/>
    <mergeCell ref="D18:E18"/>
    <mergeCell ref="F18:G18"/>
    <mergeCell ref="H18:I18"/>
    <mergeCell ref="J18:K18"/>
    <mergeCell ref="L18:M18"/>
    <mergeCell ref="N17:O17"/>
    <mergeCell ref="P17:Q17"/>
    <mergeCell ref="R17:S17"/>
    <mergeCell ref="T17:U17"/>
    <mergeCell ref="V17:W17"/>
    <mergeCell ref="X17:Z17"/>
    <mergeCell ref="A17:B17"/>
    <mergeCell ref="D17:E17"/>
    <mergeCell ref="F17:G17"/>
    <mergeCell ref="H17:I17"/>
    <mergeCell ref="J17:K17"/>
    <mergeCell ref="L17:M17"/>
    <mergeCell ref="N15:O16"/>
    <mergeCell ref="P15:Q16"/>
    <mergeCell ref="R15:S16"/>
    <mergeCell ref="T15:U16"/>
    <mergeCell ref="V15:W16"/>
    <mergeCell ref="X15:Z16"/>
    <mergeCell ref="A15:B16"/>
    <mergeCell ref="C15:C16"/>
    <mergeCell ref="D15:G15"/>
    <mergeCell ref="H15:I16"/>
    <mergeCell ref="J15:K16"/>
    <mergeCell ref="L15:M16"/>
    <mergeCell ref="D16:E16"/>
    <mergeCell ref="F16:G16"/>
    <mergeCell ref="A10:B11"/>
    <mergeCell ref="C10:J11"/>
    <mergeCell ref="R11:V11"/>
    <mergeCell ref="W11:Z11"/>
    <mergeCell ref="A12:B13"/>
    <mergeCell ref="C12:J13"/>
    <mergeCell ref="A3:Z4"/>
    <mergeCell ref="A5:I6"/>
    <mergeCell ref="P7:Z7"/>
    <mergeCell ref="A8:B9"/>
    <mergeCell ref="C8:J9"/>
    <mergeCell ref="P8:Z9"/>
  </mergeCells>
  <phoneticPr fontId="3"/>
  <conditionalFormatting sqref="A45:A47">
    <cfRule type="expression" dxfId="5" priority="3" stopIfTrue="1">
      <formula>WEEKDAY($A45)=1</formula>
    </cfRule>
    <cfRule type="expression" dxfId="4" priority="4" stopIfTrue="1">
      <formula>WEEKDAY($A45)=7</formula>
    </cfRule>
  </conditionalFormatting>
  <conditionalFormatting sqref="C17:C47">
    <cfRule type="expression" dxfId="3" priority="1" stopIfTrue="1">
      <formula>WEEKDAY($A17)=1</formula>
    </cfRule>
    <cfRule type="expression" dxfId="2" priority="2" stopIfTrue="1">
      <formula>WEEKDAY($A17)=7</formula>
    </cfRule>
  </conditionalFormatting>
  <conditionalFormatting sqref="A17:A44">
    <cfRule type="expression" dxfId="1" priority="5" stopIfTrue="1">
      <formula>WEEKDAY($A17)=1</formula>
    </cfRule>
    <cfRule type="expression" dxfId="0" priority="6" stopIfTrue="1">
      <formula>WEEKDAY($A17)=7</formula>
    </cfRule>
  </conditionalFormatting>
  <pageMargins left="0.7" right="0.7" top="0.75" bottom="0.75" header="0.3" footer="0.3"/>
  <pageSetup paperSize="9" scale="86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G35"/>
  <sheetViews>
    <sheetView topLeftCell="A5" workbookViewId="0">
      <selection activeCell="G32" sqref="G32"/>
    </sheetView>
  </sheetViews>
  <sheetFormatPr defaultRowHeight="13" x14ac:dyDescent="0.2"/>
  <cols>
    <col min="1" max="1" width="1.6328125" customWidth="1"/>
    <col min="2" max="2" width="4.08984375" bestFit="1" customWidth="1"/>
    <col min="4" max="4" width="12" customWidth="1"/>
    <col min="5" max="5" width="12" style="44" customWidth="1"/>
    <col min="6" max="6" width="46.90625" customWidth="1"/>
    <col min="7" max="7" width="30.6328125" customWidth="1"/>
    <col min="258" max="258" width="1.6328125" customWidth="1"/>
    <col min="259" max="259" width="4.08984375" bestFit="1" customWidth="1"/>
    <col min="261" max="261" width="12" customWidth="1"/>
    <col min="262" max="263" width="30.6328125" customWidth="1"/>
    <col min="514" max="514" width="1.6328125" customWidth="1"/>
    <col min="515" max="515" width="4.08984375" bestFit="1" customWidth="1"/>
    <col min="517" max="517" width="12" customWidth="1"/>
    <col min="518" max="519" width="30.6328125" customWidth="1"/>
    <col min="770" max="770" width="1.6328125" customWidth="1"/>
    <col min="771" max="771" width="4.08984375" bestFit="1" customWidth="1"/>
    <col min="773" max="773" width="12" customWidth="1"/>
    <col min="774" max="775" width="30.6328125" customWidth="1"/>
    <col min="1026" max="1026" width="1.6328125" customWidth="1"/>
    <col min="1027" max="1027" width="4.08984375" bestFit="1" customWidth="1"/>
    <col min="1029" max="1029" width="12" customWidth="1"/>
    <col min="1030" max="1031" width="30.6328125" customWidth="1"/>
    <col min="1282" max="1282" width="1.6328125" customWidth="1"/>
    <col min="1283" max="1283" width="4.08984375" bestFit="1" customWidth="1"/>
    <col min="1285" max="1285" width="12" customWidth="1"/>
    <col min="1286" max="1287" width="30.6328125" customWidth="1"/>
    <col min="1538" max="1538" width="1.6328125" customWidth="1"/>
    <col min="1539" max="1539" width="4.08984375" bestFit="1" customWidth="1"/>
    <col min="1541" max="1541" width="12" customWidth="1"/>
    <col min="1542" max="1543" width="30.6328125" customWidth="1"/>
    <col min="1794" max="1794" width="1.6328125" customWidth="1"/>
    <col min="1795" max="1795" width="4.08984375" bestFit="1" customWidth="1"/>
    <col min="1797" max="1797" width="12" customWidth="1"/>
    <col min="1798" max="1799" width="30.6328125" customWidth="1"/>
    <col min="2050" max="2050" width="1.6328125" customWidth="1"/>
    <col min="2051" max="2051" width="4.08984375" bestFit="1" customWidth="1"/>
    <col min="2053" max="2053" width="12" customWidth="1"/>
    <col min="2054" max="2055" width="30.6328125" customWidth="1"/>
    <col min="2306" max="2306" width="1.6328125" customWidth="1"/>
    <col min="2307" max="2307" width="4.08984375" bestFit="1" customWidth="1"/>
    <col min="2309" max="2309" width="12" customWidth="1"/>
    <col min="2310" max="2311" width="30.6328125" customWidth="1"/>
    <col min="2562" max="2562" width="1.6328125" customWidth="1"/>
    <col min="2563" max="2563" width="4.08984375" bestFit="1" customWidth="1"/>
    <col min="2565" max="2565" width="12" customWidth="1"/>
    <col min="2566" max="2567" width="30.6328125" customWidth="1"/>
    <col min="2818" max="2818" width="1.6328125" customWidth="1"/>
    <col min="2819" max="2819" width="4.08984375" bestFit="1" customWidth="1"/>
    <col min="2821" max="2821" width="12" customWidth="1"/>
    <col min="2822" max="2823" width="30.6328125" customWidth="1"/>
    <col min="3074" max="3074" width="1.6328125" customWidth="1"/>
    <col min="3075" max="3075" width="4.08984375" bestFit="1" customWidth="1"/>
    <col min="3077" max="3077" width="12" customWidth="1"/>
    <col min="3078" max="3079" width="30.6328125" customWidth="1"/>
    <col min="3330" max="3330" width="1.6328125" customWidth="1"/>
    <col min="3331" max="3331" width="4.08984375" bestFit="1" customWidth="1"/>
    <col min="3333" max="3333" width="12" customWidth="1"/>
    <col min="3334" max="3335" width="30.6328125" customWidth="1"/>
    <col min="3586" max="3586" width="1.6328125" customWidth="1"/>
    <col min="3587" max="3587" width="4.08984375" bestFit="1" customWidth="1"/>
    <col min="3589" max="3589" width="12" customWidth="1"/>
    <col min="3590" max="3591" width="30.6328125" customWidth="1"/>
    <col min="3842" max="3842" width="1.6328125" customWidth="1"/>
    <col min="3843" max="3843" width="4.08984375" bestFit="1" customWidth="1"/>
    <col min="3845" max="3845" width="12" customWidth="1"/>
    <col min="3846" max="3847" width="30.6328125" customWidth="1"/>
    <col min="4098" max="4098" width="1.6328125" customWidth="1"/>
    <col min="4099" max="4099" width="4.08984375" bestFit="1" customWidth="1"/>
    <col min="4101" max="4101" width="12" customWidth="1"/>
    <col min="4102" max="4103" width="30.6328125" customWidth="1"/>
    <col min="4354" max="4354" width="1.6328125" customWidth="1"/>
    <col min="4355" max="4355" width="4.08984375" bestFit="1" customWidth="1"/>
    <col min="4357" max="4357" width="12" customWidth="1"/>
    <col min="4358" max="4359" width="30.6328125" customWidth="1"/>
    <col min="4610" max="4610" width="1.6328125" customWidth="1"/>
    <col min="4611" max="4611" width="4.08984375" bestFit="1" customWidth="1"/>
    <col min="4613" max="4613" width="12" customWidth="1"/>
    <col min="4614" max="4615" width="30.6328125" customWidth="1"/>
    <col min="4866" max="4866" width="1.6328125" customWidth="1"/>
    <col min="4867" max="4867" width="4.08984375" bestFit="1" customWidth="1"/>
    <col min="4869" max="4869" width="12" customWidth="1"/>
    <col min="4870" max="4871" width="30.6328125" customWidth="1"/>
    <col min="5122" max="5122" width="1.6328125" customWidth="1"/>
    <col min="5123" max="5123" width="4.08984375" bestFit="1" customWidth="1"/>
    <col min="5125" max="5125" width="12" customWidth="1"/>
    <col min="5126" max="5127" width="30.6328125" customWidth="1"/>
    <col min="5378" max="5378" width="1.6328125" customWidth="1"/>
    <col min="5379" max="5379" width="4.08984375" bestFit="1" customWidth="1"/>
    <col min="5381" max="5381" width="12" customWidth="1"/>
    <col min="5382" max="5383" width="30.6328125" customWidth="1"/>
    <col min="5634" max="5634" width="1.6328125" customWidth="1"/>
    <col min="5635" max="5635" width="4.08984375" bestFit="1" customWidth="1"/>
    <col min="5637" max="5637" width="12" customWidth="1"/>
    <col min="5638" max="5639" width="30.6328125" customWidth="1"/>
    <col min="5890" max="5890" width="1.6328125" customWidth="1"/>
    <col min="5891" max="5891" width="4.08984375" bestFit="1" customWidth="1"/>
    <col min="5893" max="5893" width="12" customWidth="1"/>
    <col min="5894" max="5895" width="30.6328125" customWidth="1"/>
    <col min="6146" max="6146" width="1.6328125" customWidth="1"/>
    <col min="6147" max="6147" width="4.08984375" bestFit="1" customWidth="1"/>
    <col min="6149" max="6149" width="12" customWidth="1"/>
    <col min="6150" max="6151" width="30.6328125" customWidth="1"/>
    <col min="6402" max="6402" width="1.6328125" customWidth="1"/>
    <col min="6403" max="6403" width="4.08984375" bestFit="1" customWidth="1"/>
    <col min="6405" max="6405" width="12" customWidth="1"/>
    <col min="6406" max="6407" width="30.6328125" customWidth="1"/>
    <col min="6658" max="6658" width="1.6328125" customWidth="1"/>
    <col min="6659" max="6659" width="4.08984375" bestFit="1" customWidth="1"/>
    <col min="6661" max="6661" width="12" customWidth="1"/>
    <col min="6662" max="6663" width="30.6328125" customWidth="1"/>
    <col min="6914" max="6914" width="1.6328125" customWidth="1"/>
    <col min="6915" max="6915" width="4.08984375" bestFit="1" customWidth="1"/>
    <col min="6917" max="6917" width="12" customWidth="1"/>
    <col min="6918" max="6919" width="30.6328125" customWidth="1"/>
    <col min="7170" max="7170" width="1.6328125" customWidth="1"/>
    <col min="7171" max="7171" width="4.08984375" bestFit="1" customWidth="1"/>
    <col min="7173" max="7173" width="12" customWidth="1"/>
    <col min="7174" max="7175" width="30.6328125" customWidth="1"/>
    <col min="7426" max="7426" width="1.6328125" customWidth="1"/>
    <col min="7427" max="7427" width="4.08984375" bestFit="1" customWidth="1"/>
    <col min="7429" max="7429" width="12" customWidth="1"/>
    <col min="7430" max="7431" width="30.6328125" customWidth="1"/>
    <col min="7682" max="7682" width="1.6328125" customWidth="1"/>
    <col min="7683" max="7683" width="4.08984375" bestFit="1" customWidth="1"/>
    <col min="7685" max="7685" width="12" customWidth="1"/>
    <col min="7686" max="7687" width="30.6328125" customWidth="1"/>
    <col min="7938" max="7938" width="1.6328125" customWidth="1"/>
    <col min="7939" max="7939" width="4.08984375" bestFit="1" customWidth="1"/>
    <col min="7941" max="7941" width="12" customWidth="1"/>
    <col min="7942" max="7943" width="30.6328125" customWidth="1"/>
    <col min="8194" max="8194" width="1.6328125" customWidth="1"/>
    <col min="8195" max="8195" width="4.08984375" bestFit="1" customWidth="1"/>
    <col min="8197" max="8197" width="12" customWidth="1"/>
    <col min="8198" max="8199" width="30.6328125" customWidth="1"/>
    <col min="8450" max="8450" width="1.6328125" customWidth="1"/>
    <col min="8451" max="8451" width="4.08984375" bestFit="1" customWidth="1"/>
    <col min="8453" max="8453" width="12" customWidth="1"/>
    <col min="8454" max="8455" width="30.6328125" customWidth="1"/>
    <col min="8706" max="8706" width="1.6328125" customWidth="1"/>
    <col min="8707" max="8707" width="4.08984375" bestFit="1" customWidth="1"/>
    <col min="8709" max="8709" width="12" customWidth="1"/>
    <col min="8710" max="8711" width="30.6328125" customWidth="1"/>
    <col min="8962" max="8962" width="1.6328125" customWidth="1"/>
    <col min="8963" max="8963" width="4.08984375" bestFit="1" customWidth="1"/>
    <col min="8965" max="8965" width="12" customWidth="1"/>
    <col min="8966" max="8967" width="30.6328125" customWidth="1"/>
    <col min="9218" max="9218" width="1.6328125" customWidth="1"/>
    <col min="9219" max="9219" width="4.08984375" bestFit="1" customWidth="1"/>
    <col min="9221" max="9221" width="12" customWidth="1"/>
    <col min="9222" max="9223" width="30.6328125" customWidth="1"/>
    <col min="9474" max="9474" width="1.6328125" customWidth="1"/>
    <col min="9475" max="9475" width="4.08984375" bestFit="1" customWidth="1"/>
    <col min="9477" max="9477" width="12" customWidth="1"/>
    <col min="9478" max="9479" width="30.6328125" customWidth="1"/>
    <col min="9730" max="9730" width="1.6328125" customWidth="1"/>
    <col min="9731" max="9731" width="4.08984375" bestFit="1" customWidth="1"/>
    <col min="9733" max="9733" width="12" customWidth="1"/>
    <col min="9734" max="9735" width="30.6328125" customWidth="1"/>
    <col min="9986" max="9986" width="1.6328125" customWidth="1"/>
    <col min="9987" max="9987" width="4.08984375" bestFit="1" customWidth="1"/>
    <col min="9989" max="9989" width="12" customWidth="1"/>
    <col min="9990" max="9991" width="30.6328125" customWidth="1"/>
    <col min="10242" max="10242" width="1.6328125" customWidth="1"/>
    <col min="10243" max="10243" width="4.08984375" bestFit="1" customWidth="1"/>
    <col min="10245" max="10245" width="12" customWidth="1"/>
    <col min="10246" max="10247" width="30.6328125" customWidth="1"/>
    <col min="10498" max="10498" width="1.6328125" customWidth="1"/>
    <col min="10499" max="10499" width="4.08984375" bestFit="1" customWidth="1"/>
    <col min="10501" max="10501" width="12" customWidth="1"/>
    <col min="10502" max="10503" width="30.6328125" customWidth="1"/>
    <col min="10754" max="10754" width="1.6328125" customWidth="1"/>
    <col min="10755" max="10755" width="4.08984375" bestFit="1" customWidth="1"/>
    <col min="10757" max="10757" width="12" customWidth="1"/>
    <col min="10758" max="10759" width="30.6328125" customWidth="1"/>
    <col min="11010" max="11010" width="1.6328125" customWidth="1"/>
    <col min="11011" max="11011" width="4.08984375" bestFit="1" customWidth="1"/>
    <col min="11013" max="11013" width="12" customWidth="1"/>
    <col min="11014" max="11015" width="30.6328125" customWidth="1"/>
    <col min="11266" max="11266" width="1.6328125" customWidth="1"/>
    <col min="11267" max="11267" width="4.08984375" bestFit="1" customWidth="1"/>
    <col min="11269" max="11269" width="12" customWidth="1"/>
    <col min="11270" max="11271" width="30.6328125" customWidth="1"/>
    <col min="11522" max="11522" width="1.6328125" customWidth="1"/>
    <col min="11523" max="11523" width="4.08984375" bestFit="1" customWidth="1"/>
    <col min="11525" max="11525" width="12" customWidth="1"/>
    <col min="11526" max="11527" width="30.6328125" customWidth="1"/>
    <col min="11778" max="11778" width="1.6328125" customWidth="1"/>
    <col min="11779" max="11779" width="4.08984375" bestFit="1" customWidth="1"/>
    <col min="11781" max="11781" width="12" customWidth="1"/>
    <col min="11782" max="11783" width="30.6328125" customWidth="1"/>
    <col min="12034" max="12034" width="1.6328125" customWidth="1"/>
    <col min="12035" max="12035" width="4.08984375" bestFit="1" customWidth="1"/>
    <col min="12037" max="12037" width="12" customWidth="1"/>
    <col min="12038" max="12039" width="30.6328125" customWidth="1"/>
    <col min="12290" max="12290" width="1.6328125" customWidth="1"/>
    <col min="12291" max="12291" width="4.08984375" bestFit="1" customWidth="1"/>
    <col min="12293" max="12293" width="12" customWidth="1"/>
    <col min="12294" max="12295" width="30.6328125" customWidth="1"/>
    <col min="12546" max="12546" width="1.6328125" customWidth="1"/>
    <col min="12547" max="12547" width="4.08984375" bestFit="1" customWidth="1"/>
    <col min="12549" max="12549" width="12" customWidth="1"/>
    <col min="12550" max="12551" width="30.6328125" customWidth="1"/>
    <col min="12802" max="12802" width="1.6328125" customWidth="1"/>
    <col min="12803" max="12803" width="4.08984375" bestFit="1" customWidth="1"/>
    <col min="12805" max="12805" width="12" customWidth="1"/>
    <col min="12806" max="12807" width="30.6328125" customWidth="1"/>
    <col min="13058" max="13058" width="1.6328125" customWidth="1"/>
    <col min="13059" max="13059" width="4.08984375" bestFit="1" customWidth="1"/>
    <col min="13061" max="13061" width="12" customWidth="1"/>
    <col min="13062" max="13063" width="30.6328125" customWidth="1"/>
    <col min="13314" max="13314" width="1.6328125" customWidth="1"/>
    <col min="13315" max="13315" width="4.08984375" bestFit="1" customWidth="1"/>
    <col min="13317" max="13317" width="12" customWidth="1"/>
    <col min="13318" max="13319" width="30.6328125" customWidth="1"/>
    <col min="13570" max="13570" width="1.6328125" customWidth="1"/>
    <col min="13571" max="13571" width="4.08984375" bestFit="1" customWidth="1"/>
    <col min="13573" max="13573" width="12" customWidth="1"/>
    <col min="13574" max="13575" width="30.6328125" customWidth="1"/>
    <col min="13826" max="13826" width="1.6328125" customWidth="1"/>
    <col min="13827" max="13827" width="4.08984375" bestFit="1" customWidth="1"/>
    <col min="13829" max="13829" width="12" customWidth="1"/>
    <col min="13830" max="13831" width="30.6328125" customWidth="1"/>
    <col min="14082" max="14082" width="1.6328125" customWidth="1"/>
    <col min="14083" max="14083" width="4.08984375" bestFit="1" customWidth="1"/>
    <col min="14085" max="14085" width="12" customWidth="1"/>
    <col min="14086" max="14087" width="30.6328125" customWidth="1"/>
    <col min="14338" max="14338" width="1.6328125" customWidth="1"/>
    <col min="14339" max="14339" width="4.08984375" bestFit="1" customWidth="1"/>
    <col min="14341" max="14341" width="12" customWidth="1"/>
    <col min="14342" max="14343" width="30.6328125" customWidth="1"/>
    <col min="14594" max="14594" width="1.6328125" customWidth="1"/>
    <col min="14595" max="14595" width="4.08984375" bestFit="1" customWidth="1"/>
    <col min="14597" max="14597" width="12" customWidth="1"/>
    <col min="14598" max="14599" width="30.6328125" customWidth="1"/>
    <col min="14850" max="14850" width="1.6328125" customWidth="1"/>
    <col min="14851" max="14851" width="4.08984375" bestFit="1" customWidth="1"/>
    <col min="14853" max="14853" width="12" customWidth="1"/>
    <col min="14854" max="14855" width="30.6328125" customWidth="1"/>
    <col min="15106" max="15106" width="1.6328125" customWidth="1"/>
    <col min="15107" max="15107" width="4.08984375" bestFit="1" customWidth="1"/>
    <col min="15109" max="15109" width="12" customWidth="1"/>
    <col min="15110" max="15111" width="30.6328125" customWidth="1"/>
    <col min="15362" max="15362" width="1.6328125" customWidth="1"/>
    <col min="15363" max="15363" width="4.08984375" bestFit="1" customWidth="1"/>
    <col min="15365" max="15365" width="12" customWidth="1"/>
    <col min="15366" max="15367" width="30.6328125" customWidth="1"/>
    <col min="15618" max="15618" width="1.6328125" customWidth="1"/>
    <col min="15619" max="15619" width="4.08984375" bestFit="1" customWidth="1"/>
    <col min="15621" max="15621" width="12" customWidth="1"/>
    <col min="15622" max="15623" width="30.6328125" customWidth="1"/>
    <col min="15874" max="15874" width="1.6328125" customWidth="1"/>
    <col min="15875" max="15875" width="4.08984375" bestFit="1" customWidth="1"/>
    <col min="15877" max="15877" width="12" customWidth="1"/>
    <col min="15878" max="15879" width="30.6328125" customWidth="1"/>
    <col min="16130" max="16130" width="1.6328125" customWidth="1"/>
    <col min="16131" max="16131" width="4.08984375" bestFit="1" customWidth="1"/>
    <col min="16133" max="16133" width="12" customWidth="1"/>
    <col min="16134" max="16135" width="30.6328125" customWidth="1"/>
  </cols>
  <sheetData>
    <row r="2" spans="2:7" x14ac:dyDescent="0.2">
      <c r="B2" s="37" t="s">
        <v>52</v>
      </c>
      <c r="C2" s="37" t="s">
        <v>53</v>
      </c>
      <c r="D2" s="37" t="s">
        <v>54</v>
      </c>
      <c r="E2" s="42" t="s">
        <v>61</v>
      </c>
      <c r="F2" s="37" t="s">
        <v>55</v>
      </c>
      <c r="G2" s="37" t="s">
        <v>56</v>
      </c>
    </row>
    <row r="3" spans="2:7" x14ac:dyDescent="0.2">
      <c r="B3" s="38">
        <v>1</v>
      </c>
      <c r="C3" s="39">
        <v>1</v>
      </c>
      <c r="D3" s="40" t="s">
        <v>57</v>
      </c>
      <c r="E3" s="43" t="s">
        <v>62</v>
      </c>
      <c r="F3" s="47" t="s">
        <v>58</v>
      </c>
      <c r="G3" s="45"/>
    </row>
    <row r="4" spans="2:7" ht="26" x14ac:dyDescent="0.2">
      <c r="B4" s="38">
        <v>2</v>
      </c>
      <c r="C4" s="39">
        <v>2</v>
      </c>
      <c r="D4" s="41">
        <v>41590</v>
      </c>
      <c r="E4" s="43" t="s">
        <v>62</v>
      </c>
      <c r="F4" s="47" t="s">
        <v>59</v>
      </c>
      <c r="G4" s="45"/>
    </row>
    <row r="5" spans="2:7" ht="39" x14ac:dyDescent="0.2">
      <c r="B5" s="38">
        <v>3</v>
      </c>
      <c r="C5" s="39">
        <v>3</v>
      </c>
      <c r="D5" s="41">
        <v>41649</v>
      </c>
      <c r="E5" s="43" t="s">
        <v>62</v>
      </c>
      <c r="F5" s="47" t="s">
        <v>63</v>
      </c>
      <c r="G5" s="45"/>
    </row>
    <row r="6" spans="2:7" x14ac:dyDescent="0.2">
      <c r="B6" s="38">
        <v>4</v>
      </c>
      <c r="C6" s="39">
        <v>3.1</v>
      </c>
      <c r="D6" s="41">
        <v>41654</v>
      </c>
      <c r="E6" s="43" t="s">
        <v>62</v>
      </c>
      <c r="F6" s="47" t="s">
        <v>64</v>
      </c>
      <c r="G6" s="45"/>
    </row>
    <row r="7" spans="2:7" ht="26" x14ac:dyDescent="0.2">
      <c r="B7" s="38">
        <v>5</v>
      </c>
      <c r="C7" s="39">
        <v>3.2</v>
      </c>
      <c r="D7" s="41">
        <v>41655</v>
      </c>
      <c r="E7" s="46" t="s">
        <v>62</v>
      </c>
      <c r="F7" s="47" t="s">
        <v>65</v>
      </c>
      <c r="G7" s="45"/>
    </row>
    <row r="8" spans="2:7" x14ac:dyDescent="0.2">
      <c r="B8" s="38">
        <v>6</v>
      </c>
      <c r="C8" s="39">
        <v>3.3</v>
      </c>
      <c r="D8" s="41">
        <v>41708</v>
      </c>
      <c r="E8" s="46" t="s">
        <v>62</v>
      </c>
      <c r="F8" s="47" t="s">
        <v>67</v>
      </c>
      <c r="G8" s="45"/>
    </row>
    <row r="9" spans="2:7" x14ac:dyDescent="0.2">
      <c r="B9" s="38">
        <v>7</v>
      </c>
      <c r="C9" s="39">
        <v>4</v>
      </c>
      <c r="D9" s="41">
        <v>43628</v>
      </c>
      <c r="E9" s="46" t="s">
        <v>102</v>
      </c>
      <c r="F9" s="47" t="s">
        <v>103</v>
      </c>
      <c r="G9" s="45"/>
    </row>
    <row r="10" spans="2:7" x14ac:dyDescent="0.2">
      <c r="B10" s="38">
        <v>8</v>
      </c>
      <c r="C10" s="39">
        <v>5</v>
      </c>
      <c r="D10" s="41">
        <v>43922</v>
      </c>
      <c r="E10" s="46" t="s">
        <v>108</v>
      </c>
      <c r="F10" s="47"/>
      <c r="G10" s="45"/>
    </row>
    <row r="11" spans="2:7" ht="52" x14ac:dyDescent="0.2">
      <c r="B11" s="38">
        <v>9</v>
      </c>
      <c r="C11" s="39">
        <v>6</v>
      </c>
      <c r="D11" s="41">
        <v>44287</v>
      </c>
      <c r="E11" s="46" t="s">
        <v>108</v>
      </c>
      <c r="F11" s="47" t="s">
        <v>194</v>
      </c>
      <c r="G11" s="47" t="s">
        <v>195</v>
      </c>
    </row>
    <row r="12" spans="2:7" x14ac:dyDescent="0.2">
      <c r="B12" s="38">
        <v>10</v>
      </c>
      <c r="C12" s="39"/>
      <c r="D12" s="41">
        <v>44783</v>
      </c>
      <c r="E12" s="46" t="s">
        <v>108</v>
      </c>
      <c r="F12" s="47" t="s">
        <v>218</v>
      </c>
      <c r="G12" s="45"/>
    </row>
    <row r="13" spans="2:7" x14ac:dyDescent="0.2">
      <c r="B13" s="38">
        <v>11</v>
      </c>
      <c r="C13" s="39"/>
      <c r="D13" s="40"/>
      <c r="E13" s="46" t="s">
        <v>221</v>
      </c>
      <c r="F13" s="47" t="s">
        <v>220</v>
      </c>
      <c r="G13" s="45"/>
    </row>
    <row r="14" spans="2:7" x14ac:dyDescent="0.2">
      <c r="B14" s="38">
        <v>12</v>
      </c>
      <c r="C14" s="39"/>
      <c r="D14" s="40"/>
      <c r="E14" s="43"/>
      <c r="F14" s="47"/>
      <c r="G14" s="45"/>
    </row>
    <row r="15" spans="2:7" x14ac:dyDescent="0.2">
      <c r="B15" s="38">
        <v>13</v>
      </c>
      <c r="C15" s="39"/>
      <c r="D15" s="40"/>
      <c r="E15" s="43"/>
      <c r="F15" s="47"/>
      <c r="G15" s="45"/>
    </row>
    <row r="16" spans="2:7" x14ac:dyDescent="0.2">
      <c r="B16" s="38">
        <v>14</v>
      </c>
      <c r="C16" s="39"/>
      <c r="D16" s="40"/>
      <c r="E16" s="43"/>
      <c r="F16" s="47"/>
      <c r="G16" s="45"/>
    </row>
    <row r="17" spans="2:7" x14ac:dyDescent="0.2">
      <c r="B17" s="38">
        <v>15</v>
      </c>
      <c r="C17" s="39"/>
      <c r="D17" s="40"/>
      <c r="E17" s="43"/>
      <c r="F17" s="47"/>
      <c r="G17" s="45"/>
    </row>
    <row r="18" spans="2:7" x14ac:dyDescent="0.2">
      <c r="B18" s="38">
        <v>16</v>
      </c>
      <c r="C18" s="39"/>
      <c r="D18" s="40"/>
      <c r="E18" s="43"/>
      <c r="F18" s="47"/>
      <c r="G18" s="45"/>
    </row>
    <row r="19" spans="2:7" x14ac:dyDescent="0.2">
      <c r="B19" s="38">
        <v>17</v>
      </c>
      <c r="C19" s="39"/>
      <c r="D19" s="40"/>
      <c r="E19" s="43"/>
      <c r="F19" s="47"/>
      <c r="G19" s="45"/>
    </row>
    <row r="20" spans="2:7" x14ac:dyDescent="0.2">
      <c r="B20" s="38">
        <v>18</v>
      </c>
      <c r="C20" s="39"/>
      <c r="D20" s="40"/>
      <c r="E20" s="43"/>
      <c r="F20" s="47"/>
      <c r="G20" s="45"/>
    </row>
    <row r="21" spans="2:7" x14ac:dyDescent="0.2">
      <c r="B21" s="38">
        <v>19</v>
      </c>
      <c r="C21" s="39"/>
      <c r="D21" s="40"/>
      <c r="E21" s="43"/>
      <c r="F21" s="47"/>
      <c r="G21" s="45"/>
    </row>
    <row r="22" spans="2:7" x14ac:dyDescent="0.2">
      <c r="B22" s="38">
        <v>20</v>
      </c>
      <c r="C22" s="39"/>
      <c r="D22" s="40"/>
      <c r="E22" s="43"/>
      <c r="F22" s="47"/>
      <c r="G22" s="45"/>
    </row>
    <row r="23" spans="2:7" x14ac:dyDescent="0.2">
      <c r="B23" s="38">
        <v>21</v>
      </c>
      <c r="C23" s="39"/>
      <c r="D23" s="40"/>
      <c r="E23" s="43"/>
      <c r="F23" s="47"/>
      <c r="G23" s="45"/>
    </row>
    <row r="24" spans="2:7" x14ac:dyDescent="0.2">
      <c r="B24" s="38">
        <v>22</v>
      </c>
      <c r="C24" s="39"/>
      <c r="D24" s="40"/>
      <c r="E24" s="43"/>
      <c r="F24" s="47"/>
      <c r="G24" s="45"/>
    </row>
    <row r="25" spans="2:7" x14ac:dyDescent="0.2">
      <c r="B25" s="38">
        <v>23</v>
      </c>
      <c r="C25" s="39"/>
      <c r="D25" s="40"/>
      <c r="E25" s="43"/>
      <c r="F25" s="47"/>
      <c r="G25" s="45"/>
    </row>
    <row r="26" spans="2:7" x14ac:dyDescent="0.2">
      <c r="B26" s="38">
        <v>24</v>
      </c>
      <c r="C26" s="39"/>
      <c r="D26" s="40"/>
      <c r="E26" s="43"/>
      <c r="F26" s="47"/>
      <c r="G26" s="45"/>
    </row>
    <row r="27" spans="2:7" x14ac:dyDescent="0.2">
      <c r="B27" s="38">
        <v>25</v>
      </c>
      <c r="C27" s="39"/>
      <c r="D27" s="40"/>
      <c r="E27" s="43"/>
      <c r="F27" s="47"/>
      <c r="G27" s="45"/>
    </row>
    <row r="28" spans="2:7" x14ac:dyDescent="0.2">
      <c r="B28" s="38">
        <v>26</v>
      </c>
      <c r="C28" s="39"/>
      <c r="D28" s="40"/>
      <c r="E28" s="43"/>
      <c r="F28" s="47"/>
      <c r="G28" s="45"/>
    </row>
    <row r="29" spans="2:7" x14ac:dyDescent="0.2">
      <c r="B29" s="38">
        <v>27</v>
      </c>
      <c r="C29" s="39"/>
      <c r="D29" s="40"/>
      <c r="E29" s="43"/>
      <c r="F29" s="47"/>
      <c r="G29" s="45"/>
    </row>
    <row r="30" spans="2:7" x14ac:dyDescent="0.2">
      <c r="B30" s="38">
        <v>28</v>
      </c>
      <c r="C30" s="39"/>
      <c r="D30" s="40"/>
      <c r="E30" s="43"/>
      <c r="F30" s="47"/>
      <c r="G30" s="45"/>
    </row>
    <row r="31" spans="2:7" x14ac:dyDescent="0.2">
      <c r="B31" s="38">
        <v>29</v>
      </c>
      <c r="C31" s="39"/>
      <c r="D31" s="40"/>
      <c r="E31" s="43"/>
      <c r="F31" s="47"/>
      <c r="G31" s="45"/>
    </row>
    <row r="32" spans="2:7" x14ac:dyDescent="0.2">
      <c r="B32" s="38">
        <v>30</v>
      </c>
      <c r="C32" s="39"/>
      <c r="D32" s="40"/>
      <c r="E32" s="43"/>
      <c r="F32" s="47"/>
      <c r="G32" s="45"/>
    </row>
    <row r="33" spans="2:7" x14ac:dyDescent="0.2">
      <c r="B33" s="38">
        <v>31</v>
      </c>
      <c r="C33" s="39"/>
      <c r="D33" s="40"/>
      <c r="E33" s="43"/>
      <c r="F33" s="47"/>
      <c r="G33" s="45"/>
    </row>
    <row r="35" spans="2:7" x14ac:dyDescent="0.2">
      <c r="B35" t="s">
        <v>60</v>
      </c>
    </row>
  </sheetData>
  <phoneticPr fontId="3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29DDA-CD98-4175-87D2-A9B303FD2FA7}">
  <sheetPr codeName="Sheet2"/>
  <dimension ref="A1:D2"/>
  <sheetViews>
    <sheetView workbookViewId="0">
      <selection activeCell="A2" sqref="A2:A32"/>
    </sheetView>
  </sheetViews>
  <sheetFormatPr defaultRowHeight="13" x14ac:dyDescent="0.2"/>
  <cols>
    <col min="4" max="4" width="13.90625" bestFit="1" customWidth="1"/>
  </cols>
  <sheetData>
    <row r="1" spans="1:4" x14ac:dyDescent="0.2">
      <c r="A1" s="89" t="s">
        <v>222</v>
      </c>
      <c r="B1" s="89" t="s">
        <v>223</v>
      </c>
      <c r="C1" s="89" t="s">
        <v>224</v>
      </c>
      <c r="D1" s="89" t="s">
        <v>225</v>
      </c>
    </row>
    <row r="2" spans="1:4" x14ac:dyDescent="0.2">
      <c r="B2">
        <f>SUM(A2:A32)</f>
        <v>0</v>
      </c>
    </row>
  </sheetData>
  <phoneticPr fontId="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B3FB8F077A390429FD32E1A1817D960" ma:contentTypeVersion="4" ma:contentTypeDescription="新しいドキュメントを作成します。" ma:contentTypeScope="" ma:versionID="a82bc52d46f117db2ee40bdaf9847910">
  <xsd:schema xmlns:xsd="http://www.w3.org/2001/XMLSchema" xmlns:xs="http://www.w3.org/2001/XMLSchema" xmlns:p="http://schemas.microsoft.com/office/2006/metadata/properties" xmlns:ns3="86c990ef-172e-4f40-a17f-9f4c730e5076" targetNamespace="http://schemas.microsoft.com/office/2006/metadata/properties" ma:root="true" ma:fieldsID="16da1179f09752663e90a7bb98edb364" ns3:_="">
    <xsd:import namespace="86c990ef-172e-4f40-a17f-9f4c730e507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c990ef-172e-4f40-a17f-9f4c730e50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F055C39-52B8-43C9-8254-E566B25B35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61D5217-7EAE-426A-89F8-5C1EAA90EEFB}">
  <ds:schemaRefs>
    <ds:schemaRef ds:uri="http://purl.org/dc/terms/"/>
    <ds:schemaRef ds:uri="http://schemas.microsoft.com/office/2006/metadata/properties"/>
    <ds:schemaRef ds:uri="http://schemas.microsoft.com/office/infopath/2007/PartnerControls"/>
    <ds:schemaRef ds:uri="86c990ef-172e-4f40-a17f-9f4c730e5076"/>
    <ds:schemaRef ds:uri="http://purl.org/dc/dcmitype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B5A9B7-BF68-4A1C-9F20-13C4C8231C93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F7989709-D449-40B8-B5CE-A7BF57E756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c990ef-172e-4f40-a17f-9f4c730e50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376</vt:i4>
      </vt:variant>
    </vt:vector>
  </HeadingPairs>
  <TitlesOfParts>
    <vt:vector size="393" baseType="lpstr">
      <vt:lpstr>3月</vt:lpstr>
      <vt:lpstr>2月</vt:lpstr>
      <vt:lpstr>1月</vt:lpstr>
      <vt:lpstr>12月</vt:lpstr>
      <vt:lpstr>11月</vt:lpstr>
      <vt:lpstr>10月</vt:lpstr>
      <vt:lpstr>9月</vt:lpstr>
      <vt:lpstr>8月</vt:lpstr>
      <vt:lpstr>7月</vt:lpstr>
      <vt:lpstr>6月</vt:lpstr>
      <vt:lpstr>5月</vt:lpstr>
      <vt:lpstr>4月</vt:lpstr>
      <vt:lpstr>祝日管理</vt:lpstr>
      <vt:lpstr>テーブル</vt:lpstr>
      <vt:lpstr>記入説明</vt:lpstr>
      <vt:lpstr>Ver管理</vt:lpstr>
      <vt:lpstr>計算用</vt:lpstr>
      <vt:lpstr>'10月'!Print_Area</vt:lpstr>
      <vt:lpstr>'11月'!Print_Area</vt:lpstr>
      <vt:lpstr>'12月'!Print_Area</vt:lpstr>
      <vt:lpstr>'1月'!Print_Area</vt:lpstr>
      <vt:lpstr>'2月'!Print_Area</vt:lpstr>
      <vt:lpstr>'3月'!Print_Area</vt:lpstr>
      <vt:lpstr>'4月'!Print_Area</vt:lpstr>
      <vt:lpstr>'5月'!Print_Area</vt:lpstr>
      <vt:lpstr>'6月'!Print_Area</vt:lpstr>
      <vt:lpstr>'7月'!Print_Area</vt:lpstr>
      <vt:lpstr>'8月'!Print_Area</vt:lpstr>
      <vt:lpstr>'9月'!Print_Area</vt:lpstr>
      <vt:lpstr>テーブル_みなし時間</vt:lpstr>
      <vt:lpstr>テーブル_勤務時間</vt:lpstr>
      <vt:lpstr>'10月'!テレワーク日数</vt:lpstr>
      <vt:lpstr>'11月'!テレワーク日数</vt:lpstr>
      <vt:lpstr>'12月'!テレワーク日数</vt:lpstr>
      <vt:lpstr>'1月'!テレワーク日数</vt:lpstr>
      <vt:lpstr>'2月'!テレワーク日数</vt:lpstr>
      <vt:lpstr>'3月'!テレワーク日数</vt:lpstr>
      <vt:lpstr>'4月'!テレワーク日数</vt:lpstr>
      <vt:lpstr>'5月'!テレワーク日数</vt:lpstr>
      <vt:lpstr>'6月'!テレワーク日数</vt:lpstr>
      <vt:lpstr>'7月'!テレワーク日数</vt:lpstr>
      <vt:lpstr>'8月'!テレワーク日数</vt:lpstr>
      <vt:lpstr>'9月'!テレワーク日数</vt:lpstr>
      <vt:lpstr>'10月'!みなし給</vt:lpstr>
      <vt:lpstr>'11月'!みなし給</vt:lpstr>
      <vt:lpstr>'12月'!みなし給</vt:lpstr>
      <vt:lpstr>'1月'!みなし給</vt:lpstr>
      <vt:lpstr>'2月'!みなし給</vt:lpstr>
      <vt:lpstr>'3月'!みなし給</vt:lpstr>
      <vt:lpstr>'4月'!みなし給</vt:lpstr>
      <vt:lpstr>'5月'!みなし給</vt:lpstr>
      <vt:lpstr>'6月'!みなし給</vt:lpstr>
      <vt:lpstr>'7月'!みなし給</vt:lpstr>
      <vt:lpstr>'8月'!みなし給</vt:lpstr>
      <vt:lpstr>'9月'!みなし給</vt:lpstr>
      <vt:lpstr>'10月'!みなし給時間</vt:lpstr>
      <vt:lpstr>'11月'!みなし給時間</vt:lpstr>
      <vt:lpstr>'12月'!みなし給時間</vt:lpstr>
      <vt:lpstr>'1月'!みなし給時間</vt:lpstr>
      <vt:lpstr>'2月'!みなし給時間</vt:lpstr>
      <vt:lpstr>'3月'!みなし給時間</vt:lpstr>
      <vt:lpstr>'4月'!みなし給時間</vt:lpstr>
      <vt:lpstr>'5月'!みなし給時間</vt:lpstr>
      <vt:lpstr>'6月'!みなし給時間</vt:lpstr>
      <vt:lpstr>'7月'!みなし給時間</vt:lpstr>
      <vt:lpstr>'8月'!みなし給時間</vt:lpstr>
      <vt:lpstr>'9月'!みなし給時間</vt:lpstr>
      <vt:lpstr>'10月'!みなし給単価</vt:lpstr>
      <vt:lpstr>'11月'!みなし給単価</vt:lpstr>
      <vt:lpstr>'12月'!みなし給単価</vt:lpstr>
      <vt:lpstr>'1月'!みなし給単価</vt:lpstr>
      <vt:lpstr>'2月'!みなし給単価</vt:lpstr>
      <vt:lpstr>'3月'!みなし給単価</vt:lpstr>
      <vt:lpstr>'4月'!みなし給単価</vt:lpstr>
      <vt:lpstr>'5月'!みなし給単価</vt:lpstr>
      <vt:lpstr>'6月'!みなし給単価</vt:lpstr>
      <vt:lpstr>'7月'!みなし給単価</vt:lpstr>
      <vt:lpstr>'8月'!みなし給単価</vt:lpstr>
      <vt:lpstr>'9月'!みなし給単価</vt:lpstr>
      <vt:lpstr>'10月'!過不足調整時間</vt:lpstr>
      <vt:lpstr>'11月'!過不足調整時間</vt:lpstr>
      <vt:lpstr>'12月'!過不足調整時間</vt:lpstr>
      <vt:lpstr>'1月'!過不足調整時間</vt:lpstr>
      <vt:lpstr>'2月'!過不足調整時間</vt:lpstr>
      <vt:lpstr>'3月'!過不足調整時間</vt:lpstr>
      <vt:lpstr>'4月'!過不足調整時間</vt:lpstr>
      <vt:lpstr>'5月'!過不足調整時間</vt:lpstr>
      <vt:lpstr>'6月'!過不足調整時間</vt:lpstr>
      <vt:lpstr>'7月'!過不足調整時間</vt:lpstr>
      <vt:lpstr>'8月'!過不足調整時間</vt:lpstr>
      <vt:lpstr>'9月'!過不足調整時間</vt:lpstr>
      <vt:lpstr>'10月'!過不足調整単価</vt:lpstr>
      <vt:lpstr>'11月'!過不足調整単価</vt:lpstr>
      <vt:lpstr>'12月'!過不足調整単価</vt:lpstr>
      <vt:lpstr>'1月'!過不足調整単価</vt:lpstr>
      <vt:lpstr>'2月'!過不足調整単価</vt:lpstr>
      <vt:lpstr>'3月'!過不足調整単価</vt:lpstr>
      <vt:lpstr>'4月'!過不足調整単価</vt:lpstr>
      <vt:lpstr>'5月'!過不足調整単価</vt:lpstr>
      <vt:lpstr>'6月'!過不足調整単価</vt:lpstr>
      <vt:lpstr>'7月'!過不足調整単価</vt:lpstr>
      <vt:lpstr>'8月'!過不足調整単価</vt:lpstr>
      <vt:lpstr>'9月'!過不足調整単価</vt:lpstr>
      <vt:lpstr>'10月'!基本給</vt:lpstr>
      <vt:lpstr>'11月'!基本給</vt:lpstr>
      <vt:lpstr>'12月'!基本給</vt:lpstr>
      <vt:lpstr>'1月'!基本給</vt:lpstr>
      <vt:lpstr>'2月'!基本給</vt:lpstr>
      <vt:lpstr>'3月'!基本給</vt:lpstr>
      <vt:lpstr>'4月'!基本給</vt:lpstr>
      <vt:lpstr>'5月'!基本給</vt:lpstr>
      <vt:lpstr>'6月'!基本給</vt:lpstr>
      <vt:lpstr>'7月'!基本給</vt:lpstr>
      <vt:lpstr>'8月'!基本給</vt:lpstr>
      <vt:lpstr>'9月'!基本給</vt:lpstr>
      <vt:lpstr>'10月'!基本給時間</vt:lpstr>
      <vt:lpstr>'11月'!基本給時間</vt:lpstr>
      <vt:lpstr>'12月'!基本給時間</vt:lpstr>
      <vt:lpstr>'1月'!基本給時間</vt:lpstr>
      <vt:lpstr>'2月'!基本給時間</vt:lpstr>
      <vt:lpstr>'3月'!基本給時間</vt:lpstr>
      <vt:lpstr>'4月'!基本給時間</vt:lpstr>
      <vt:lpstr>'5月'!基本給時間</vt:lpstr>
      <vt:lpstr>'6月'!基本給時間</vt:lpstr>
      <vt:lpstr>'7月'!基本給時間</vt:lpstr>
      <vt:lpstr>'8月'!基本給時間</vt:lpstr>
      <vt:lpstr>'9月'!基本給時間</vt:lpstr>
      <vt:lpstr>'10月'!基本給単価</vt:lpstr>
      <vt:lpstr>'11月'!基本給単価</vt:lpstr>
      <vt:lpstr>'12月'!基本給単価</vt:lpstr>
      <vt:lpstr>'1月'!基本給単価</vt:lpstr>
      <vt:lpstr>'2月'!基本給単価</vt:lpstr>
      <vt:lpstr>'3月'!基本給単価</vt:lpstr>
      <vt:lpstr>'4月'!基本給単価</vt:lpstr>
      <vt:lpstr>'5月'!基本給単価</vt:lpstr>
      <vt:lpstr>'6月'!基本給単価</vt:lpstr>
      <vt:lpstr>'7月'!基本給単価</vt:lpstr>
      <vt:lpstr>'8月'!基本給単価</vt:lpstr>
      <vt:lpstr>'9月'!基本給単価</vt:lpstr>
      <vt:lpstr>'10月'!休日出勤時間計</vt:lpstr>
      <vt:lpstr>'11月'!休日出勤時間計</vt:lpstr>
      <vt:lpstr>'12月'!休日出勤時間計</vt:lpstr>
      <vt:lpstr>'1月'!休日出勤時間計</vt:lpstr>
      <vt:lpstr>'2月'!休日出勤時間計</vt:lpstr>
      <vt:lpstr>'3月'!休日出勤時間計</vt:lpstr>
      <vt:lpstr>'4月'!休日出勤時間計</vt:lpstr>
      <vt:lpstr>'5月'!休日出勤時間計</vt:lpstr>
      <vt:lpstr>'6月'!休日出勤時間計</vt:lpstr>
      <vt:lpstr>'7月'!休日出勤時間計</vt:lpstr>
      <vt:lpstr>'8月'!休日出勤時間計</vt:lpstr>
      <vt:lpstr>'9月'!休日出勤時間計</vt:lpstr>
      <vt:lpstr>'10月'!休日深夜時間計</vt:lpstr>
      <vt:lpstr>'11月'!休日深夜時間計</vt:lpstr>
      <vt:lpstr>'12月'!休日深夜時間計</vt:lpstr>
      <vt:lpstr>'1月'!休日深夜時間計</vt:lpstr>
      <vt:lpstr>'2月'!休日深夜時間計</vt:lpstr>
      <vt:lpstr>'3月'!休日深夜時間計</vt:lpstr>
      <vt:lpstr>'4月'!休日深夜時間計</vt:lpstr>
      <vt:lpstr>'5月'!休日深夜時間計</vt:lpstr>
      <vt:lpstr>'6月'!休日深夜時間計</vt:lpstr>
      <vt:lpstr>'7月'!休日深夜時間計</vt:lpstr>
      <vt:lpstr>'8月'!休日深夜時間計</vt:lpstr>
      <vt:lpstr>'9月'!休日深夜時間計</vt:lpstr>
      <vt:lpstr>'10月'!給与種別</vt:lpstr>
      <vt:lpstr>'11月'!給与種別</vt:lpstr>
      <vt:lpstr>'12月'!給与種別</vt:lpstr>
      <vt:lpstr>'1月'!給与種別</vt:lpstr>
      <vt:lpstr>'2月'!給与種別</vt:lpstr>
      <vt:lpstr>'3月'!給与種別</vt:lpstr>
      <vt:lpstr>'4月'!給与種別</vt:lpstr>
      <vt:lpstr>'5月'!給与種別</vt:lpstr>
      <vt:lpstr>'6月'!給与種別</vt:lpstr>
      <vt:lpstr>'7月'!給与種別</vt:lpstr>
      <vt:lpstr>'8月'!給与種別</vt:lpstr>
      <vt:lpstr>'9月'!給与種別</vt:lpstr>
      <vt:lpstr>'10月'!給与体系</vt:lpstr>
      <vt:lpstr>'11月'!給与体系</vt:lpstr>
      <vt:lpstr>'12月'!給与体系</vt:lpstr>
      <vt:lpstr>'1月'!給与体系</vt:lpstr>
      <vt:lpstr>'2月'!給与体系</vt:lpstr>
      <vt:lpstr>'3月'!給与体系</vt:lpstr>
      <vt:lpstr>'4月'!給与体系</vt:lpstr>
      <vt:lpstr>'5月'!給与体系</vt:lpstr>
      <vt:lpstr>'6月'!給与体系</vt:lpstr>
      <vt:lpstr>'7月'!給与体系</vt:lpstr>
      <vt:lpstr>'8月'!給与体系</vt:lpstr>
      <vt:lpstr>'9月'!給与体系</vt:lpstr>
      <vt:lpstr>'10月'!欠勤時間計</vt:lpstr>
      <vt:lpstr>'11月'!欠勤時間計</vt:lpstr>
      <vt:lpstr>'12月'!欠勤時間計</vt:lpstr>
      <vt:lpstr>'1月'!欠勤時間計</vt:lpstr>
      <vt:lpstr>'2月'!欠勤時間計</vt:lpstr>
      <vt:lpstr>'3月'!欠勤時間計</vt:lpstr>
      <vt:lpstr>'4月'!欠勤時間計</vt:lpstr>
      <vt:lpstr>'5月'!欠勤時間計</vt:lpstr>
      <vt:lpstr>'6月'!欠勤時間計</vt:lpstr>
      <vt:lpstr>'7月'!欠勤時間計</vt:lpstr>
      <vt:lpstr>'8月'!欠勤時間計</vt:lpstr>
      <vt:lpstr>'9月'!欠勤時間計</vt:lpstr>
      <vt:lpstr>'4月'!欠勤日数</vt:lpstr>
      <vt:lpstr>'10月'!控除時間</vt:lpstr>
      <vt:lpstr>'11月'!控除時間</vt:lpstr>
      <vt:lpstr>'12月'!控除時間</vt:lpstr>
      <vt:lpstr>'1月'!控除時間</vt:lpstr>
      <vt:lpstr>'2月'!控除時間</vt:lpstr>
      <vt:lpstr>'3月'!控除時間</vt:lpstr>
      <vt:lpstr>'4月'!控除時間</vt:lpstr>
      <vt:lpstr>'5月'!控除時間</vt:lpstr>
      <vt:lpstr>'6月'!控除時間</vt:lpstr>
      <vt:lpstr>'7月'!控除時間</vt:lpstr>
      <vt:lpstr>'8月'!控除時間</vt:lpstr>
      <vt:lpstr>'9月'!控除時間</vt:lpstr>
      <vt:lpstr>'10月'!控除単価</vt:lpstr>
      <vt:lpstr>'11月'!控除単価</vt:lpstr>
      <vt:lpstr>'12月'!控除単価</vt:lpstr>
      <vt:lpstr>'1月'!控除単価</vt:lpstr>
      <vt:lpstr>'2月'!控除単価</vt:lpstr>
      <vt:lpstr>'3月'!控除単価</vt:lpstr>
      <vt:lpstr>'4月'!控除単価</vt:lpstr>
      <vt:lpstr>'5月'!控除単価</vt:lpstr>
      <vt:lpstr>'6月'!控除単価</vt:lpstr>
      <vt:lpstr>'7月'!控除単価</vt:lpstr>
      <vt:lpstr>'8月'!控除単価</vt:lpstr>
      <vt:lpstr>'9月'!控除単価</vt:lpstr>
      <vt:lpstr>'10月'!合計_15分未満切捨て</vt:lpstr>
      <vt:lpstr>'11月'!合計_15分未満切捨て</vt:lpstr>
      <vt:lpstr>'12月'!合計_15分未満切捨て</vt:lpstr>
      <vt:lpstr>'1月'!合計_15分未満切捨て</vt:lpstr>
      <vt:lpstr>'2月'!合計_15分未満切捨て</vt:lpstr>
      <vt:lpstr>'3月'!合計_15分未満切捨て</vt:lpstr>
      <vt:lpstr>'4月'!合計_15分未満切捨て</vt:lpstr>
      <vt:lpstr>'5月'!合計_15分未満切捨て</vt:lpstr>
      <vt:lpstr>'6月'!合計_15分未満切捨て</vt:lpstr>
      <vt:lpstr>'7月'!合計_15分未満切捨て</vt:lpstr>
      <vt:lpstr>'8月'!合計_15分未満切捨て</vt:lpstr>
      <vt:lpstr>'9月'!合計_15分未満切捨て</vt:lpstr>
      <vt:lpstr>'10月'!時間・月額</vt:lpstr>
      <vt:lpstr>'11月'!時間・月額</vt:lpstr>
      <vt:lpstr>'12月'!時間・月額</vt:lpstr>
      <vt:lpstr>'1月'!時間・月額</vt:lpstr>
      <vt:lpstr>'2月'!時間・月額</vt:lpstr>
      <vt:lpstr>'3月'!時間・月額</vt:lpstr>
      <vt:lpstr>'4月'!時間・月額</vt:lpstr>
      <vt:lpstr>'5月'!時間・月額</vt:lpstr>
      <vt:lpstr>'6月'!時間・月額</vt:lpstr>
      <vt:lpstr>'7月'!時間・月額</vt:lpstr>
      <vt:lpstr>'8月'!時間・月額</vt:lpstr>
      <vt:lpstr>'9月'!時間・月額</vt:lpstr>
      <vt:lpstr>'10月'!時間外係数</vt:lpstr>
      <vt:lpstr>'11月'!時間外係数</vt:lpstr>
      <vt:lpstr>'12月'!時間外係数</vt:lpstr>
      <vt:lpstr>'1月'!時間外係数</vt:lpstr>
      <vt:lpstr>'2月'!時間外係数</vt:lpstr>
      <vt:lpstr>'3月'!時間外係数</vt:lpstr>
      <vt:lpstr>'4月'!時間外係数</vt:lpstr>
      <vt:lpstr>'5月'!時間外係数</vt:lpstr>
      <vt:lpstr>'6月'!時間外係数</vt:lpstr>
      <vt:lpstr>'7月'!時間外係数</vt:lpstr>
      <vt:lpstr>'8月'!時間外係数</vt:lpstr>
      <vt:lpstr>'9月'!時間外係数</vt:lpstr>
      <vt:lpstr>'10月'!時間合計</vt:lpstr>
      <vt:lpstr>'11月'!時間合計</vt:lpstr>
      <vt:lpstr>'12月'!時間合計</vt:lpstr>
      <vt:lpstr>'1月'!時間合計</vt:lpstr>
      <vt:lpstr>'2月'!時間合計</vt:lpstr>
      <vt:lpstr>'3月'!時間合計</vt:lpstr>
      <vt:lpstr>'4月'!時間合計</vt:lpstr>
      <vt:lpstr>'5月'!時間合計</vt:lpstr>
      <vt:lpstr>'6月'!時間合計</vt:lpstr>
      <vt:lpstr>'7月'!時間合計</vt:lpstr>
      <vt:lpstr>'8月'!時間合計</vt:lpstr>
      <vt:lpstr>'9月'!時間合計</vt:lpstr>
      <vt:lpstr>'10月'!手当１金額</vt:lpstr>
      <vt:lpstr>'11月'!手当１金額</vt:lpstr>
      <vt:lpstr>'12月'!手当１金額</vt:lpstr>
      <vt:lpstr>'1月'!手当１金額</vt:lpstr>
      <vt:lpstr>'2月'!手当１金額</vt:lpstr>
      <vt:lpstr>'3月'!手当１金額</vt:lpstr>
      <vt:lpstr>'4月'!手当１金額</vt:lpstr>
      <vt:lpstr>'5月'!手当１金額</vt:lpstr>
      <vt:lpstr>'6月'!手当１金額</vt:lpstr>
      <vt:lpstr>'7月'!手当１金額</vt:lpstr>
      <vt:lpstr>'8月'!手当１金額</vt:lpstr>
      <vt:lpstr>'9月'!手当１金額</vt:lpstr>
      <vt:lpstr>'4月'!出勤日数</vt:lpstr>
      <vt:lpstr>'10月'!深夜残業時間計</vt:lpstr>
      <vt:lpstr>'11月'!深夜残業時間計</vt:lpstr>
      <vt:lpstr>'12月'!深夜残業時間計</vt:lpstr>
      <vt:lpstr>'1月'!深夜残業時間計</vt:lpstr>
      <vt:lpstr>'2月'!深夜残業時間計</vt:lpstr>
      <vt:lpstr>'3月'!深夜残業時間計</vt:lpstr>
      <vt:lpstr>'4月'!深夜残業時間計</vt:lpstr>
      <vt:lpstr>'5月'!深夜残業時間計</vt:lpstr>
      <vt:lpstr>'6月'!深夜残業時間計</vt:lpstr>
      <vt:lpstr>'7月'!深夜残業時間計</vt:lpstr>
      <vt:lpstr>'8月'!深夜残業時間計</vt:lpstr>
      <vt:lpstr>'9月'!深夜残業時間計</vt:lpstr>
      <vt:lpstr>'10月'!超過額</vt:lpstr>
      <vt:lpstr>'11月'!超過額</vt:lpstr>
      <vt:lpstr>'12月'!超過額</vt:lpstr>
      <vt:lpstr>'1月'!超過額</vt:lpstr>
      <vt:lpstr>'2月'!超過額</vt:lpstr>
      <vt:lpstr>'3月'!超過額</vt:lpstr>
      <vt:lpstr>'4月'!超過額</vt:lpstr>
      <vt:lpstr>'5月'!超過額</vt:lpstr>
      <vt:lpstr>'6月'!超過額</vt:lpstr>
      <vt:lpstr>'7月'!超過額</vt:lpstr>
      <vt:lpstr>'8月'!超過額</vt:lpstr>
      <vt:lpstr>'9月'!超過額</vt:lpstr>
      <vt:lpstr>'10月'!超過勤務時間計</vt:lpstr>
      <vt:lpstr>'11月'!超過勤務時間計</vt:lpstr>
      <vt:lpstr>'12月'!超過勤務時間計</vt:lpstr>
      <vt:lpstr>'1月'!超過勤務時間計</vt:lpstr>
      <vt:lpstr>'2月'!超過勤務時間計</vt:lpstr>
      <vt:lpstr>'3月'!超過勤務時間計</vt:lpstr>
      <vt:lpstr>'4月'!超過勤務時間計</vt:lpstr>
      <vt:lpstr>'5月'!超過勤務時間計</vt:lpstr>
      <vt:lpstr>'6月'!超過勤務時間計</vt:lpstr>
      <vt:lpstr>'7月'!超過勤務時間計</vt:lpstr>
      <vt:lpstr>'8月'!超過勤務時間計</vt:lpstr>
      <vt:lpstr>'9月'!超過勤務時間計</vt:lpstr>
      <vt:lpstr>'10月'!超過時間</vt:lpstr>
      <vt:lpstr>'11月'!超過時間</vt:lpstr>
      <vt:lpstr>'12月'!超過時間</vt:lpstr>
      <vt:lpstr>'1月'!超過時間</vt:lpstr>
      <vt:lpstr>'2月'!超過時間</vt:lpstr>
      <vt:lpstr>'3月'!超過時間</vt:lpstr>
      <vt:lpstr>'4月'!超過時間</vt:lpstr>
      <vt:lpstr>'5月'!超過時間</vt:lpstr>
      <vt:lpstr>'6月'!超過時間</vt:lpstr>
      <vt:lpstr>'7月'!超過時間</vt:lpstr>
      <vt:lpstr>'8月'!超過時間</vt:lpstr>
      <vt:lpstr>'9月'!超過時間</vt:lpstr>
      <vt:lpstr>'10月'!超過単価</vt:lpstr>
      <vt:lpstr>'11月'!超過単価</vt:lpstr>
      <vt:lpstr>'12月'!超過単価</vt:lpstr>
      <vt:lpstr>'1月'!超過単価</vt:lpstr>
      <vt:lpstr>'2月'!超過単価</vt:lpstr>
      <vt:lpstr>'3月'!超過単価</vt:lpstr>
      <vt:lpstr>'4月'!超過単価</vt:lpstr>
      <vt:lpstr>'5月'!超過単価</vt:lpstr>
      <vt:lpstr>'6月'!超過単価</vt:lpstr>
      <vt:lpstr>'7月'!超過単価</vt:lpstr>
      <vt:lpstr>'8月'!超過単価</vt:lpstr>
      <vt:lpstr>'9月'!超過単価</vt:lpstr>
      <vt:lpstr>'10月'!通常時間計</vt:lpstr>
      <vt:lpstr>'11月'!通常時間計</vt:lpstr>
      <vt:lpstr>'12月'!通常時間計</vt:lpstr>
      <vt:lpstr>'1月'!通常時間計</vt:lpstr>
      <vt:lpstr>'2月'!通常時間計</vt:lpstr>
      <vt:lpstr>'3月'!通常時間計</vt:lpstr>
      <vt:lpstr>'4月'!通常時間計</vt:lpstr>
      <vt:lpstr>'5月'!通常時間計</vt:lpstr>
      <vt:lpstr>'6月'!通常時間計</vt:lpstr>
      <vt:lpstr>'7月'!通常時間計</vt:lpstr>
      <vt:lpstr>'8月'!通常時間計</vt:lpstr>
      <vt:lpstr>'9月'!通常時間計</vt:lpstr>
      <vt:lpstr>'10月'!当月</vt:lpstr>
      <vt:lpstr>'11月'!当月</vt:lpstr>
      <vt:lpstr>'12月'!当月</vt:lpstr>
      <vt:lpstr>'1月'!当月</vt:lpstr>
      <vt:lpstr>'2月'!当月</vt:lpstr>
      <vt:lpstr>'3月'!当月</vt:lpstr>
      <vt:lpstr>'4月'!当月</vt:lpstr>
      <vt:lpstr>'5月'!当月</vt:lpstr>
      <vt:lpstr>'6月'!当月</vt:lpstr>
      <vt:lpstr>'7月'!当月</vt:lpstr>
      <vt:lpstr>'8月'!当月</vt:lpstr>
      <vt:lpstr>'9月'!当月</vt:lpstr>
      <vt:lpstr>'10月'!補正勤務時間</vt:lpstr>
      <vt:lpstr>'11月'!補正勤務時間</vt:lpstr>
      <vt:lpstr>'12月'!補正勤務時間</vt:lpstr>
      <vt:lpstr>'1月'!補正勤務時間</vt:lpstr>
      <vt:lpstr>'2月'!補正勤務時間</vt:lpstr>
      <vt:lpstr>'3月'!補正勤務時間</vt:lpstr>
      <vt:lpstr>'4月'!補正勤務時間</vt:lpstr>
      <vt:lpstr>'5月'!補正勤務時間</vt:lpstr>
      <vt:lpstr>'6月'!補正勤務時間</vt:lpstr>
      <vt:lpstr>'7月'!補正勤務時間</vt:lpstr>
      <vt:lpstr>'8月'!補正勤務時間</vt:lpstr>
      <vt:lpstr>'9月'!補正勤務時間</vt:lpstr>
      <vt:lpstr>'10月'!補正勤務時間合計</vt:lpstr>
      <vt:lpstr>'11月'!補正勤務時間合計</vt:lpstr>
      <vt:lpstr>'12月'!補正勤務時間合計</vt:lpstr>
      <vt:lpstr>'1月'!補正勤務時間合計</vt:lpstr>
      <vt:lpstr>'2月'!補正勤務時間合計</vt:lpstr>
      <vt:lpstr>'3月'!補正勤務時間合計</vt:lpstr>
      <vt:lpstr>'4月'!補正勤務時間合計</vt:lpstr>
      <vt:lpstr>'5月'!補正勤務時間合計</vt:lpstr>
      <vt:lpstr>'6月'!補正勤務時間合計</vt:lpstr>
      <vt:lpstr>'7月'!補正勤務時間合計</vt:lpstr>
      <vt:lpstr>'8月'!補正勤務時間合計</vt:lpstr>
      <vt:lpstr>'9月'!補正勤務時間合計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</dc:creator>
  <cp:lastModifiedBy>谷津 晴香</cp:lastModifiedBy>
  <cp:lastPrinted>2024-04-23T02:36:11Z</cp:lastPrinted>
  <dcterms:created xsi:type="dcterms:W3CDTF">2011-09-01T08:18:37Z</dcterms:created>
  <dcterms:modified xsi:type="dcterms:W3CDTF">2026-04-13T07:30:04Z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0x0101000B3FB8F077A390429FD32E1A1817D960</vt:lpwstr>
  </property>
</Properties>
</file>